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ebendo\Documents\GitHub\DGNB_Report_Generator\Test Folder\"/>
    </mc:Choice>
  </mc:AlternateContent>
  <xr:revisionPtr revIDLastSave="0" documentId="13_ncr:1_{88B9C6D3-2E39-42B9-93D1-325551F77AA6}" xr6:coauthVersionLast="47" xr6:coauthVersionMax="47" xr10:uidLastSave="{00000000-0000-0000-0000-000000000000}"/>
  <bookViews>
    <workbookView xWindow="-30" yWindow="-18120" windowWidth="29040" windowHeight="17520" activeTab="2" xr2:uid="{00000000-000D-0000-FFFF-FFFF00000000}"/>
  </bookViews>
  <sheets>
    <sheet name="Deckblatt" sheetId="1" r:id="rId1"/>
    <sheet name="BHoM_CallersHidden" sheetId="26" state="hidden" r:id="rId2"/>
    <sheet name="SQ_Auditoreingaben " sheetId="2" r:id="rId3"/>
    <sheet name="BQ_Auditoreingaben" sheetId="19" r:id="rId4"/>
    <sheet name="EA_Auditoreingaben" sheetId="24" r:id="rId5"/>
    <sheet name="IS_Auditoreingaben" sheetId="17" r:id="rId6"/>
    <sheet name="GG_Auditoreingaben" sheetId="18" r:id="rId7"/>
    <sheet name="Language" sheetId="25" r:id="rId8"/>
    <sheet name="Prüferdeckblatt" sheetId="8" state="hidden" r:id="rId9"/>
    <sheet name="1. Prüfung" sheetId="14" state="hidden" r:id="rId10"/>
    <sheet name="Ergebnis 1. Prüfung" sheetId="6" state="hidden" r:id="rId11"/>
    <sheet name="2. Prüfung" sheetId="15" state="hidden" r:id="rId12"/>
    <sheet name="Ergebnis 2. Prüfung" sheetId="16" state="hidden" r:id="rId13"/>
  </sheets>
  <externalReferences>
    <externalReference r:id="rId14"/>
  </externalReferences>
  <definedNames>
    <definedName name="Language">[1]Languages!$B$3:$J$3</definedName>
    <definedName name="_xlnm.Print_Area" localSheetId="0">Deckblatt!$A$1:$H$60</definedName>
    <definedName name="_xlnm.Print_Area" localSheetId="10">'Ergebnis 1. Prüfung'!$A$1:$G$49</definedName>
    <definedName name="_xlnm.Print_Area" localSheetId="12">'Ergebnis 2. Prüfung'!$A$1:$G$49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2" l="1"/>
  <c r="H13" i="2" a="1"/>
  <c r="H13" i="2" s="1"/>
  <c r="E181" i="2"/>
  <c r="H404" i="17" l="1"/>
  <c r="H403" i="17"/>
  <c r="H402" i="17"/>
  <c r="H401" i="17"/>
  <c r="H400" i="17"/>
  <c r="H399" i="17"/>
  <c r="H398" i="17"/>
  <c r="H397" i="17"/>
  <c r="H396" i="17"/>
  <c r="H395" i="17"/>
  <c r="H394" i="17"/>
  <c r="H393" i="17"/>
  <c r="H392" i="17"/>
  <c r="I390" i="17"/>
  <c r="H370" i="17"/>
  <c r="H369" i="17"/>
  <c r="H368" i="17"/>
  <c r="H367" i="17"/>
  <c r="H366" i="17"/>
  <c r="H365" i="17"/>
  <c r="H364" i="17"/>
  <c r="H363" i="17"/>
  <c r="H362" i="17"/>
  <c r="H361" i="17"/>
  <c r="I358" i="17"/>
  <c r="C358" i="17"/>
  <c r="P152" i="18" l="1"/>
  <c r="D152" i="18"/>
  <c r="P142" i="17"/>
  <c r="D142" i="17"/>
  <c r="P134" i="24"/>
  <c r="D134" i="24"/>
  <c r="P152" i="19"/>
  <c r="D152" i="19"/>
  <c r="P158" i="2"/>
  <c r="D158" i="2"/>
  <c r="E38" i="2"/>
  <c r="D37" i="2"/>
  <c r="E36" i="2"/>
  <c r="E35" i="2"/>
  <c r="D34" i="2"/>
  <c r="E38" i="19"/>
  <c r="D37" i="19"/>
  <c r="E36" i="19"/>
  <c r="E35" i="19"/>
  <c r="D34" i="19"/>
  <c r="E44" i="24"/>
  <c r="E43" i="24"/>
  <c r="D42" i="24"/>
  <c r="E46" i="24"/>
  <c r="D45" i="24"/>
  <c r="E38" i="18"/>
  <c r="D37" i="18"/>
  <c r="E36" i="18"/>
  <c r="E35" i="18"/>
  <c r="D34" i="18"/>
  <c r="P26" i="18"/>
  <c r="E26" i="18"/>
  <c r="P27" i="17"/>
  <c r="E27" i="17"/>
  <c r="P26" i="24"/>
  <c r="E26" i="24"/>
  <c r="P26" i="2"/>
  <c r="P26" i="19"/>
  <c r="E26" i="19"/>
  <c r="E26" i="2"/>
  <c r="P297" i="19"/>
  <c r="E297" i="19"/>
  <c r="E296" i="19"/>
  <c r="H11" i="2"/>
  <c r="G11" i="2"/>
  <c r="F11" i="2"/>
  <c r="J10" i="2"/>
  <c r="I10" i="2"/>
  <c r="F10" i="2"/>
  <c r="E10" i="2"/>
  <c r="C10" i="2"/>
  <c r="B10" i="2"/>
  <c r="H11" i="19"/>
  <c r="G11" i="19"/>
  <c r="F11" i="19"/>
  <c r="J10" i="19"/>
  <c r="I10" i="19"/>
  <c r="F10" i="19"/>
  <c r="E10" i="19"/>
  <c r="C10" i="19"/>
  <c r="B10" i="19"/>
  <c r="H11" i="24"/>
  <c r="G11" i="24"/>
  <c r="F11" i="24"/>
  <c r="J10" i="24"/>
  <c r="I10" i="24"/>
  <c r="F10" i="24"/>
  <c r="E10" i="24"/>
  <c r="C10" i="24"/>
  <c r="B10" i="24"/>
  <c r="H11" i="17"/>
  <c r="G11" i="17"/>
  <c r="F11" i="17"/>
  <c r="J10" i="17"/>
  <c r="I10" i="17"/>
  <c r="F10" i="17"/>
  <c r="E10" i="17"/>
  <c r="C10" i="17"/>
  <c r="B10" i="17"/>
  <c r="J10" i="18"/>
  <c r="I10" i="18"/>
  <c r="H11" i="18"/>
  <c r="G11" i="18"/>
  <c r="F11" i="18"/>
  <c r="F10" i="18"/>
  <c r="E10" i="18"/>
  <c r="C10" i="18"/>
  <c r="B10" i="18"/>
  <c r="N2" i="17"/>
  <c r="N4" i="17"/>
  <c r="J6" i="18"/>
  <c r="H6" i="18"/>
  <c r="F6" i="18"/>
  <c r="E6" i="18"/>
  <c r="B6" i="18"/>
  <c r="J6" i="17"/>
  <c r="H6" i="17"/>
  <c r="F6" i="17"/>
  <c r="E6" i="17"/>
  <c r="B6" i="17"/>
  <c r="J6" i="24"/>
  <c r="H6" i="24"/>
  <c r="F6" i="24"/>
  <c r="E6" i="24"/>
  <c r="B6" i="24"/>
  <c r="J6" i="19"/>
  <c r="H6" i="19"/>
  <c r="F6" i="19"/>
  <c r="E6" i="19"/>
  <c r="B6" i="19"/>
  <c r="J6" i="2"/>
  <c r="H6" i="2"/>
  <c r="F6" i="2"/>
  <c r="E6" i="2"/>
  <c r="B6" i="2"/>
  <c r="B42" i="1"/>
  <c r="D40" i="1"/>
  <c r="D38" i="1"/>
  <c r="B44" i="1"/>
  <c r="B43" i="1"/>
  <c r="B40" i="1"/>
  <c r="B38" i="1"/>
  <c r="B55" i="1"/>
  <c r="B54" i="1"/>
  <c r="B53" i="1"/>
  <c r="B48" i="1"/>
  <c r="D51" i="1"/>
  <c r="B51" i="1"/>
  <c r="D49" i="1"/>
  <c r="B49" i="1"/>
  <c r="B37" i="1"/>
  <c r="B35" i="1"/>
  <c r="B34" i="1"/>
  <c r="C32" i="1"/>
  <c r="F31" i="1"/>
  <c r="F30" i="1"/>
  <c r="F29" i="1"/>
  <c r="C31" i="1"/>
  <c r="C30" i="1"/>
  <c r="C29" i="1"/>
  <c r="F28" i="1"/>
  <c r="E28" i="1"/>
  <c r="C28" i="1"/>
  <c r="C27" i="1"/>
  <c r="C25" i="1"/>
  <c r="C23" i="1"/>
  <c r="C21" i="1"/>
  <c r="J2" i="2" s="1"/>
  <c r="C19" i="1"/>
  <c r="H3" i="2" s="1"/>
  <c r="C18" i="1"/>
  <c r="H2" i="2" s="1"/>
  <c r="C17" i="1"/>
  <c r="F4" i="2" s="1"/>
  <c r="C16" i="1"/>
  <c r="F3" i="2" s="1"/>
  <c r="C15" i="1"/>
  <c r="F2" i="2" s="1"/>
  <c r="G14" i="1"/>
  <c r="F14" i="1"/>
  <c r="C14" i="1"/>
  <c r="B10" i="1"/>
  <c r="B9" i="1"/>
  <c r="B4" i="2" s="1"/>
  <c r="B8" i="1"/>
  <c r="B7" i="1"/>
  <c r="B3" i="2" s="1"/>
  <c r="B6" i="1"/>
  <c r="B2" i="2" s="1"/>
  <c r="B5" i="1"/>
  <c r="B2" i="1"/>
  <c r="B2" i="18" l="1"/>
  <c r="H3" i="19"/>
  <c r="F3" i="19"/>
  <c r="H3" i="17"/>
  <c r="F4" i="24"/>
  <c r="J2" i="24"/>
  <c r="B3" i="19"/>
  <c r="F2" i="18"/>
  <c r="B4" i="19"/>
  <c r="B2" i="17"/>
  <c r="B3" i="18"/>
  <c r="F4" i="19"/>
  <c r="F2" i="17"/>
  <c r="F3" i="18"/>
  <c r="H2" i="24"/>
  <c r="H2" i="18"/>
  <c r="J2" i="17"/>
  <c r="B2" i="24"/>
  <c r="B3" i="17"/>
  <c r="B4" i="18"/>
  <c r="F2" i="24"/>
  <c r="F3" i="17"/>
  <c r="F4" i="18"/>
  <c r="H3" i="24"/>
  <c r="H3" i="18"/>
  <c r="J2" i="18"/>
  <c r="B4" i="24"/>
  <c r="B2" i="19"/>
  <c r="B3" i="24"/>
  <c r="B4" i="17"/>
  <c r="F2" i="19"/>
  <c r="F3" i="24"/>
  <c r="F4" i="17"/>
  <c r="H2" i="19"/>
  <c r="H2" i="17"/>
  <c r="J2" i="19"/>
  <c r="C405" i="17"/>
  <c r="E408" i="17"/>
  <c r="E407" i="17"/>
  <c r="D409" i="17"/>
  <c r="D406" i="17"/>
  <c r="E416" i="17"/>
  <c r="E415" i="17"/>
  <c r="E414" i="17"/>
  <c r="E413" i="17"/>
  <c r="E412" i="17"/>
  <c r="E411" i="17"/>
  <c r="E410" i="17"/>
  <c r="E419" i="17"/>
  <c r="E418" i="17"/>
  <c r="D417" i="17"/>
  <c r="E421" i="17"/>
  <c r="D420" i="17"/>
  <c r="E532" i="2"/>
  <c r="D531" i="2"/>
  <c r="E530" i="2"/>
  <c r="E529" i="2"/>
  <c r="E528" i="2"/>
  <c r="D527" i="2"/>
  <c r="E526" i="2"/>
  <c r="E525" i="2"/>
  <c r="E524" i="2"/>
  <c r="E523" i="2"/>
  <c r="D522" i="2"/>
  <c r="C521" i="2"/>
  <c r="E537" i="2"/>
  <c r="D536" i="2"/>
  <c r="E535" i="2"/>
  <c r="E534" i="2"/>
  <c r="D533" i="2"/>
  <c r="E540" i="19"/>
  <c r="D539" i="19"/>
  <c r="E537" i="19"/>
  <c r="E538" i="19"/>
  <c r="D536" i="19"/>
  <c r="E535" i="19"/>
  <c r="D534" i="19"/>
  <c r="E533" i="19"/>
  <c r="E532" i="19"/>
  <c r="E531" i="19"/>
  <c r="D530" i="19"/>
  <c r="E529" i="19"/>
  <c r="E528" i="19"/>
  <c r="E527" i="19"/>
  <c r="E526" i="19"/>
  <c r="D525" i="19"/>
  <c r="C524" i="19"/>
  <c r="E518" i="24"/>
  <c r="D517" i="24"/>
  <c r="E516" i="24"/>
  <c r="E515" i="24"/>
  <c r="D514" i="24"/>
  <c r="E513" i="24"/>
  <c r="D512" i="24"/>
  <c r="E511" i="24"/>
  <c r="D510" i="24"/>
  <c r="D505" i="24"/>
  <c r="E507" i="24"/>
  <c r="E508" i="24"/>
  <c r="E509" i="24"/>
  <c r="E506" i="24"/>
  <c r="D501" i="24"/>
  <c r="C500" i="24"/>
  <c r="E504" i="24"/>
  <c r="E503" i="24"/>
  <c r="E502" i="24"/>
  <c r="E539" i="18"/>
  <c r="D538" i="18"/>
  <c r="E537" i="18"/>
  <c r="D536" i="18"/>
  <c r="E535" i="18"/>
  <c r="E534" i="18"/>
  <c r="D533" i="18"/>
  <c r="D529" i="18"/>
  <c r="E530" i="18"/>
  <c r="E532" i="18"/>
  <c r="E531" i="18"/>
  <c r="E528" i="18"/>
  <c r="E527" i="18"/>
  <c r="E526" i="18"/>
  <c r="E525" i="18"/>
  <c r="D524" i="18"/>
  <c r="C523" i="18"/>
  <c r="E404" i="17"/>
  <c r="E403" i="17"/>
  <c r="D402" i="17"/>
  <c r="E401" i="17"/>
  <c r="E400" i="17"/>
  <c r="D399" i="17"/>
  <c r="E398" i="17"/>
  <c r="D397" i="17"/>
  <c r="E396" i="17"/>
  <c r="E395" i="17"/>
  <c r="D394" i="17"/>
  <c r="E393" i="17"/>
  <c r="E392" i="17"/>
  <c r="D391" i="17"/>
  <c r="C390" i="17"/>
  <c r="E520" i="2"/>
  <c r="E519" i="2"/>
  <c r="D518" i="2"/>
  <c r="E517" i="2"/>
  <c r="E516" i="2"/>
  <c r="D515" i="2"/>
  <c r="E514" i="2"/>
  <c r="D513" i="2"/>
  <c r="E512" i="2"/>
  <c r="E511" i="2"/>
  <c r="D510" i="2"/>
  <c r="E509" i="2"/>
  <c r="E508" i="2"/>
  <c r="D507" i="2"/>
  <c r="C506" i="2"/>
  <c r="E523" i="19"/>
  <c r="E522" i="19"/>
  <c r="D521" i="19"/>
  <c r="E520" i="19"/>
  <c r="E519" i="19"/>
  <c r="D518" i="19"/>
  <c r="E517" i="19"/>
  <c r="D516" i="19"/>
  <c r="E515" i="19"/>
  <c r="E514" i="19"/>
  <c r="D513" i="19"/>
  <c r="E512" i="19"/>
  <c r="E511" i="19"/>
  <c r="D510" i="19"/>
  <c r="C509" i="19"/>
  <c r="E499" i="24"/>
  <c r="E498" i="24"/>
  <c r="D497" i="24"/>
  <c r="E496" i="24"/>
  <c r="E495" i="24"/>
  <c r="D494" i="24"/>
  <c r="E493" i="24"/>
  <c r="D492" i="24"/>
  <c r="E491" i="24"/>
  <c r="E490" i="24"/>
  <c r="D489" i="24"/>
  <c r="E488" i="24"/>
  <c r="E487" i="24"/>
  <c r="D486" i="24"/>
  <c r="C485" i="24"/>
  <c r="E522" i="18"/>
  <c r="E521" i="18"/>
  <c r="D520" i="18"/>
  <c r="E519" i="18"/>
  <c r="E518" i="18"/>
  <c r="D517" i="18"/>
  <c r="E516" i="18"/>
  <c r="D515" i="18"/>
  <c r="E514" i="18"/>
  <c r="E513" i="18"/>
  <c r="D512" i="18"/>
  <c r="E511" i="18"/>
  <c r="E510" i="18"/>
  <c r="D509" i="18"/>
  <c r="C508" i="18"/>
  <c r="E484" i="24"/>
  <c r="E483" i="24"/>
  <c r="D482" i="24"/>
  <c r="E481" i="24"/>
  <c r="D480" i="24"/>
  <c r="E479" i="24"/>
  <c r="D478" i="24"/>
  <c r="E477" i="24"/>
  <c r="D476" i="24"/>
  <c r="E475" i="24"/>
  <c r="D474" i="24"/>
  <c r="E473" i="24"/>
  <c r="D472" i="24"/>
  <c r="E471" i="24"/>
  <c r="D470" i="24"/>
  <c r="E469" i="24"/>
  <c r="D468" i="24"/>
  <c r="E467" i="24"/>
  <c r="D466" i="24"/>
  <c r="E465" i="24"/>
  <c r="D464" i="24"/>
  <c r="C463" i="24"/>
  <c r="E462" i="24"/>
  <c r="E461" i="24"/>
  <c r="D460" i="24"/>
  <c r="C454" i="24"/>
  <c r="E459" i="24"/>
  <c r="E458" i="24"/>
  <c r="E457" i="24"/>
  <c r="E456" i="24"/>
  <c r="D455" i="24"/>
  <c r="E505" i="2"/>
  <c r="E504" i="2"/>
  <c r="D503" i="2"/>
  <c r="E502" i="2"/>
  <c r="E501" i="2"/>
  <c r="D500" i="2"/>
  <c r="E499" i="2"/>
  <c r="E498" i="2"/>
  <c r="E497" i="2"/>
  <c r="E496" i="2"/>
  <c r="E495" i="2"/>
  <c r="D494" i="2"/>
  <c r="C493" i="2"/>
  <c r="E508" i="19"/>
  <c r="E507" i="19"/>
  <c r="D506" i="19"/>
  <c r="E505" i="19"/>
  <c r="E504" i="19"/>
  <c r="D503" i="19"/>
  <c r="E502" i="19"/>
  <c r="E501" i="19"/>
  <c r="E500" i="19"/>
  <c r="E499" i="19"/>
  <c r="E498" i="19"/>
  <c r="D497" i="19"/>
  <c r="C496" i="19"/>
  <c r="E507" i="18"/>
  <c r="E506" i="18"/>
  <c r="D505" i="18"/>
  <c r="E504" i="18"/>
  <c r="E503" i="18"/>
  <c r="D502" i="18"/>
  <c r="E501" i="18"/>
  <c r="E500" i="18"/>
  <c r="E499" i="18"/>
  <c r="E498" i="18"/>
  <c r="E497" i="18"/>
  <c r="D496" i="18"/>
  <c r="C495" i="18"/>
  <c r="E492" i="2"/>
  <c r="E491" i="2"/>
  <c r="E490" i="2"/>
  <c r="E489" i="2"/>
  <c r="E488" i="2"/>
  <c r="D487" i="2"/>
  <c r="E486" i="2"/>
  <c r="D485" i="2"/>
  <c r="E484" i="2"/>
  <c r="E483" i="2"/>
  <c r="E482" i="2"/>
  <c r="E481" i="2"/>
  <c r="E480" i="2"/>
  <c r="E479" i="2"/>
  <c r="D478" i="2"/>
  <c r="D474" i="2"/>
  <c r="E477" i="2"/>
  <c r="E476" i="2"/>
  <c r="E475" i="2"/>
  <c r="E473" i="2"/>
  <c r="D472" i="2"/>
  <c r="C471" i="2"/>
  <c r="E495" i="19"/>
  <c r="E494" i="19"/>
  <c r="E493" i="19"/>
  <c r="E492" i="19"/>
  <c r="E491" i="19"/>
  <c r="D490" i="19"/>
  <c r="E489" i="19"/>
  <c r="D488" i="19"/>
  <c r="E487" i="19"/>
  <c r="E486" i="19"/>
  <c r="E485" i="19"/>
  <c r="E484" i="19"/>
  <c r="E483" i="19"/>
  <c r="E482" i="19"/>
  <c r="D481" i="19"/>
  <c r="E480" i="19"/>
  <c r="E479" i="19"/>
  <c r="E478" i="19"/>
  <c r="E477" i="19"/>
  <c r="D476" i="19"/>
  <c r="E475" i="19"/>
  <c r="D474" i="19"/>
  <c r="C473" i="19"/>
  <c r="E453" i="24"/>
  <c r="E452" i="24"/>
  <c r="E451" i="24"/>
  <c r="E450" i="24"/>
  <c r="E449" i="24"/>
  <c r="D448" i="24"/>
  <c r="E447" i="24"/>
  <c r="D446" i="24"/>
  <c r="E445" i="24"/>
  <c r="E444" i="24"/>
  <c r="E443" i="24"/>
  <c r="E442" i="24"/>
  <c r="E441" i="24"/>
  <c r="E440" i="24"/>
  <c r="D439" i="24"/>
  <c r="E438" i="24"/>
  <c r="E437" i="24"/>
  <c r="E436" i="24"/>
  <c r="E435" i="24"/>
  <c r="D434" i="24"/>
  <c r="E433" i="24"/>
  <c r="D432" i="24"/>
  <c r="C431" i="24"/>
  <c r="E492" i="18"/>
  <c r="E494" i="18"/>
  <c r="E493" i="18"/>
  <c r="E491" i="18"/>
  <c r="E490" i="18"/>
  <c r="D489" i="18"/>
  <c r="E488" i="18"/>
  <c r="D487" i="18"/>
  <c r="E486" i="18"/>
  <c r="E485" i="18"/>
  <c r="E484" i="18"/>
  <c r="E483" i="18"/>
  <c r="E482" i="18"/>
  <c r="E481" i="18"/>
  <c r="D480" i="18"/>
  <c r="E479" i="18"/>
  <c r="E478" i="18"/>
  <c r="E477" i="18"/>
  <c r="E476" i="18"/>
  <c r="D475" i="18"/>
  <c r="E474" i="18"/>
  <c r="D473" i="18"/>
  <c r="C472" i="18"/>
  <c r="E389" i="17"/>
  <c r="E388" i="17"/>
  <c r="E387" i="17"/>
  <c r="E386" i="17"/>
  <c r="E385" i="17"/>
  <c r="D384" i="17"/>
  <c r="E383" i="17"/>
  <c r="E382" i="17"/>
  <c r="E381" i="17"/>
  <c r="D380" i="17"/>
  <c r="E379" i="17"/>
  <c r="E378" i="17"/>
  <c r="E377" i="17"/>
  <c r="D376" i="17"/>
  <c r="E464" i="2"/>
  <c r="E463" i="2"/>
  <c r="E462" i="2"/>
  <c r="E466" i="19"/>
  <c r="E465" i="19"/>
  <c r="E464" i="19"/>
  <c r="E470" i="2"/>
  <c r="D469" i="2"/>
  <c r="E468" i="2"/>
  <c r="E467" i="2"/>
  <c r="E466" i="2"/>
  <c r="D465" i="2"/>
  <c r="E472" i="19"/>
  <c r="D471" i="19"/>
  <c r="E470" i="19"/>
  <c r="E469" i="19"/>
  <c r="E468" i="19"/>
  <c r="D467" i="19"/>
  <c r="E430" i="24"/>
  <c r="D429" i="24"/>
  <c r="E428" i="24"/>
  <c r="E427" i="24"/>
  <c r="E426" i="24"/>
  <c r="D425" i="24"/>
  <c r="E471" i="18"/>
  <c r="D470" i="18"/>
  <c r="E469" i="18"/>
  <c r="E468" i="18"/>
  <c r="E467" i="18"/>
  <c r="D466" i="18"/>
  <c r="E465" i="18"/>
  <c r="E464" i="18"/>
  <c r="E463" i="18"/>
  <c r="E375" i="17"/>
  <c r="E374" i="17"/>
  <c r="E373" i="17"/>
  <c r="D372" i="17"/>
  <c r="C371" i="17"/>
  <c r="E461" i="2"/>
  <c r="D460" i="2"/>
  <c r="E459" i="2"/>
  <c r="E458" i="2"/>
  <c r="E457" i="2"/>
  <c r="E456" i="2"/>
  <c r="D455" i="2"/>
  <c r="E454" i="2"/>
  <c r="E453" i="2"/>
  <c r="E452" i="2"/>
  <c r="E451" i="2"/>
  <c r="D450" i="2"/>
  <c r="E449" i="2"/>
  <c r="E448" i="2"/>
  <c r="E447" i="2"/>
  <c r="E446" i="2"/>
  <c r="D445" i="2"/>
  <c r="C444" i="2"/>
  <c r="E463" i="19"/>
  <c r="D462" i="19"/>
  <c r="E461" i="19"/>
  <c r="E460" i="19"/>
  <c r="E459" i="19"/>
  <c r="E458" i="19"/>
  <c r="D457" i="19"/>
  <c r="E456" i="19"/>
  <c r="E455" i="19"/>
  <c r="E454" i="19"/>
  <c r="E453" i="19"/>
  <c r="D452" i="19"/>
  <c r="E451" i="19"/>
  <c r="E450" i="19"/>
  <c r="E449" i="19"/>
  <c r="E448" i="19"/>
  <c r="D447" i="19"/>
  <c r="C446" i="19"/>
  <c r="E424" i="24"/>
  <c r="E423" i="24"/>
  <c r="E422" i="24"/>
  <c r="D421" i="24"/>
  <c r="E420" i="24"/>
  <c r="E419" i="24"/>
  <c r="E418" i="24"/>
  <c r="D417" i="24"/>
  <c r="C412" i="24"/>
  <c r="D413" i="24"/>
  <c r="E416" i="24"/>
  <c r="E415" i="24"/>
  <c r="E414" i="24"/>
  <c r="E462" i="18"/>
  <c r="D461" i="18"/>
  <c r="E460" i="18"/>
  <c r="E459" i="18"/>
  <c r="E458" i="18"/>
  <c r="E457" i="18"/>
  <c r="D456" i="18"/>
  <c r="E455" i="18"/>
  <c r="E454" i="18"/>
  <c r="E453" i="18"/>
  <c r="E452" i="18"/>
  <c r="D451" i="18"/>
  <c r="E450" i="18"/>
  <c r="E449" i="18"/>
  <c r="E448" i="18"/>
  <c r="E447" i="18"/>
  <c r="D446" i="18"/>
  <c r="C445" i="18"/>
  <c r="H359" i="17"/>
  <c r="H360" i="17"/>
  <c r="E370" i="17"/>
  <c r="E369" i="17"/>
  <c r="E368" i="17"/>
  <c r="E367" i="17"/>
  <c r="D366" i="17"/>
  <c r="E365" i="17"/>
  <c r="E364" i="17"/>
  <c r="D363" i="17"/>
  <c r="E362" i="17"/>
  <c r="E361" i="17"/>
  <c r="E360" i="17"/>
  <c r="D359" i="17"/>
  <c r="D426" i="18"/>
  <c r="E443" i="2"/>
  <c r="E442" i="2"/>
  <c r="E441" i="2"/>
  <c r="E440" i="2"/>
  <c r="E439" i="2"/>
  <c r="E438" i="2"/>
  <c r="E437" i="2"/>
  <c r="D436" i="2"/>
  <c r="E435" i="2"/>
  <c r="E434" i="2"/>
  <c r="E433" i="2"/>
  <c r="E432" i="2"/>
  <c r="E431" i="2"/>
  <c r="E430" i="2"/>
  <c r="D429" i="2"/>
  <c r="E428" i="2"/>
  <c r="E427" i="2"/>
  <c r="E426" i="2"/>
  <c r="D425" i="2"/>
  <c r="C424" i="2"/>
  <c r="E445" i="19"/>
  <c r="E444" i="19"/>
  <c r="E443" i="19"/>
  <c r="E442" i="19"/>
  <c r="E441" i="19"/>
  <c r="E440" i="19"/>
  <c r="E439" i="19"/>
  <c r="D438" i="19"/>
  <c r="E437" i="19"/>
  <c r="E436" i="19"/>
  <c r="E435" i="19"/>
  <c r="E434" i="19"/>
  <c r="E433" i="19"/>
  <c r="E432" i="19"/>
  <c r="D431" i="19"/>
  <c r="E430" i="19"/>
  <c r="E429" i="19"/>
  <c r="E428" i="19"/>
  <c r="D427" i="19"/>
  <c r="C426" i="19"/>
  <c r="E411" i="24"/>
  <c r="E410" i="24"/>
  <c r="E409" i="24"/>
  <c r="E408" i="24"/>
  <c r="E407" i="24"/>
  <c r="E406" i="24"/>
  <c r="E405" i="24"/>
  <c r="D404" i="24"/>
  <c r="E403" i="24"/>
  <c r="E402" i="24"/>
  <c r="E401" i="24"/>
  <c r="E400" i="24"/>
  <c r="E399" i="24"/>
  <c r="E398" i="24"/>
  <c r="D397" i="24"/>
  <c r="E396" i="24"/>
  <c r="E395" i="24"/>
  <c r="E394" i="24"/>
  <c r="D393" i="24"/>
  <c r="C392" i="24"/>
  <c r="E444" i="18"/>
  <c r="E443" i="18"/>
  <c r="E442" i="18"/>
  <c r="E441" i="18"/>
  <c r="E440" i="18"/>
  <c r="E439" i="18"/>
  <c r="E438" i="18"/>
  <c r="D437" i="18"/>
  <c r="E436" i="18"/>
  <c r="E435" i="18"/>
  <c r="E434" i="18"/>
  <c r="E433" i="18"/>
  <c r="E432" i="18"/>
  <c r="E431" i="18"/>
  <c r="D430" i="18"/>
  <c r="E429" i="18"/>
  <c r="E428" i="18"/>
  <c r="E427" i="18"/>
  <c r="C425" i="18"/>
  <c r="E423" i="2"/>
  <c r="E422" i="2"/>
  <c r="E421" i="2"/>
  <c r="D420" i="2"/>
  <c r="E419" i="2"/>
  <c r="D418" i="2"/>
  <c r="E417" i="2"/>
  <c r="D416" i="2"/>
  <c r="E415" i="2"/>
  <c r="D414" i="2"/>
  <c r="E413" i="2"/>
  <c r="D412" i="2"/>
  <c r="E411" i="2"/>
  <c r="D410" i="2"/>
  <c r="E409" i="2"/>
  <c r="D408" i="2"/>
  <c r="C407" i="2"/>
  <c r="E425" i="19"/>
  <c r="E424" i="19"/>
  <c r="E423" i="19"/>
  <c r="D422" i="19"/>
  <c r="E421" i="19"/>
  <c r="D420" i="19"/>
  <c r="E419" i="19"/>
  <c r="D418" i="19"/>
  <c r="E417" i="19"/>
  <c r="D416" i="19"/>
  <c r="E415" i="19"/>
  <c r="D414" i="19"/>
  <c r="E413" i="19"/>
  <c r="D412" i="19"/>
  <c r="E411" i="19"/>
  <c r="D410" i="19"/>
  <c r="C409" i="19"/>
  <c r="E379" i="24"/>
  <c r="D378" i="24"/>
  <c r="E377" i="24"/>
  <c r="D376" i="24"/>
  <c r="C375" i="24"/>
  <c r="E391" i="24"/>
  <c r="E390" i="24"/>
  <c r="E389" i="24"/>
  <c r="D388" i="24"/>
  <c r="E387" i="24"/>
  <c r="D386" i="24"/>
  <c r="E385" i="24"/>
  <c r="D384" i="24"/>
  <c r="E383" i="24"/>
  <c r="D382" i="24"/>
  <c r="E381" i="24"/>
  <c r="D380" i="24"/>
  <c r="E357" i="17"/>
  <c r="E356" i="17"/>
  <c r="E355" i="17"/>
  <c r="D354" i="17"/>
  <c r="E353" i="17"/>
  <c r="D352" i="17"/>
  <c r="E351" i="17"/>
  <c r="D350" i="17"/>
  <c r="E349" i="17"/>
  <c r="D348" i="17"/>
  <c r="E347" i="17"/>
  <c r="E346" i="17"/>
  <c r="E345" i="17"/>
  <c r="D344" i="17"/>
  <c r="E343" i="17"/>
  <c r="D342" i="17"/>
  <c r="C341" i="17"/>
  <c r="E424" i="18"/>
  <c r="E423" i="18"/>
  <c r="E422" i="18"/>
  <c r="D421" i="18"/>
  <c r="E420" i="18"/>
  <c r="D419" i="18"/>
  <c r="E418" i="18"/>
  <c r="D417" i="18"/>
  <c r="E416" i="18"/>
  <c r="D415" i="18"/>
  <c r="E414" i="18"/>
  <c r="D413" i="18"/>
  <c r="E412" i="18"/>
  <c r="E411" i="18"/>
  <c r="E410" i="18"/>
  <c r="D409" i="18"/>
  <c r="E408" i="18"/>
  <c r="D407" i="18"/>
  <c r="C406" i="18"/>
  <c r="E394" i="2"/>
  <c r="E393" i="2"/>
  <c r="D392" i="2"/>
  <c r="E391" i="2"/>
  <c r="D390" i="2"/>
  <c r="E389" i="2"/>
  <c r="E388" i="2"/>
  <c r="E387" i="2"/>
  <c r="D386" i="2"/>
  <c r="E385" i="2"/>
  <c r="E384" i="2"/>
  <c r="D383" i="2"/>
  <c r="E382" i="2"/>
  <c r="D381" i="2"/>
  <c r="C380" i="2"/>
  <c r="E406" i="2"/>
  <c r="E405" i="2"/>
  <c r="D404" i="2"/>
  <c r="E403" i="2"/>
  <c r="E402" i="2"/>
  <c r="D401" i="2"/>
  <c r="E400" i="2"/>
  <c r="D399" i="2"/>
  <c r="E398" i="2"/>
  <c r="D397" i="2"/>
  <c r="E396" i="2"/>
  <c r="D395" i="2"/>
  <c r="E408" i="19"/>
  <c r="E407" i="19"/>
  <c r="D406" i="19"/>
  <c r="E405" i="19"/>
  <c r="E404" i="19"/>
  <c r="D403" i="19"/>
  <c r="E402" i="19"/>
  <c r="D401" i="19"/>
  <c r="E400" i="19"/>
  <c r="D399" i="19"/>
  <c r="E398" i="19"/>
  <c r="D397" i="19"/>
  <c r="E396" i="19"/>
  <c r="E395" i="19"/>
  <c r="D394" i="19"/>
  <c r="E393" i="19"/>
  <c r="D392" i="19"/>
  <c r="E391" i="19"/>
  <c r="E390" i="19"/>
  <c r="E389" i="19"/>
  <c r="D388" i="19"/>
  <c r="E387" i="19"/>
  <c r="E386" i="19"/>
  <c r="D385" i="19"/>
  <c r="E384" i="19"/>
  <c r="D383" i="19"/>
  <c r="C382" i="19"/>
  <c r="E362" i="24"/>
  <c r="E361" i="24"/>
  <c r="D360" i="24"/>
  <c r="E359" i="24"/>
  <c r="D358" i="24"/>
  <c r="E357" i="24"/>
  <c r="E356" i="24"/>
  <c r="E355" i="24"/>
  <c r="D354" i="24"/>
  <c r="E353" i="24"/>
  <c r="E352" i="24"/>
  <c r="D351" i="24"/>
  <c r="E350" i="24"/>
  <c r="D349" i="24"/>
  <c r="C348" i="24"/>
  <c r="E374" i="24"/>
  <c r="E373" i="24"/>
  <c r="D372" i="24"/>
  <c r="E371" i="24"/>
  <c r="E370" i="24"/>
  <c r="D369" i="24"/>
  <c r="E368" i="24"/>
  <c r="D367" i="24"/>
  <c r="E366" i="24"/>
  <c r="D365" i="24"/>
  <c r="E364" i="24"/>
  <c r="D363" i="24"/>
  <c r="E340" i="17"/>
  <c r="E339" i="17"/>
  <c r="D338" i="17"/>
  <c r="E337" i="17"/>
  <c r="E336" i="17"/>
  <c r="D335" i="17"/>
  <c r="E334" i="17"/>
  <c r="D333" i="17"/>
  <c r="E332" i="17"/>
  <c r="D331" i="17"/>
  <c r="E330" i="17"/>
  <c r="D329" i="17"/>
  <c r="E328" i="17"/>
  <c r="D327" i="17"/>
  <c r="E326" i="17"/>
  <c r="D325" i="17"/>
  <c r="E324" i="17"/>
  <c r="E323" i="17"/>
  <c r="E322" i="17"/>
  <c r="D321" i="17"/>
  <c r="E320" i="17"/>
  <c r="E319" i="17"/>
  <c r="D318" i="17"/>
  <c r="E317" i="17"/>
  <c r="D316" i="17"/>
  <c r="C315" i="17"/>
  <c r="E384" i="18"/>
  <c r="E388" i="18"/>
  <c r="E390" i="18"/>
  <c r="E405" i="18"/>
  <c r="E404" i="18"/>
  <c r="D403" i="18"/>
  <c r="E402" i="18"/>
  <c r="E401" i="18"/>
  <c r="D400" i="18"/>
  <c r="E399" i="18"/>
  <c r="D398" i="18"/>
  <c r="E397" i="18"/>
  <c r="D396" i="18"/>
  <c r="E395" i="18"/>
  <c r="D394" i="18"/>
  <c r="E393" i="18"/>
  <c r="E392" i="18"/>
  <c r="D391" i="18"/>
  <c r="D389" i="18"/>
  <c r="E387" i="18"/>
  <c r="E386" i="18"/>
  <c r="D385" i="18"/>
  <c r="E383" i="18"/>
  <c r="D382" i="18"/>
  <c r="E381" i="18"/>
  <c r="D380" i="18"/>
  <c r="C379" i="18"/>
  <c r="E379" i="2"/>
  <c r="E378" i="2"/>
  <c r="D377" i="2"/>
  <c r="E376" i="2"/>
  <c r="D375" i="2"/>
  <c r="E374" i="2"/>
  <c r="E373" i="2"/>
  <c r="E372" i="2"/>
  <c r="E371" i="2"/>
  <c r="D370" i="2"/>
  <c r="E369" i="2"/>
  <c r="D368" i="2"/>
  <c r="C367" i="2"/>
  <c r="E381" i="19"/>
  <c r="E380" i="19"/>
  <c r="D379" i="19"/>
  <c r="E378" i="19"/>
  <c r="D377" i="19"/>
  <c r="E376" i="19"/>
  <c r="E375" i="19"/>
  <c r="E374" i="19"/>
  <c r="E373" i="19"/>
  <c r="D372" i="19"/>
  <c r="E371" i="19"/>
  <c r="D370" i="19"/>
  <c r="C369" i="19"/>
  <c r="E347" i="24"/>
  <c r="E346" i="24"/>
  <c r="D345" i="24"/>
  <c r="E344" i="24"/>
  <c r="D343" i="24"/>
  <c r="E342" i="24"/>
  <c r="E341" i="24"/>
  <c r="E340" i="24"/>
  <c r="E339" i="24"/>
  <c r="D338" i="24"/>
  <c r="E337" i="24"/>
  <c r="D336" i="24"/>
  <c r="C335" i="24"/>
  <c r="E314" i="17"/>
  <c r="E313" i="17"/>
  <c r="D312" i="17"/>
  <c r="E311" i="17"/>
  <c r="D310" i="17"/>
  <c r="E309" i="17"/>
  <c r="E308" i="17"/>
  <c r="E307" i="17"/>
  <c r="E306" i="17"/>
  <c r="D305" i="17"/>
  <c r="E304" i="17"/>
  <c r="D303" i="17"/>
  <c r="C302" i="17"/>
  <c r="E378" i="18"/>
  <c r="E377" i="18"/>
  <c r="D376" i="18"/>
  <c r="E375" i="18"/>
  <c r="D374" i="18"/>
  <c r="E373" i="18"/>
  <c r="E372" i="18"/>
  <c r="E371" i="18"/>
  <c r="E370" i="18"/>
  <c r="D369" i="18"/>
  <c r="E368" i="18"/>
  <c r="D367" i="18"/>
  <c r="C366" i="18"/>
  <c r="E366" i="2"/>
  <c r="E365" i="2"/>
  <c r="D364" i="2"/>
  <c r="E363" i="2"/>
  <c r="E362" i="2"/>
  <c r="E361" i="2"/>
  <c r="E360" i="2"/>
  <c r="E359" i="2"/>
  <c r="D358" i="2"/>
  <c r="E357" i="2"/>
  <c r="E356" i="2"/>
  <c r="D355" i="2"/>
  <c r="E354" i="2"/>
  <c r="E353" i="2"/>
  <c r="D352" i="2"/>
  <c r="C348" i="2"/>
  <c r="E351" i="2"/>
  <c r="E350" i="2"/>
  <c r="D349" i="2"/>
  <c r="E368" i="19"/>
  <c r="E367" i="19"/>
  <c r="D366" i="19"/>
  <c r="E365" i="19"/>
  <c r="E364" i="19"/>
  <c r="E363" i="19"/>
  <c r="E362" i="19"/>
  <c r="E361" i="19"/>
  <c r="E360" i="19"/>
  <c r="D359" i="19"/>
  <c r="E358" i="19"/>
  <c r="E357" i="19"/>
  <c r="D356" i="19"/>
  <c r="E355" i="19"/>
  <c r="E354" i="19"/>
  <c r="E353" i="19"/>
  <c r="E352" i="19"/>
  <c r="D351" i="19"/>
  <c r="E350" i="19"/>
  <c r="D349" i="19"/>
  <c r="E348" i="19"/>
  <c r="E347" i="19"/>
  <c r="E346" i="19"/>
  <c r="E345" i="19"/>
  <c r="E344" i="19"/>
  <c r="E343" i="19"/>
  <c r="D342" i="19"/>
  <c r="C341" i="19"/>
  <c r="E334" i="24"/>
  <c r="E333" i="24"/>
  <c r="D332" i="24"/>
  <c r="E330" i="24"/>
  <c r="E331" i="24"/>
  <c r="E326" i="24"/>
  <c r="E329" i="24"/>
  <c r="E328" i="24"/>
  <c r="E327" i="24"/>
  <c r="D325" i="24"/>
  <c r="E324" i="24"/>
  <c r="D323" i="24"/>
  <c r="E320" i="24"/>
  <c r="E322" i="24"/>
  <c r="E321" i="24"/>
  <c r="E319" i="24"/>
  <c r="E318" i="24"/>
  <c r="D317" i="24"/>
  <c r="E316" i="24"/>
  <c r="D315" i="24"/>
  <c r="E314" i="24"/>
  <c r="E313" i="24"/>
  <c r="E312" i="24"/>
  <c r="D311" i="24"/>
  <c r="C310" i="24"/>
  <c r="E301" i="17"/>
  <c r="E300" i="17"/>
  <c r="D299" i="17"/>
  <c r="E298" i="17"/>
  <c r="E297" i="17"/>
  <c r="E296" i="17"/>
  <c r="E295" i="17"/>
  <c r="E294" i="17"/>
  <c r="D293" i="17"/>
  <c r="E292" i="17"/>
  <c r="D291" i="17"/>
  <c r="E290" i="17"/>
  <c r="E288" i="17"/>
  <c r="E287" i="17"/>
  <c r="E289" i="17"/>
  <c r="E286" i="17"/>
  <c r="D285" i="17"/>
  <c r="E284" i="17"/>
  <c r="D283" i="17"/>
  <c r="E282" i="17"/>
  <c r="E281" i="17"/>
  <c r="E280" i="17"/>
  <c r="E279" i="17"/>
  <c r="E278" i="17"/>
  <c r="E277" i="17"/>
  <c r="D276" i="17"/>
  <c r="C275" i="17"/>
  <c r="E365" i="18"/>
  <c r="E364" i="18"/>
  <c r="E362" i="18"/>
  <c r="E361" i="18"/>
  <c r="E360" i="18"/>
  <c r="E359" i="18"/>
  <c r="E358" i="18"/>
  <c r="E357" i="18"/>
  <c r="E355" i="18"/>
  <c r="E354" i="18"/>
  <c r="D363" i="18"/>
  <c r="D356" i="18"/>
  <c r="D353" i="18"/>
  <c r="E352" i="18"/>
  <c r="E351" i="18"/>
  <c r="E350" i="18"/>
  <c r="E349" i="18"/>
  <c r="D348" i="18"/>
  <c r="E347" i="18"/>
  <c r="D346" i="18"/>
  <c r="E345" i="18"/>
  <c r="E344" i="18"/>
  <c r="E343" i="18"/>
  <c r="E342" i="18"/>
  <c r="E341" i="18"/>
  <c r="E340" i="18"/>
  <c r="D339" i="18"/>
  <c r="C338" i="18"/>
  <c r="E347" i="2"/>
  <c r="E346" i="2"/>
  <c r="E345" i="2"/>
  <c r="D344" i="2"/>
  <c r="E343" i="2"/>
  <c r="E342" i="2"/>
  <c r="E341" i="2"/>
  <c r="D340" i="2"/>
  <c r="E339" i="2"/>
  <c r="D338" i="2"/>
  <c r="E337" i="2"/>
  <c r="E336" i="2"/>
  <c r="E335" i="2"/>
  <c r="E334" i="2"/>
  <c r="E333" i="2"/>
  <c r="D332" i="2"/>
  <c r="C331" i="2"/>
  <c r="E340" i="19"/>
  <c r="E339" i="19"/>
  <c r="E338" i="19"/>
  <c r="D337" i="19"/>
  <c r="E336" i="19"/>
  <c r="D335" i="19"/>
  <c r="E334" i="19"/>
  <c r="D333" i="19"/>
  <c r="E332" i="19"/>
  <c r="E331" i="19"/>
  <c r="E330" i="19"/>
  <c r="D329" i="19"/>
  <c r="E328" i="19"/>
  <c r="D327" i="19"/>
  <c r="E326" i="19"/>
  <c r="E325" i="19"/>
  <c r="E324" i="19"/>
  <c r="E323" i="19"/>
  <c r="E322" i="19"/>
  <c r="D321" i="19"/>
  <c r="C320" i="19"/>
  <c r="E309" i="24"/>
  <c r="E308" i="24"/>
  <c r="D307" i="24"/>
  <c r="E306" i="24"/>
  <c r="D305" i="24"/>
  <c r="E304" i="24"/>
  <c r="D303" i="24"/>
  <c r="E302" i="24"/>
  <c r="E301" i="24"/>
  <c r="E300" i="24"/>
  <c r="D299" i="24"/>
  <c r="E298" i="24"/>
  <c r="D297" i="24"/>
  <c r="E296" i="24"/>
  <c r="E295" i="24"/>
  <c r="E294" i="24"/>
  <c r="E293" i="24"/>
  <c r="E292" i="24"/>
  <c r="D291" i="24"/>
  <c r="C290" i="24"/>
  <c r="E274" i="17"/>
  <c r="D273" i="17"/>
  <c r="E272" i="17"/>
  <c r="E271" i="17"/>
  <c r="E270" i="17"/>
  <c r="D269" i="17"/>
  <c r="E268" i="17"/>
  <c r="D267" i="17"/>
  <c r="E266" i="17"/>
  <c r="E265" i="17"/>
  <c r="E264" i="17"/>
  <c r="D263" i="17"/>
  <c r="E262" i="17"/>
  <c r="E261" i="17"/>
  <c r="E260" i="17"/>
  <c r="E259" i="17"/>
  <c r="E258" i="17"/>
  <c r="D257" i="17"/>
  <c r="C256" i="17"/>
  <c r="E337" i="18"/>
  <c r="E336" i="18"/>
  <c r="E335" i="18"/>
  <c r="D334" i="18"/>
  <c r="E333" i="18"/>
  <c r="D332" i="18"/>
  <c r="E331" i="18"/>
  <c r="D330" i="18"/>
  <c r="E329" i="18"/>
  <c r="E327" i="18"/>
  <c r="E328" i="18"/>
  <c r="D326" i="18"/>
  <c r="E325" i="18"/>
  <c r="D324" i="18"/>
  <c r="E323" i="18"/>
  <c r="E322" i="18"/>
  <c r="E321" i="18"/>
  <c r="E320" i="18"/>
  <c r="E319" i="18"/>
  <c r="D318" i="18"/>
  <c r="C317" i="18"/>
  <c r="E330" i="2"/>
  <c r="D329" i="2"/>
  <c r="E328" i="2"/>
  <c r="E327" i="2"/>
  <c r="E326" i="2"/>
  <c r="E325" i="2"/>
  <c r="E324" i="2"/>
  <c r="E323" i="2"/>
  <c r="E322" i="2"/>
  <c r="E321" i="2"/>
  <c r="D320" i="2"/>
  <c r="C313" i="2"/>
  <c r="E319" i="2"/>
  <c r="E318" i="2"/>
  <c r="E317" i="2"/>
  <c r="E316" i="2"/>
  <c r="E315" i="2"/>
  <c r="D314" i="2"/>
  <c r="E319" i="19"/>
  <c r="D318" i="19"/>
  <c r="E317" i="19"/>
  <c r="E316" i="19"/>
  <c r="E315" i="19"/>
  <c r="E314" i="19"/>
  <c r="E313" i="19"/>
  <c r="E312" i="19"/>
  <c r="E311" i="19"/>
  <c r="D310" i="19"/>
  <c r="E309" i="19"/>
  <c r="E308" i="19"/>
  <c r="E307" i="19"/>
  <c r="E306" i="19"/>
  <c r="D305" i="19"/>
  <c r="C304" i="19"/>
  <c r="E278" i="24"/>
  <c r="E277" i="24"/>
  <c r="E280" i="24"/>
  <c r="E279" i="24"/>
  <c r="D276" i="24"/>
  <c r="C275" i="24"/>
  <c r="E285" i="24"/>
  <c r="E284" i="24"/>
  <c r="E283" i="24"/>
  <c r="E282" i="24"/>
  <c r="D281" i="24"/>
  <c r="E289" i="24"/>
  <c r="D288" i="24"/>
  <c r="E287" i="24"/>
  <c r="D286" i="24"/>
  <c r="E255" i="17"/>
  <c r="D254" i="17"/>
  <c r="E253" i="17"/>
  <c r="D252" i="17"/>
  <c r="D245" i="17"/>
  <c r="E251" i="17"/>
  <c r="E250" i="17"/>
  <c r="E249" i="17"/>
  <c r="E248" i="17"/>
  <c r="E247" i="17"/>
  <c r="E246" i="17"/>
  <c r="C241" i="17"/>
  <c r="D242" i="17"/>
  <c r="E244" i="17"/>
  <c r="E243" i="17"/>
  <c r="E316" i="18"/>
  <c r="E314" i="18"/>
  <c r="D313" i="18"/>
  <c r="E312" i="18"/>
  <c r="E311" i="18"/>
  <c r="E310" i="18"/>
  <c r="E309" i="18"/>
  <c r="E308" i="18"/>
  <c r="E307" i="18"/>
  <c r="D306" i="18"/>
  <c r="E305" i="18"/>
  <c r="E304" i="18"/>
  <c r="E303" i="18"/>
  <c r="D302" i="18"/>
  <c r="C301" i="18"/>
  <c r="D315" i="18"/>
  <c r="D308" i="2"/>
  <c r="E309" i="2"/>
  <c r="E312" i="2"/>
  <c r="E311" i="2"/>
  <c r="E310" i="2"/>
  <c r="E307" i="2"/>
  <c r="E306" i="2"/>
  <c r="E305" i="2"/>
  <c r="E304" i="2"/>
  <c r="E303" i="2"/>
  <c r="E302" i="2"/>
  <c r="D301" i="2"/>
  <c r="E300" i="2"/>
  <c r="E299" i="2"/>
  <c r="D298" i="2"/>
  <c r="C297" i="2"/>
  <c r="E303" i="19"/>
  <c r="E302" i="19"/>
  <c r="E301" i="19"/>
  <c r="D300" i="19"/>
  <c r="E299" i="19"/>
  <c r="E298" i="19"/>
  <c r="E295" i="19"/>
  <c r="E294" i="19"/>
  <c r="D293" i="19"/>
  <c r="E292" i="19"/>
  <c r="E291" i="19"/>
  <c r="D290" i="19"/>
  <c r="C289" i="19"/>
  <c r="E274" i="24"/>
  <c r="E273" i="24"/>
  <c r="E272" i="24"/>
  <c r="D271" i="24"/>
  <c r="E270" i="24"/>
  <c r="E269" i="24"/>
  <c r="D268" i="24"/>
  <c r="E267" i="24"/>
  <c r="E266" i="24"/>
  <c r="D265" i="24"/>
  <c r="C264" i="24"/>
  <c r="E300" i="18"/>
  <c r="E299" i="18"/>
  <c r="E298" i="18"/>
  <c r="D297" i="18"/>
  <c r="E296" i="18"/>
  <c r="E295" i="18"/>
  <c r="E294" i="18"/>
  <c r="E293" i="18"/>
  <c r="E292" i="18"/>
  <c r="D291" i="18"/>
  <c r="E290" i="18"/>
  <c r="E289" i="18"/>
  <c r="D288" i="18"/>
  <c r="C287" i="18"/>
  <c r="E296" i="2"/>
  <c r="E295" i="2"/>
  <c r="E294" i="2"/>
  <c r="D293" i="2"/>
  <c r="E292" i="2"/>
  <c r="E291" i="2"/>
  <c r="E290" i="2"/>
  <c r="E289" i="2"/>
  <c r="E288" i="2"/>
  <c r="D287" i="2"/>
  <c r="E286" i="2"/>
  <c r="E285" i="2"/>
  <c r="E284" i="2"/>
  <c r="E283" i="2"/>
  <c r="E282" i="2"/>
  <c r="E281" i="2"/>
  <c r="E280" i="2"/>
  <c r="E279" i="2"/>
  <c r="E278" i="2"/>
  <c r="E277" i="2"/>
  <c r="E276" i="2"/>
  <c r="E275" i="2"/>
  <c r="D274" i="2"/>
  <c r="C273" i="2"/>
  <c r="E284" i="19"/>
  <c r="E283" i="19"/>
  <c r="E282" i="19"/>
  <c r="E281" i="19"/>
  <c r="E280" i="19"/>
  <c r="D279" i="19"/>
  <c r="E288" i="19"/>
  <c r="E287" i="19"/>
  <c r="E286" i="19"/>
  <c r="D285" i="19"/>
  <c r="E278" i="19"/>
  <c r="E277" i="19"/>
  <c r="E276" i="19"/>
  <c r="E275" i="19"/>
  <c r="E274" i="19"/>
  <c r="E273" i="19"/>
  <c r="E272" i="19"/>
  <c r="E271" i="19"/>
  <c r="E270" i="19"/>
  <c r="E269" i="19"/>
  <c r="E268" i="19"/>
  <c r="E267" i="19"/>
  <c r="D266" i="19"/>
  <c r="C265" i="19"/>
  <c r="E263" i="24"/>
  <c r="E262" i="24"/>
  <c r="E261" i="24"/>
  <c r="D260" i="24"/>
  <c r="E259" i="24"/>
  <c r="E258" i="24"/>
  <c r="E257" i="24"/>
  <c r="E256" i="24"/>
  <c r="D255" i="24"/>
  <c r="E254" i="24"/>
  <c r="E253" i="24"/>
  <c r="E252" i="24"/>
  <c r="E251" i="24"/>
  <c r="E250" i="24"/>
  <c r="E249" i="24"/>
  <c r="E248" i="24"/>
  <c r="E247" i="24"/>
  <c r="E246" i="24"/>
  <c r="E245" i="24"/>
  <c r="E244" i="24"/>
  <c r="E243" i="24"/>
  <c r="D242" i="24"/>
  <c r="C241" i="24"/>
  <c r="E235" i="17"/>
  <c r="E236" i="17"/>
  <c r="E234" i="17"/>
  <c r="D233" i="17"/>
  <c r="E232" i="17"/>
  <c r="E231" i="17"/>
  <c r="E230" i="17"/>
  <c r="E229" i="17"/>
  <c r="E228" i="17"/>
  <c r="E227" i="17"/>
  <c r="E226" i="17"/>
  <c r="E225" i="17"/>
  <c r="E224" i="17"/>
  <c r="E223" i="17"/>
  <c r="E222" i="17"/>
  <c r="E221" i="17"/>
  <c r="D220" i="17"/>
  <c r="C219" i="17"/>
  <c r="E240" i="17"/>
  <c r="E239" i="17"/>
  <c r="E238" i="17"/>
  <c r="D237" i="17"/>
  <c r="E286" i="18"/>
  <c r="E285" i="18"/>
  <c r="E284" i="18"/>
  <c r="E277" i="18"/>
  <c r="E276" i="18"/>
  <c r="E274" i="18"/>
  <c r="E273" i="18"/>
  <c r="E271" i="18"/>
  <c r="E270" i="18"/>
  <c r="E268" i="18"/>
  <c r="E267" i="18"/>
  <c r="E275" i="18"/>
  <c r="E272" i="18"/>
  <c r="E269" i="18"/>
  <c r="E266" i="18"/>
  <c r="E282" i="18"/>
  <c r="E281" i="18"/>
  <c r="E280" i="18"/>
  <c r="E279" i="18"/>
  <c r="D265" i="18"/>
  <c r="D283" i="18"/>
  <c r="D278" i="18"/>
  <c r="C264" i="18"/>
  <c r="E272" i="2"/>
  <c r="E271" i="2"/>
  <c r="E270" i="2"/>
  <c r="D269" i="2"/>
  <c r="E268" i="2"/>
  <c r="E267" i="2"/>
  <c r="E266" i="2"/>
  <c r="E265" i="2"/>
  <c r="D264" i="2"/>
  <c r="E263" i="2"/>
  <c r="E262" i="2"/>
  <c r="E261" i="2"/>
  <c r="E260" i="2"/>
  <c r="E259" i="2"/>
  <c r="E258" i="2"/>
  <c r="D257" i="2"/>
  <c r="E256" i="2"/>
  <c r="E255" i="2"/>
  <c r="E254" i="2"/>
  <c r="E253" i="2"/>
  <c r="E252" i="2"/>
  <c r="E251" i="2"/>
  <c r="E250" i="2"/>
  <c r="E249" i="2"/>
  <c r="E248" i="2"/>
  <c r="D247" i="2"/>
  <c r="E246" i="2"/>
  <c r="E245" i="2"/>
  <c r="E244" i="2"/>
  <c r="E243" i="2"/>
  <c r="E242" i="2"/>
  <c r="E241" i="2"/>
  <c r="E240" i="2"/>
  <c r="E239" i="2"/>
  <c r="E238" i="2"/>
  <c r="E237" i="2"/>
  <c r="E236" i="2"/>
  <c r="E235" i="2"/>
  <c r="D234" i="2"/>
  <c r="E228" i="2"/>
  <c r="E233" i="2"/>
  <c r="E232" i="2"/>
  <c r="E231" i="2"/>
  <c r="E230" i="2"/>
  <c r="E229" i="2"/>
  <c r="E227" i="2"/>
  <c r="E226" i="2"/>
  <c r="D225" i="2"/>
  <c r="E224" i="2"/>
  <c r="D223" i="2"/>
  <c r="C222" i="2"/>
  <c r="E264" i="19"/>
  <c r="E263" i="19"/>
  <c r="E262" i="19"/>
  <c r="D261" i="19"/>
  <c r="E260" i="19"/>
  <c r="E259" i="19"/>
  <c r="E258" i="19"/>
  <c r="E257" i="19"/>
  <c r="D256" i="19"/>
  <c r="E255" i="19"/>
  <c r="E254" i="19"/>
  <c r="E253" i="19"/>
  <c r="E252" i="19"/>
  <c r="E251" i="19"/>
  <c r="E250" i="19"/>
  <c r="D249" i="19"/>
  <c r="E248" i="19"/>
  <c r="E247" i="19"/>
  <c r="E246" i="19"/>
  <c r="E245" i="19"/>
  <c r="E244" i="19"/>
  <c r="E243" i="19"/>
  <c r="E242" i="19"/>
  <c r="E241" i="19"/>
  <c r="E240" i="19"/>
  <c r="D239" i="19"/>
  <c r="E238" i="19"/>
  <c r="E237" i="19"/>
  <c r="E236" i="19"/>
  <c r="E235" i="19"/>
  <c r="E234" i="19"/>
  <c r="E233" i="19"/>
  <c r="E232" i="19"/>
  <c r="E231" i="19"/>
  <c r="E230" i="19"/>
  <c r="E229" i="19"/>
  <c r="E228" i="19"/>
  <c r="E227" i="19"/>
  <c r="E200" i="24"/>
  <c r="D226" i="19"/>
  <c r="D218" i="19"/>
  <c r="E219" i="19"/>
  <c r="E225" i="19"/>
  <c r="E224" i="19"/>
  <c r="E223" i="19"/>
  <c r="E222" i="19"/>
  <c r="E221" i="19"/>
  <c r="E220" i="19"/>
  <c r="E217" i="19"/>
  <c r="D216" i="19"/>
  <c r="C215" i="19"/>
  <c r="E189" i="24"/>
  <c r="E188" i="24"/>
  <c r="E187" i="24"/>
  <c r="E186" i="24"/>
  <c r="E185" i="24"/>
  <c r="D184" i="24"/>
  <c r="E183" i="24"/>
  <c r="D182" i="24"/>
  <c r="E181" i="24"/>
  <c r="E180" i="24"/>
  <c r="D179" i="24"/>
  <c r="E178" i="24"/>
  <c r="D177" i="24"/>
  <c r="E176" i="24"/>
  <c r="D175" i="24"/>
  <c r="E174" i="24"/>
  <c r="E173" i="24"/>
  <c r="E172" i="24"/>
  <c r="E171" i="24"/>
  <c r="E170" i="24"/>
  <c r="D169" i="24"/>
  <c r="C168" i="24"/>
  <c r="E221" i="2"/>
  <c r="E220" i="2"/>
  <c r="E219" i="2"/>
  <c r="E218" i="2"/>
  <c r="E217" i="2"/>
  <c r="D216" i="2"/>
  <c r="E215" i="2"/>
  <c r="D214" i="2"/>
  <c r="E213" i="2"/>
  <c r="D212" i="2"/>
  <c r="E211" i="2"/>
  <c r="D210" i="2"/>
  <c r="E209" i="2"/>
  <c r="D208" i="2"/>
  <c r="E207" i="2"/>
  <c r="E206" i="2"/>
  <c r="E205" i="2"/>
  <c r="E204" i="2"/>
  <c r="E203" i="2"/>
  <c r="D202" i="2"/>
  <c r="C201" i="2"/>
  <c r="E214" i="19"/>
  <c r="E213" i="19"/>
  <c r="E212" i="19"/>
  <c r="E211" i="19"/>
  <c r="E210" i="19"/>
  <c r="D209" i="19"/>
  <c r="E208" i="19"/>
  <c r="D207" i="19"/>
  <c r="E206" i="19"/>
  <c r="D205" i="19"/>
  <c r="E204" i="19"/>
  <c r="D203" i="19"/>
  <c r="E202" i="19"/>
  <c r="D201" i="19"/>
  <c r="E200" i="19"/>
  <c r="D199" i="19"/>
  <c r="E198" i="19"/>
  <c r="E197" i="19"/>
  <c r="E196" i="19"/>
  <c r="E195" i="19"/>
  <c r="E194" i="19"/>
  <c r="D193" i="19"/>
  <c r="C192" i="19"/>
  <c r="E240" i="24"/>
  <c r="D239" i="24"/>
  <c r="E238" i="24"/>
  <c r="E237" i="24"/>
  <c r="E236" i="24"/>
  <c r="D235" i="24"/>
  <c r="E234" i="24"/>
  <c r="E233" i="24"/>
  <c r="E232" i="24"/>
  <c r="E231" i="24"/>
  <c r="D230" i="24"/>
  <c r="E229" i="24"/>
  <c r="E228" i="24"/>
  <c r="E227" i="24"/>
  <c r="E226" i="24"/>
  <c r="E225" i="24"/>
  <c r="E224" i="24"/>
  <c r="D223" i="24"/>
  <c r="E222" i="24"/>
  <c r="E221" i="24"/>
  <c r="E220" i="24"/>
  <c r="E219" i="24"/>
  <c r="E218" i="24"/>
  <c r="E217" i="24"/>
  <c r="E216" i="24"/>
  <c r="E215" i="24"/>
  <c r="E214" i="24"/>
  <c r="D213" i="24"/>
  <c r="E212" i="24"/>
  <c r="E211" i="24"/>
  <c r="E210" i="24"/>
  <c r="E209" i="24"/>
  <c r="E208" i="24"/>
  <c r="E207" i="24"/>
  <c r="E206" i="24"/>
  <c r="E205" i="24"/>
  <c r="E204" i="24"/>
  <c r="E203" i="24"/>
  <c r="E202" i="24"/>
  <c r="E201" i="24"/>
  <c r="D199" i="24"/>
  <c r="E198" i="24"/>
  <c r="E197" i="24"/>
  <c r="E196" i="24"/>
  <c r="E195" i="24"/>
  <c r="E194" i="24"/>
  <c r="D193" i="24"/>
  <c r="E192" i="24"/>
  <c r="D191" i="24"/>
  <c r="C190" i="24"/>
  <c r="E263" i="18"/>
  <c r="E262" i="18"/>
  <c r="E259" i="18"/>
  <c r="E258" i="18"/>
  <c r="E257" i="18"/>
  <c r="E254" i="18"/>
  <c r="E253" i="18"/>
  <c r="E252" i="18"/>
  <c r="E251" i="18"/>
  <c r="E250" i="18"/>
  <c r="E247" i="18"/>
  <c r="E246" i="18"/>
  <c r="E245" i="18"/>
  <c r="E244" i="18"/>
  <c r="E243" i="18"/>
  <c r="E242" i="18"/>
  <c r="E241" i="18"/>
  <c r="E240" i="18"/>
  <c r="E237" i="18"/>
  <c r="E236" i="18"/>
  <c r="E235" i="18"/>
  <c r="E234" i="18"/>
  <c r="E233" i="18"/>
  <c r="E232" i="18"/>
  <c r="E231" i="18"/>
  <c r="E230" i="18"/>
  <c r="E229" i="18"/>
  <c r="E228" i="18"/>
  <c r="E227" i="18"/>
  <c r="E224" i="18"/>
  <c r="E223" i="18"/>
  <c r="E222" i="18"/>
  <c r="E221" i="18"/>
  <c r="E220" i="18"/>
  <c r="E219" i="18"/>
  <c r="E226" i="18"/>
  <c r="E239" i="18"/>
  <c r="E249" i="18"/>
  <c r="E256" i="18"/>
  <c r="E261" i="18"/>
  <c r="E218" i="18"/>
  <c r="E216" i="18"/>
  <c r="D260" i="18"/>
  <c r="D255" i="18"/>
  <c r="D248" i="18"/>
  <c r="D238" i="18"/>
  <c r="D225" i="18"/>
  <c r="D217" i="18"/>
  <c r="D215" i="18"/>
  <c r="C214" i="18"/>
  <c r="E218" i="17"/>
  <c r="E216" i="17"/>
  <c r="D217" i="17"/>
  <c r="D215" i="17"/>
  <c r="C214" i="17"/>
  <c r="E207" i="17"/>
  <c r="D206" i="17"/>
  <c r="E205" i="17"/>
  <c r="D204" i="17"/>
  <c r="E213" i="17"/>
  <c r="E212" i="17"/>
  <c r="E211" i="17"/>
  <c r="E210" i="17"/>
  <c r="E209" i="17"/>
  <c r="D208" i="17"/>
  <c r="E203" i="17"/>
  <c r="E202" i="17"/>
  <c r="E201" i="17"/>
  <c r="E200" i="17"/>
  <c r="E199" i="17"/>
  <c r="D198" i="17"/>
  <c r="C197" i="17"/>
  <c r="D208" i="18"/>
  <c r="E207" i="18"/>
  <c r="D206" i="18"/>
  <c r="E213" i="18"/>
  <c r="E212" i="18"/>
  <c r="E211" i="18"/>
  <c r="E210" i="18"/>
  <c r="E196" i="18"/>
  <c r="E195" i="18"/>
  <c r="E193" i="18"/>
  <c r="E194" i="18"/>
  <c r="E192" i="18"/>
  <c r="E198" i="18"/>
  <c r="E200" i="18"/>
  <c r="E202" i="18"/>
  <c r="E205" i="18"/>
  <c r="E204" i="18"/>
  <c r="E209" i="18"/>
  <c r="D203" i="18"/>
  <c r="D201" i="18"/>
  <c r="D199" i="18"/>
  <c r="D197" i="18"/>
  <c r="D191" i="18"/>
  <c r="C190" i="18"/>
  <c r="E196" i="17"/>
  <c r="E195" i="17"/>
  <c r="E194" i="17"/>
  <c r="E193" i="17"/>
  <c r="D192" i="17"/>
  <c r="D187" i="17"/>
  <c r="D189" i="17"/>
  <c r="E191" i="17"/>
  <c r="E190" i="17"/>
  <c r="E188" i="17"/>
  <c r="E186" i="17"/>
  <c r="E185" i="17"/>
  <c r="E183" i="17"/>
  <c r="E181" i="17"/>
  <c r="E179" i="17"/>
  <c r="E177" i="17"/>
  <c r="E175" i="17"/>
  <c r="D184" i="17"/>
  <c r="D182" i="17"/>
  <c r="D180" i="17"/>
  <c r="D178" i="17"/>
  <c r="D176" i="17"/>
  <c r="D174" i="17"/>
  <c r="C173" i="17"/>
  <c r="E200" i="2"/>
  <c r="D199" i="2"/>
  <c r="E198" i="2"/>
  <c r="D197" i="2"/>
  <c r="E196" i="2"/>
  <c r="D195" i="2"/>
  <c r="E194" i="2"/>
  <c r="D193" i="2"/>
  <c r="E192" i="2"/>
  <c r="E191" i="2"/>
  <c r="E190" i="2"/>
  <c r="E189" i="2"/>
  <c r="E188" i="2"/>
  <c r="E187" i="2"/>
  <c r="E186" i="2"/>
  <c r="E185" i="2"/>
  <c r="D184" i="2"/>
  <c r="E183" i="2"/>
  <c r="E182" i="2"/>
  <c r="E180" i="2"/>
  <c r="E179" i="2"/>
  <c r="E178" i="2"/>
  <c r="E177" i="2"/>
  <c r="E176" i="2"/>
  <c r="E175" i="2"/>
  <c r="E174" i="2"/>
  <c r="E173" i="2"/>
  <c r="E172" i="2"/>
  <c r="D171" i="2"/>
  <c r="C170" i="2"/>
  <c r="E191" i="19"/>
  <c r="D190" i="19"/>
  <c r="E189" i="19"/>
  <c r="D188" i="19"/>
  <c r="E187" i="19"/>
  <c r="D186" i="19"/>
  <c r="E185" i="19"/>
  <c r="E184" i="19"/>
  <c r="E183" i="19"/>
  <c r="E182" i="19"/>
  <c r="E181" i="19"/>
  <c r="E180" i="19"/>
  <c r="E179" i="19"/>
  <c r="D178" i="19"/>
  <c r="E177" i="19"/>
  <c r="E176" i="19"/>
  <c r="E175" i="19"/>
  <c r="E174" i="19"/>
  <c r="E173" i="19"/>
  <c r="E172" i="19"/>
  <c r="E171" i="19"/>
  <c r="E170" i="19"/>
  <c r="E169" i="19"/>
  <c r="E168" i="19"/>
  <c r="E167" i="19"/>
  <c r="E166" i="19"/>
  <c r="D165" i="19"/>
  <c r="C164" i="19"/>
  <c r="E167" i="24"/>
  <c r="E166" i="24"/>
  <c r="E165" i="24"/>
  <c r="E164" i="24"/>
  <c r="E163" i="24"/>
  <c r="E162" i="24"/>
  <c r="E161" i="24"/>
  <c r="D160" i="24"/>
  <c r="E159" i="24"/>
  <c r="E158" i="24"/>
  <c r="E157" i="24"/>
  <c r="E156" i="24"/>
  <c r="E155" i="24"/>
  <c r="E154" i="24"/>
  <c r="E153" i="24"/>
  <c r="E152" i="24"/>
  <c r="E151" i="24"/>
  <c r="E150" i="24"/>
  <c r="E149" i="24"/>
  <c r="E148" i="24"/>
  <c r="D147" i="24"/>
  <c r="C146" i="24"/>
  <c r="E172" i="17"/>
  <c r="D171" i="17"/>
  <c r="E170" i="17"/>
  <c r="D169" i="17"/>
  <c r="E166" i="17"/>
  <c r="E165" i="17"/>
  <c r="D164" i="17"/>
  <c r="E168" i="17"/>
  <c r="E167" i="17"/>
  <c r="E163" i="17"/>
  <c r="E162" i="17"/>
  <c r="E161" i="17"/>
  <c r="E160" i="17"/>
  <c r="E159" i="17"/>
  <c r="E158" i="17"/>
  <c r="E157" i="17"/>
  <c r="E156" i="17"/>
  <c r="E155" i="17"/>
  <c r="E154" i="17"/>
  <c r="E153" i="17"/>
  <c r="E152" i="17"/>
  <c r="D151" i="17"/>
  <c r="C150" i="17"/>
  <c r="E189" i="18"/>
  <c r="D188" i="18"/>
  <c r="E187" i="18"/>
  <c r="D186" i="18"/>
  <c r="E185" i="18"/>
  <c r="E184" i="18"/>
  <c r="E183" i="18"/>
  <c r="E182" i="18"/>
  <c r="E181" i="18"/>
  <c r="E180" i="18"/>
  <c r="E179" i="18"/>
  <c r="D178" i="18"/>
  <c r="E177" i="18"/>
  <c r="E176" i="18"/>
  <c r="E174" i="18"/>
  <c r="E173" i="18"/>
  <c r="E171" i="18"/>
  <c r="E170" i="18"/>
  <c r="E168" i="18"/>
  <c r="E167" i="18"/>
  <c r="E175" i="18"/>
  <c r="E172" i="18"/>
  <c r="E169" i="18"/>
  <c r="E166" i="18"/>
  <c r="D165" i="18"/>
  <c r="C164" i="18"/>
  <c r="C143" i="17"/>
  <c r="D144" i="17"/>
  <c r="E149" i="17"/>
  <c r="D148" i="17"/>
  <c r="E147" i="17"/>
  <c r="E146" i="17"/>
  <c r="E145" i="17"/>
  <c r="E145" i="24"/>
  <c r="D144" i="24"/>
  <c r="E143" i="24"/>
  <c r="D142" i="24"/>
  <c r="E141" i="24"/>
  <c r="E140" i="24"/>
  <c r="E139" i="24"/>
  <c r="E138" i="24"/>
  <c r="E137" i="24"/>
  <c r="D136" i="24"/>
  <c r="C135" i="24"/>
  <c r="E163" i="19"/>
  <c r="D162" i="19"/>
  <c r="E161" i="19"/>
  <c r="D160" i="19"/>
  <c r="E159" i="19"/>
  <c r="E158" i="19"/>
  <c r="E157" i="19"/>
  <c r="E156" i="19"/>
  <c r="E155" i="19"/>
  <c r="D154" i="19"/>
  <c r="C153" i="19"/>
  <c r="E169" i="2"/>
  <c r="D168" i="2"/>
  <c r="E167" i="2"/>
  <c r="D166" i="2"/>
  <c r="E165" i="2"/>
  <c r="E164" i="2"/>
  <c r="E163" i="2"/>
  <c r="E162" i="2"/>
  <c r="E161" i="2"/>
  <c r="D160" i="2"/>
  <c r="C159" i="2"/>
  <c r="E163" i="18"/>
  <c r="E161" i="18"/>
  <c r="E159" i="18"/>
  <c r="E158" i="18"/>
  <c r="E157" i="18"/>
  <c r="E156" i="18"/>
  <c r="E155" i="18"/>
  <c r="D154" i="18"/>
  <c r="D160" i="18"/>
  <c r="D162" i="18"/>
  <c r="C153" i="18"/>
  <c r="D150" i="18"/>
  <c r="D149" i="18"/>
  <c r="D148" i="18"/>
  <c r="C147" i="18"/>
  <c r="D140" i="17"/>
  <c r="D139" i="17"/>
  <c r="D138" i="17"/>
  <c r="C137" i="17"/>
  <c r="D132" i="24"/>
  <c r="D131" i="24"/>
  <c r="D130" i="24"/>
  <c r="C129" i="24"/>
  <c r="D150" i="19"/>
  <c r="D149" i="19"/>
  <c r="D148" i="19"/>
  <c r="C147" i="19"/>
  <c r="D156" i="2"/>
  <c r="D155" i="2"/>
  <c r="D154" i="2"/>
  <c r="C153" i="2"/>
  <c r="E152" i="2"/>
  <c r="E151" i="2"/>
  <c r="D150" i="2"/>
  <c r="E149" i="2"/>
  <c r="E148" i="2"/>
  <c r="E147" i="2"/>
  <c r="E146" i="2"/>
  <c r="E145" i="2"/>
  <c r="D144" i="2"/>
  <c r="E138" i="2"/>
  <c r="D137" i="2"/>
  <c r="E136" i="2"/>
  <c r="D135" i="2"/>
  <c r="E134" i="2"/>
  <c r="D133" i="2"/>
  <c r="C132" i="2"/>
  <c r="E143" i="2"/>
  <c r="E142" i="2"/>
  <c r="E141" i="2"/>
  <c r="E140" i="2"/>
  <c r="D139" i="2"/>
  <c r="E146" i="19"/>
  <c r="E145" i="19"/>
  <c r="D144" i="19"/>
  <c r="E143" i="19"/>
  <c r="E142" i="19"/>
  <c r="E141" i="19"/>
  <c r="E140" i="19"/>
  <c r="E139" i="19"/>
  <c r="D138" i="19"/>
  <c r="E137" i="19"/>
  <c r="E136" i="19"/>
  <c r="E135" i="19"/>
  <c r="E134" i="19"/>
  <c r="D133" i="19"/>
  <c r="E132" i="19"/>
  <c r="D131" i="19"/>
  <c r="E130" i="19"/>
  <c r="D129" i="19"/>
  <c r="C128" i="19"/>
  <c r="E136" i="17"/>
  <c r="D135" i="17"/>
  <c r="E134" i="17"/>
  <c r="E133" i="17"/>
  <c r="D132" i="17"/>
  <c r="E131" i="17"/>
  <c r="D130" i="17"/>
  <c r="E129" i="17"/>
  <c r="D128" i="17"/>
  <c r="C127" i="17"/>
  <c r="E146" i="18"/>
  <c r="E145" i="18"/>
  <c r="E143" i="18"/>
  <c r="E142" i="18"/>
  <c r="E141" i="18"/>
  <c r="E140" i="18"/>
  <c r="E139" i="18"/>
  <c r="E134" i="18"/>
  <c r="E137" i="18"/>
  <c r="E136" i="18"/>
  <c r="E135" i="18"/>
  <c r="E132" i="18"/>
  <c r="E130" i="18"/>
  <c r="D129" i="18"/>
  <c r="D131" i="18"/>
  <c r="D133" i="18"/>
  <c r="D138" i="18"/>
  <c r="D144" i="18"/>
  <c r="C128" i="18"/>
  <c r="E131" i="2"/>
  <c r="D130" i="2"/>
  <c r="E129" i="2"/>
  <c r="D128" i="2"/>
  <c r="C127" i="2"/>
  <c r="E125" i="19"/>
  <c r="E127" i="19"/>
  <c r="D126" i="19"/>
  <c r="D124" i="19"/>
  <c r="C123" i="19"/>
  <c r="E128" i="24"/>
  <c r="D127" i="24"/>
  <c r="C126" i="24"/>
  <c r="E126" i="17"/>
  <c r="D125" i="17"/>
  <c r="E124" i="17"/>
  <c r="D123" i="17"/>
  <c r="C122" i="17"/>
  <c r="E127" i="18"/>
  <c r="E125" i="18"/>
  <c r="D126" i="18"/>
  <c r="D124" i="18"/>
  <c r="C123" i="18"/>
  <c r="E126" i="2"/>
  <c r="E125" i="2"/>
  <c r="E124" i="2"/>
  <c r="E123" i="2"/>
  <c r="E122" i="2"/>
  <c r="D121" i="2"/>
  <c r="E120" i="2"/>
  <c r="E119" i="2"/>
  <c r="E118" i="2"/>
  <c r="E117" i="2"/>
  <c r="E116" i="2"/>
  <c r="E115" i="2"/>
  <c r="E114" i="2"/>
  <c r="E113" i="2"/>
  <c r="E112" i="2"/>
  <c r="E111" i="2"/>
  <c r="D110" i="2"/>
  <c r="E109" i="2"/>
  <c r="E108" i="2"/>
  <c r="D107" i="2"/>
  <c r="E106" i="2"/>
  <c r="E105" i="2"/>
  <c r="E104" i="2"/>
  <c r="E103" i="2"/>
  <c r="E102" i="2"/>
  <c r="D101" i="2"/>
  <c r="C100" i="2"/>
  <c r="E122" i="19"/>
  <c r="E121" i="19"/>
  <c r="E120" i="19"/>
  <c r="E119" i="19"/>
  <c r="E118" i="19"/>
  <c r="D117" i="19"/>
  <c r="E116" i="19"/>
  <c r="E115" i="19"/>
  <c r="E114" i="19"/>
  <c r="E113" i="19"/>
  <c r="E112" i="19"/>
  <c r="E111" i="19"/>
  <c r="D110" i="19"/>
  <c r="E109" i="19"/>
  <c r="E108" i="19"/>
  <c r="D107" i="19"/>
  <c r="E106" i="19"/>
  <c r="E105" i="19"/>
  <c r="E104" i="19"/>
  <c r="E103" i="19"/>
  <c r="E102" i="19"/>
  <c r="D101" i="19"/>
  <c r="C100" i="19"/>
  <c r="E125" i="24"/>
  <c r="E124" i="24"/>
  <c r="E123" i="24"/>
  <c r="E122" i="24"/>
  <c r="E121" i="24"/>
  <c r="D120" i="24"/>
  <c r="E112" i="24"/>
  <c r="E111" i="24"/>
  <c r="D110" i="24"/>
  <c r="E109" i="24"/>
  <c r="E108" i="24"/>
  <c r="E107" i="24"/>
  <c r="E106" i="24"/>
  <c r="E105" i="24"/>
  <c r="D104" i="24"/>
  <c r="C103" i="24"/>
  <c r="E119" i="24"/>
  <c r="E118" i="24"/>
  <c r="E117" i="24"/>
  <c r="E116" i="24"/>
  <c r="E115" i="24"/>
  <c r="E114" i="24"/>
  <c r="D113" i="24"/>
  <c r="E121" i="17"/>
  <c r="E120" i="17"/>
  <c r="E119" i="17"/>
  <c r="E118" i="17"/>
  <c r="E117" i="17"/>
  <c r="E116" i="17"/>
  <c r="D115" i="17"/>
  <c r="E114" i="17"/>
  <c r="E113" i="17"/>
  <c r="D112" i="17"/>
  <c r="E111" i="17"/>
  <c r="E110" i="17"/>
  <c r="E109" i="17"/>
  <c r="E108" i="17"/>
  <c r="E107" i="17"/>
  <c r="D106" i="17"/>
  <c r="C105" i="17"/>
  <c r="E122" i="18"/>
  <c r="E121" i="18"/>
  <c r="E120" i="18"/>
  <c r="E119" i="18"/>
  <c r="E118" i="18"/>
  <c r="E116" i="18"/>
  <c r="E115" i="18"/>
  <c r="E114" i="18"/>
  <c r="E113" i="18"/>
  <c r="E112" i="18"/>
  <c r="E111" i="18"/>
  <c r="E109" i="18"/>
  <c r="E108" i="18"/>
  <c r="E106" i="18"/>
  <c r="E105" i="18"/>
  <c r="E104" i="18"/>
  <c r="E103" i="18"/>
  <c r="E102" i="18"/>
  <c r="D117" i="18"/>
  <c r="D110" i="18"/>
  <c r="D107" i="18"/>
  <c r="D101" i="18"/>
  <c r="C100" i="18"/>
  <c r="E99" i="2"/>
  <c r="E98" i="2"/>
  <c r="D97" i="2"/>
  <c r="E96" i="2"/>
  <c r="E95" i="2"/>
  <c r="E94" i="2"/>
  <c r="E93" i="2"/>
  <c r="D92" i="2"/>
  <c r="E91" i="2"/>
  <c r="E90" i="2"/>
  <c r="E89" i="2"/>
  <c r="D88" i="2"/>
  <c r="C87" i="2"/>
  <c r="E99" i="19"/>
  <c r="E98" i="19"/>
  <c r="D97" i="19"/>
  <c r="E96" i="19"/>
  <c r="E95" i="19"/>
  <c r="E94" i="19"/>
  <c r="E93" i="19"/>
  <c r="D92" i="19"/>
  <c r="E91" i="19"/>
  <c r="E90" i="19"/>
  <c r="E89" i="19"/>
  <c r="D88" i="19"/>
  <c r="C87" i="19"/>
  <c r="E102" i="24"/>
  <c r="E101" i="24"/>
  <c r="D100" i="24"/>
  <c r="E99" i="24"/>
  <c r="E98" i="24"/>
  <c r="E97" i="24"/>
  <c r="E96" i="24"/>
  <c r="D95" i="24"/>
  <c r="E94" i="24"/>
  <c r="E93" i="24"/>
  <c r="E92" i="24"/>
  <c r="D91" i="24"/>
  <c r="C90" i="24"/>
  <c r="E104" i="17"/>
  <c r="E103" i="17"/>
  <c r="D102" i="17"/>
  <c r="E101" i="17"/>
  <c r="E100" i="17"/>
  <c r="E99" i="17"/>
  <c r="E98" i="17"/>
  <c r="D97" i="17"/>
  <c r="E96" i="17"/>
  <c r="E95" i="17"/>
  <c r="E94" i="17"/>
  <c r="D93" i="17"/>
  <c r="C92" i="17"/>
  <c r="E96" i="18"/>
  <c r="E95" i="18"/>
  <c r="E94" i="18"/>
  <c r="E93" i="18"/>
  <c r="E91" i="18"/>
  <c r="E90" i="18"/>
  <c r="E99" i="18"/>
  <c r="E98" i="18"/>
  <c r="E89" i="18"/>
  <c r="D97" i="18"/>
  <c r="D92" i="18"/>
  <c r="D88" i="18"/>
  <c r="C87" i="18"/>
  <c r="E86" i="2"/>
  <c r="E85" i="2"/>
  <c r="D84" i="2"/>
  <c r="E83" i="2"/>
  <c r="D82" i="2"/>
  <c r="E81" i="2"/>
  <c r="E80" i="2"/>
  <c r="E79" i="2"/>
  <c r="D78" i="2"/>
  <c r="E77" i="2"/>
  <c r="E76" i="2"/>
  <c r="D75" i="2"/>
  <c r="E74" i="2"/>
  <c r="D73" i="2"/>
  <c r="E72" i="2"/>
  <c r="D71" i="2"/>
  <c r="C70" i="2"/>
  <c r="E86" i="19"/>
  <c r="E85" i="19"/>
  <c r="D84" i="19"/>
  <c r="E83" i="19"/>
  <c r="D82" i="19"/>
  <c r="E81" i="19"/>
  <c r="E80" i="19"/>
  <c r="E79" i="19"/>
  <c r="D78" i="19"/>
  <c r="E77" i="19"/>
  <c r="E76" i="19"/>
  <c r="D75" i="19"/>
  <c r="E74" i="19"/>
  <c r="D73" i="19"/>
  <c r="E72" i="19"/>
  <c r="D71" i="19"/>
  <c r="C70" i="19"/>
  <c r="C78" i="24"/>
  <c r="C79" i="17"/>
  <c r="E91" i="17"/>
  <c r="E90" i="17"/>
  <c r="D89" i="17"/>
  <c r="E88" i="17"/>
  <c r="D87" i="17"/>
  <c r="E86" i="17"/>
  <c r="E85" i="17"/>
  <c r="D84" i="17"/>
  <c r="E83" i="17"/>
  <c r="D82" i="17"/>
  <c r="E81" i="17"/>
  <c r="D80" i="17"/>
  <c r="E83" i="24"/>
  <c r="E82" i="24"/>
  <c r="D81" i="24"/>
  <c r="E80" i="24"/>
  <c r="D79" i="24"/>
  <c r="E89" i="24"/>
  <c r="D88" i="24"/>
  <c r="E87" i="24"/>
  <c r="E86" i="24"/>
  <c r="E85" i="24"/>
  <c r="D84" i="24"/>
  <c r="E77" i="18"/>
  <c r="E81" i="18"/>
  <c r="E80" i="18"/>
  <c r="E86" i="18"/>
  <c r="E85" i="18"/>
  <c r="D84" i="18"/>
  <c r="E83" i="18"/>
  <c r="D82" i="18"/>
  <c r="E79" i="18"/>
  <c r="D78" i="18"/>
  <c r="E76" i="18"/>
  <c r="D75" i="18"/>
  <c r="E74" i="18"/>
  <c r="D73" i="18"/>
  <c r="E72" i="18"/>
  <c r="D71" i="18"/>
  <c r="C70" i="18"/>
  <c r="E69" i="2"/>
  <c r="D68" i="2"/>
  <c r="E67" i="2"/>
  <c r="E66" i="2"/>
  <c r="E65" i="2"/>
  <c r="D64" i="2"/>
  <c r="E63" i="2"/>
  <c r="D62" i="2"/>
  <c r="E61" i="2"/>
  <c r="D60" i="2"/>
  <c r="C59" i="2"/>
  <c r="E69" i="19"/>
  <c r="D68" i="19"/>
  <c r="E67" i="19"/>
  <c r="E66" i="19"/>
  <c r="E65" i="19"/>
  <c r="D64" i="19"/>
  <c r="E63" i="19"/>
  <c r="D62" i="19"/>
  <c r="E61" i="19"/>
  <c r="D60" i="19"/>
  <c r="C59" i="19"/>
  <c r="E77" i="24"/>
  <c r="D76" i="24"/>
  <c r="E75" i="24"/>
  <c r="E74" i="24"/>
  <c r="E73" i="24"/>
  <c r="D72" i="24"/>
  <c r="E71" i="24"/>
  <c r="D70" i="24"/>
  <c r="E69" i="24"/>
  <c r="D68" i="24"/>
  <c r="C67" i="24"/>
  <c r="E69" i="18"/>
  <c r="D68" i="18"/>
  <c r="E67" i="18"/>
  <c r="E66" i="18"/>
  <c r="E65" i="18"/>
  <c r="D64" i="18"/>
  <c r="E63" i="18"/>
  <c r="D62" i="18"/>
  <c r="E61" i="18"/>
  <c r="D60" i="18"/>
  <c r="C59" i="18"/>
  <c r="E76" i="17"/>
  <c r="E75" i="17"/>
  <c r="E78" i="17"/>
  <c r="E74" i="17"/>
  <c r="E72" i="17"/>
  <c r="E70" i="17"/>
  <c r="D77" i="17"/>
  <c r="D73" i="17"/>
  <c r="D71" i="17"/>
  <c r="D69" i="17"/>
  <c r="C68" i="17"/>
  <c r="E58" i="18"/>
  <c r="E57" i="18"/>
  <c r="D56" i="18"/>
  <c r="E55" i="18"/>
  <c r="E54" i="18"/>
  <c r="E53" i="18"/>
  <c r="D52" i="18"/>
  <c r="E51" i="18"/>
  <c r="D50" i="18"/>
  <c r="E49" i="18"/>
  <c r="E48" i="18"/>
  <c r="E47" i="18"/>
  <c r="E46" i="18"/>
  <c r="E45" i="18"/>
  <c r="E44" i="18"/>
  <c r="E43" i="18"/>
  <c r="E42" i="18"/>
  <c r="E41" i="18"/>
  <c r="D40" i="18"/>
  <c r="C39" i="18"/>
  <c r="E58" i="2"/>
  <c r="E57" i="2"/>
  <c r="D56" i="2"/>
  <c r="E55" i="2"/>
  <c r="E54" i="2"/>
  <c r="E53" i="2"/>
  <c r="D52" i="2"/>
  <c r="E51" i="2"/>
  <c r="D50" i="2"/>
  <c r="E49" i="2"/>
  <c r="E48" i="2"/>
  <c r="E47" i="2"/>
  <c r="E46" i="2"/>
  <c r="E45" i="2"/>
  <c r="E44" i="2"/>
  <c r="E43" i="2"/>
  <c r="E42" i="2"/>
  <c r="E41" i="2"/>
  <c r="D40" i="2"/>
  <c r="C39" i="2"/>
  <c r="E58" i="19"/>
  <c r="E57" i="19"/>
  <c r="D56" i="19"/>
  <c r="E55" i="19"/>
  <c r="E54" i="19"/>
  <c r="E53" i="19"/>
  <c r="D52" i="19"/>
  <c r="E51" i="19"/>
  <c r="D50" i="19"/>
  <c r="E49" i="19"/>
  <c r="E48" i="19"/>
  <c r="E47" i="19"/>
  <c r="E46" i="19"/>
  <c r="E45" i="19"/>
  <c r="E44" i="19"/>
  <c r="E43" i="19"/>
  <c r="E42" i="19"/>
  <c r="E41" i="19"/>
  <c r="D40" i="19"/>
  <c r="C39" i="19"/>
  <c r="C47" i="24"/>
  <c r="E66" i="24"/>
  <c r="E65" i="24"/>
  <c r="D64" i="24"/>
  <c r="E63" i="24"/>
  <c r="E62" i="24"/>
  <c r="E61" i="24"/>
  <c r="D60" i="24"/>
  <c r="E59" i="24"/>
  <c r="D58" i="24"/>
  <c r="E57" i="24"/>
  <c r="E56" i="24"/>
  <c r="E55" i="24"/>
  <c r="E54" i="24"/>
  <c r="E53" i="24"/>
  <c r="E52" i="24"/>
  <c r="E51" i="24"/>
  <c r="E50" i="24"/>
  <c r="E49" i="24"/>
  <c r="D48" i="24"/>
  <c r="E55" i="17"/>
  <c r="E67" i="17"/>
  <c r="E64" i="17"/>
  <c r="E63" i="17"/>
  <c r="E66" i="17"/>
  <c r="E62" i="17"/>
  <c r="E60" i="17"/>
  <c r="D65" i="17"/>
  <c r="D61" i="17"/>
  <c r="D59" i="17"/>
  <c r="E58" i="17"/>
  <c r="E57" i="17"/>
  <c r="E56" i="17"/>
  <c r="E54" i="17"/>
  <c r="E53" i="17"/>
  <c r="E52" i="17"/>
  <c r="E51" i="17"/>
  <c r="E50" i="17"/>
  <c r="E49" i="17"/>
  <c r="E48" i="17"/>
  <c r="E47" i="17"/>
  <c r="E46" i="17"/>
  <c r="D45" i="17"/>
  <c r="E43" i="17"/>
  <c r="D42" i="17"/>
  <c r="E41" i="17"/>
  <c r="E40" i="17"/>
  <c r="D39" i="17"/>
  <c r="C44" i="17"/>
  <c r="E39" i="24" l="1"/>
  <c r="D38" i="24"/>
  <c r="C37" i="24"/>
  <c r="D40" i="24"/>
  <c r="E33" i="2"/>
  <c r="E32" i="2"/>
  <c r="D31" i="2"/>
  <c r="E30" i="2"/>
  <c r="D29" i="2"/>
  <c r="C28" i="2"/>
  <c r="E33" i="19"/>
  <c r="E32" i="19"/>
  <c r="D31" i="19"/>
  <c r="E30" i="19"/>
  <c r="D29" i="19"/>
  <c r="C28" i="19"/>
  <c r="E33" i="18"/>
  <c r="E32" i="18"/>
  <c r="D31" i="18"/>
  <c r="E30" i="18"/>
  <c r="D29" i="18"/>
  <c r="C28" i="18"/>
  <c r="D37" i="17"/>
  <c r="E36" i="17"/>
  <c r="D35" i="17"/>
  <c r="C34" i="17"/>
  <c r="E33" i="17"/>
  <c r="D32" i="17"/>
  <c r="E31" i="17"/>
  <c r="D30" i="17"/>
  <c r="C29" i="17"/>
  <c r="C39" i="25"/>
  <c r="E38" i="17" s="1"/>
  <c r="E36" i="24"/>
  <c r="E35" i="24"/>
  <c r="E34" i="24"/>
  <c r="E33" i="24"/>
  <c r="E32" i="24"/>
  <c r="E31" i="24"/>
  <c r="E30" i="24"/>
  <c r="E29" i="24"/>
  <c r="D28" i="24"/>
  <c r="E28" i="17"/>
  <c r="E26" i="17"/>
  <c r="E25" i="17"/>
  <c r="E24" i="17"/>
  <c r="D23" i="17"/>
  <c r="E27" i="2"/>
  <c r="E25" i="2"/>
  <c r="E24" i="2"/>
  <c r="E23" i="2"/>
  <c r="D22" i="2"/>
  <c r="E21" i="2"/>
  <c r="D20" i="2"/>
  <c r="E27" i="19"/>
  <c r="E25" i="19"/>
  <c r="E24" i="19"/>
  <c r="E23" i="19"/>
  <c r="D22" i="19"/>
  <c r="E21" i="19"/>
  <c r="D20" i="19"/>
  <c r="E27" i="24"/>
  <c r="E25" i="24"/>
  <c r="E24" i="24"/>
  <c r="E23" i="24"/>
  <c r="D22" i="24"/>
  <c r="E21" i="24"/>
  <c r="D20" i="24"/>
  <c r="E27" i="18"/>
  <c r="E25" i="18"/>
  <c r="E24" i="18"/>
  <c r="E23" i="18"/>
  <c r="D22" i="18"/>
  <c r="E21" i="18"/>
  <c r="D20" i="18"/>
  <c r="E22" i="17"/>
  <c r="E21" i="17"/>
  <c r="D20" i="17"/>
  <c r="E19" i="2"/>
  <c r="E18" i="2"/>
  <c r="D17" i="2"/>
  <c r="E16" i="2"/>
  <c r="E15" i="2"/>
  <c r="E14" i="2"/>
  <c r="D13" i="2"/>
  <c r="C12" i="2"/>
  <c r="E19" i="19"/>
  <c r="E18" i="19"/>
  <c r="D17" i="19"/>
  <c r="E16" i="19"/>
  <c r="E15" i="19"/>
  <c r="E14" i="19"/>
  <c r="D13" i="19"/>
  <c r="C12" i="19"/>
  <c r="E19" i="24"/>
  <c r="E18" i="24"/>
  <c r="D17" i="24"/>
  <c r="E16" i="24"/>
  <c r="E15" i="24"/>
  <c r="E14" i="24"/>
  <c r="D13" i="24"/>
  <c r="C12" i="24"/>
  <c r="E19" i="17"/>
  <c r="E18" i="17"/>
  <c r="D17" i="17"/>
  <c r="E16" i="17"/>
  <c r="E15" i="17"/>
  <c r="E14" i="17"/>
  <c r="D13" i="17"/>
  <c r="C12" i="17"/>
  <c r="E19" i="18"/>
  <c r="E18" i="18"/>
  <c r="D17" i="18"/>
  <c r="E16" i="18"/>
  <c r="E15" i="18"/>
  <c r="E14" i="18"/>
  <c r="D13" i="18"/>
  <c r="C12" i="18"/>
  <c r="E41" i="24" l="1"/>
  <c r="H372" i="18"/>
  <c r="H308" i="17"/>
  <c r="H341" i="24"/>
  <c r="H375" i="19"/>
  <c r="H373" i="2"/>
  <c r="P140" i="24" l="1"/>
  <c r="E4" i="24" l="1"/>
  <c r="E3" i="24"/>
  <c r="E2" i="24"/>
  <c r="P309" i="24"/>
  <c r="P308" i="24"/>
  <c r="P307" i="24"/>
  <c r="P518" i="24"/>
  <c r="P517" i="24"/>
  <c r="P516" i="24"/>
  <c r="P515" i="24"/>
  <c r="P514" i="24"/>
  <c r="P513" i="24"/>
  <c r="P512" i="24"/>
  <c r="P511" i="24"/>
  <c r="P510" i="24"/>
  <c r="P509" i="24"/>
  <c r="P508" i="24"/>
  <c r="P507" i="24"/>
  <c r="P506" i="24"/>
  <c r="P505" i="24"/>
  <c r="P504" i="24"/>
  <c r="P503" i="24"/>
  <c r="P502" i="24"/>
  <c r="P501" i="24"/>
  <c r="P500" i="24"/>
  <c r="P499" i="24"/>
  <c r="P498" i="24"/>
  <c r="P497" i="24"/>
  <c r="P496" i="24"/>
  <c r="P495" i="24"/>
  <c r="P494" i="24"/>
  <c r="P493" i="24"/>
  <c r="P492" i="24"/>
  <c r="P491" i="24"/>
  <c r="P490" i="24"/>
  <c r="P489" i="24"/>
  <c r="P488" i="24"/>
  <c r="P487" i="24"/>
  <c r="P486" i="24"/>
  <c r="P485" i="24"/>
  <c r="P484" i="24"/>
  <c r="P483" i="24"/>
  <c r="P482" i="24"/>
  <c r="P481" i="24"/>
  <c r="P480" i="24"/>
  <c r="P479" i="24"/>
  <c r="P478" i="24"/>
  <c r="P477" i="24"/>
  <c r="P476" i="24"/>
  <c r="P475" i="24"/>
  <c r="P474" i="24"/>
  <c r="P473" i="24"/>
  <c r="P472" i="24"/>
  <c r="P471" i="24"/>
  <c r="P470" i="24"/>
  <c r="P469" i="24"/>
  <c r="P468" i="24"/>
  <c r="P467" i="24"/>
  <c r="P466" i="24"/>
  <c r="P465" i="24"/>
  <c r="P464" i="24"/>
  <c r="P463" i="24"/>
  <c r="P462" i="24"/>
  <c r="P461" i="24"/>
  <c r="P460" i="24"/>
  <c r="P459" i="24"/>
  <c r="P458" i="24"/>
  <c r="P457" i="24"/>
  <c r="P456" i="24"/>
  <c r="P455" i="24"/>
  <c r="P454" i="24"/>
  <c r="P453" i="24"/>
  <c r="P452" i="24"/>
  <c r="P451" i="24"/>
  <c r="P450" i="24"/>
  <c r="P449" i="24"/>
  <c r="P448" i="24"/>
  <c r="P447" i="24"/>
  <c r="P446" i="24"/>
  <c r="P445" i="24"/>
  <c r="P444" i="24"/>
  <c r="P443" i="24"/>
  <c r="P442" i="24"/>
  <c r="P441" i="24"/>
  <c r="P440" i="24"/>
  <c r="P439" i="24"/>
  <c r="P438" i="24"/>
  <c r="P437" i="24"/>
  <c r="P436" i="24"/>
  <c r="P435" i="24"/>
  <c r="P434" i="24"/>
  <c r="P433" i="24"/>
  <c r="P432" i="24"/>
  <c r="P431" i="24"/>
  <c r="P430" i="24"/>
  <c r="P429" i="24"/>
  <c r="P428" i="24"/>
  <c r="P427" i="24"/>
  <c r="P426" i="24"/>
  <c r="P425" i="24"/>
  <c r="P424" i="24"/>
  <c r="P423" i="24"/>
  <c r="P422" i="24"/>
  <c r="P421" i="24"/>
  <c r="P420" i="24"/>
  <c r="P419" i="24"/>
  <c r="P418" i="24"/>
  <c r="P417" i="24"/>
  <c r="P416" i="24"/>
  <c r="P415" i="24"/>
  <c r="P414" i="24"/>
  <c r="P413" i="24"/>
  <c r="P412" i="24"/>
  <c r="P411" i="24"/>
  <c r="P410" i="24"/>
  <c r="P409" i="24"/>
  <c r="P408" i="24"/>
  <c r="P407" i="24"/>
  <c r="P406" i="24"/>
  <c r="P405" i="24"/>
  <c r="P404" i="24"/>
  <c r="P403" i="24"/>
  <c r="P402" i="24"/>
  <c r="P401" i="24"/>
  <c r="P400" i="24"/>
  <c r="P399" i="24"/>
  <c r="P398" i="24"/>
  <c r="P397" i="24"/>
  <c r="P396" i="24"/>
  <c r="P395" i="24"/>
  <c r="P394" i="24"/>
  <c r="P393" i="24"/>
  <c r="P392" i="24"/>
  <c r="P391" i="24"/>
  <c r="P390" i="24"/>
  <c r="P389" i="24"/>
  <c r="P388" i="24"/>
  <c r="P387" i="24"/>
  <c r="P386" i="24"/>
  <c r="P385" i="24"/>
  <c r="P384" i="24"/>
  <c r="P383" i="24"/>
  <c r="P382" i="24"/>
  <c r="P381" i="24"/>
  <c r="P380" i="24"/>
  <c r="P379" i="24"/>
  <c r="P378" i="24"/>
  <c r="P377" i="24"/>
  <c r="P376" i="24"/>
  <c r="P375" i="24"/>
  <c r="P374" i="24"/>
  <c r="P373" i="24"/>
  <c r="P372" i="24"/>
  <c r="P371" i="24"/>
  <c r="P370" i="24"/>
  <c r="P369" i="24"/>
  <c r="P368" i="24"/>
  <c r="P367" i="24"/>
  <c r="P366" i="24"/>
  <c r="P365" i="24"/>
  <c r="P364" i="24"/>
  <c r="P363" i="24"/>
  <c r="P362" i="24"/>
  <c r="P361" i="24"/>
  <c r="P360" i="24"/>
  <c r="P359" i="24"/>
  <c r="P358" i="24"/>
  <c r="P357" i="24"/>
  <c r="P356" i="24"/>
  <c r="P355" i="24"/>
  <c r="P354" i="24"/>
  <c r="P353" i="24"/>
  <c r="P352" i="24"/>
  <c r="P351" i="24"/>
  <c r="P350" i="24"/>
  <c r="P349" i="24"/>
  <c r="P348" i="24"/>
  <c r="P347" i="24"/>
  <c r="P346" i="24"/>
  <c r="P345" i="24"/>
  <c r="P344" i="24"/>
  <c r="P343" i="24"/>
  <c r="P342" i="24"/>
  <c r="P341" i="24"/>
  <c r="P340" i="24"/>
  <c r="P339" i="24"/>
  <c r="P338" i="24"/>
  <c r="P337" i="24"/>
  <c r="P336" i="24"/>
  <c r="P335" i="24"/>
  <c r="P334" i="24"/>
  <c r="P333" i="24"/>
  <c r="P332" i="24"/>
  <c r="P331" i="24"/>
  <c r="P330" i="24"/>
  <c r="P329" i="24"/>
  <c r="P328" i="24"/>
  <c r="P327" i="24"/>
  <c r="P326" i="24"/>
  <c r="P325" i="24"/>
  <c r="P324" i="24"/>
  <c r="P323" i="24"/>
  <c r="P322" i="24"/>
  <c r="P321" i="24"/>
  <c r="P320" i="24"/>
  <c r="P319" i="24"/>
  <c r="P318" i="24"/>
  <c r="P317" i="24"/>
  <c r="P316" i="24"/>
  <c r="P315" i="24"/>
  <c r="P314" i="24"/>
  <c r="P313" i="24"/>
  <c r="P312" i="24"/>
  <c r="P311" i="24"/>
  <c r="P310" i="24"/>
  <c r="P306" i="24"/>
  <c r="P305" i="24"/>
  <c r="P304" i="24"/>
  <c r="P303" i="24"/>
  <c r="P302" i="24"/>
  <c r="P301" i="24"/>
  <c r="P300" i="24"/>
  <c r="P299" i="24"/>
  <c r="P298" i="24"/>
  <c r="P297" i="24"/>
  <c r="P296" i="24"/>
  <c r="P295" i="24"/>
  <c r="P294" i="24"/>
  <c r="P293" i="24"/>
  <c r="P292" i="24"/>
  <c r="P291" i="24"/>
  <c r="P290" i="24"/>
  <c r="P289" i="24"/>
  <c r="P288" i="24"/>
  <c r="P287" i="24"/>
  <c r="P286" i="24"/>
  <c r="P285" i="24"/>
  <c r="P284" i="24"/>
  <c r="P283" i="24"/>
  <c r="P282" i="24"/>
  <c r="P281" i="24"/>
  <c r="P280" i="24"/>
  <c r="P279" i="24"/>
  <c r="P278" i="24"/>
  <c r="P277" i="24"/>
  <c r="P276" i="24"/>
  <c r="P275" i="24"/>
  <c r="P274" i="24"/>
  <c r="P273" i="24"/>
  <c r="P272" i="24"/>
  <c r="P271" i="24"/>
  <c r="P270" i="24"/>
  <c r="P269" i="24"/>
  <c r="P268" i="24"/>
  <c r="P267" i="24"/>
  <c r="P266" i="24"/>
  <c r="P265" i="24"/>
  <c r="P264" i="24"/>
  <c r="P263" i="24"/>
  <c r="P262" i="24"/>
  <c r="P261" i="24"/>
  <c r="P260" i="24"/>
  <c r="P259" i="24"/>
  <c r="P258" i="24"/>
  <c r="P257" i="24"/>
  <c r="P256" i="24"/>
  <c r="P255" i="24"/>
  <c r="P254" i="24"/>
  <c r="P253" i="24"/>
  <c r="P252" i="24"/>
  <c r="P251" i="24"/>
  <c r="P250" i="24"/>
  <c r="P249" i="24"/>
  <c r="P248" i="24"/>
  <c r="P247" i="24"/>
  <c r="P246" i="24"/>
  <c r="P245" i="24"/>
  <c r="P244" i="24"/>
  <c r="P243" i="24"/>
  <c r="P242" i="24"/>
  <c r="P241" i="24"/>
  <c r="P240" i="24"/>
  <c r="P239" i="24"/>
  <c r="P238" i="24"/>
  <c r="P237" i="24"/>
  <c r="P236" i="24"/>
  <c r="P235" i="24"/>
  <c r="P234" i="24"/>
  <c r="P233" i="24"/>
  <c r="P232" i="24"/>
  <c r="P231" i="24"/>
  <c r="P230" i="24"/>
  <c r="P229" i="24"/>
  <c r="P228" i="24"/>
  <c r="P227" i="24"/>
  <c r="P226" i="24"/>
  <c r="P225" i="24"/>
  <c r="P224" i="24"/>
  <c r="P223" i="24"/>
  <c r="P222" i="24"/>
  <c r="P221" i="24"/>
  <c r="P220" i="24"/>
  <c r="P219" i="24"/>
  <c r="P218" i="24"/>
  <c r="P217" i="24"/>
  <c r="P216" i="24"/>
  <c r="P215" i="24"/>
  <c r="P214" i="24"/>
  <c r="P213" i="24"/>
  <c r="P212" i="24"/>
  <c r="P211" i="24"/>
  <c r="P210" i="24"/>
  <c r="P209" i="24"/>
  <c r="P208" i="24"/>
  <c r="P207" i="24"/>
  <c r="P206" i="24"/>
  <c r="P205" i="24"/>
  <c r="P204" i="24"/>
  <c r="P203" i="24"/>
  <c r="P202" i="24"/>
  <c r="P201" i="24"/>
  <c r="P200" i="24"/>
  <c r="P199" i="24"/>
  <c r="P198" i="24"/>
  <c r="P197" i="24"/>
  <c r="P196" i="24"/>
  <c r="P195" i="24"/>
  <c r="P194" i="24"/>
  <c r="P193" i="24"/>
  <c r="P192" i="24"/>
  <c r="P191" i="24"/>
  <c r="P190" i="24"/>
  <c r="P189" i="24"/>
  <c r="P188" i="24"/>
  <c r="P187" i="24"/>
  <c r="P186" i="24"/>
  <c r="P185" i="24"/>
  <c r="P184" i="24"/>
  <c r="P183" i="24"/>
  <c r="P182" i="24"/>
  <c r="P181" i="24"/>
  <c r="P180" i="24"/>
  <c r="P179" i="24"/>
  <c r="P178" i="24"/>
  <c r="P177" i="24"/>
  <c r="P176" i="24"/>
  <c r="P175" i="24"/>
  <c r="P174" i="24"/>
  <c r="P173" i="24"/>
  <c r="P172" i="24"/>
  <c r="P171" i="24"/>
  <c r="P170" i="24"/>
  <c r="P169" i="24"/>
  <c r="P168" i="24"/>
  <c r="P167" i="24"/>
  <c r="P166" i="24"/>
  <c r="P165" i="24"/>
  <c r="P164" i="24"/>
  <c r="P163" i="24"/>
  <c r="P162" i="24"/>
  <c r="P161" i="24"/>
  <c r="P160" i="24"/>
  <c r="P159" i="24"/>
  <c r="P158" i="24"/>
  <c r="P157" i="24"/>
  <c r="P156" i="24"/>
  <c r="P155" i="24"/>
  <c r="P154" i="24"/>
  <c r="P153" i="24"/>
  <c r="P152" i="24"/>
  <c r="P151" i="24"/>
  <c r="P150" i="24"/>
  <c r="P149" i="24"/>
  <c r="P148" i="24"/>
  <c r="P147" i="24"/>
  <c r="P146" i="24"/>
  <c r="P145" i="24"/>
  <c r="P144" i="24"/>
  <c r="P143" i="24"/>
  <c r="P142" i="24"/>
  <c r="P141" i="24"/>
  <c r="P139" i="24"/>
  <c r="P138" i="24"/>
  <c r="P137" i="24"/>
  <c r="P136" i="24"/>
  <c r="P135" i="24"/>
  <c r="P133" i="24"/>
  <c r="P132" i="24"/>
  <c r="P131" i="24"/>
  <c r="P130" i="24"/>
  <c r="P129" i="24"/>
  <c r="P128" i="24"/>
  <c r="Q126" i="24" s="1"/>
  <c r="P127" i="24"/>
  <c r="P126" i="24"/>
  <c r="P125" i="24"/>
  <c r="P124" i="24"/>
  <c r="P123" i="24"/>
  <c r="P122" i="24"/>
  <c r="P121" i="24"/>
  <c r="P120" i="24"/>
  <c r="P119" i="24"/>
  <c r="P118" i="24"/>
  <c r="P117" i="24"/>
  <c r="P116" i="24"/>
  <c r="P115" i="24"/>
  <c r="P114" i="24"/>
  <c r="P113" i="24"/>
  <c r="P112" i="24"/>
  <c r="P111" i="24"/>
  <c r="P110" i="24"/>
  <c r="P109" i="24"/>
  <c r="P108" i="24"/>
  <c r="P107" i="24"/>
  <c r="P106" i="24"/>
  <c r="P105" i="24"/>
  <c r="P104" i="24"/>
  <c r="P103" i="24"/>
  <c r="P102" i="24"/>
  <c r="P101" i="24"/>
  <c r="P100" i="24"/>
  <c r="P99" i="24"/>
  <c r="P98" i="24"/>
  <c r="P97" i="24"/>
  <c r="P96" i="24"/>
  <c r="P95" i="24"/>
  <c r="P94" i="24"/>
  <c r="P93" i="24"/>
  <c r="P92" i="24"/>
  <c r="P91" i="24"/>
  <c r="P90" i="24"/>
  <c r="P89" i="24"/>
  <c r="P88" i="24"/>
  <c r="P87" i="24"/>
  <c r="P86" i="24"/>
  <c r="P85" i="24"/>
  <c r="P84" i="24"/>
  <c r="P83" i="24"/>
  <c r="P82" i="24"/>
  <c r="P81" i="24"/>
  <c r="P80" i="24"/>
  <c r="P79" i="24"/>
  <c r="P78" i="24"/>
  <c r="P77" i="24"/>
  <c r="P76" i="24"/>
  <c r="P74" i="24"/>
  <c r="P75" i="24" s="1"/>
  <c r="P73" i="24"/>
  <c r="P72" i="24"/>
  <c r="P71" i="24"/>
  <c r="P70" i="24"/>
  <c r="P69" i="24"/>
  <c r="P68" i="24"/>
  <c r="P67" i="24"/>
  <c r="P66" i="24"/>
  <c r="P65" i="24"/>
  <c r="P64" i="24"/>
  <c r="P62" i="24"/>
  <c r="P63" i="24" s="1"/>
  <c r="P61" i="24"/>
  <c r="P60" i="24"/>
  <c r="P59" i="24"/>
  <c r="P58" i="24"/>
  <c r="P57" i="24"/>
  <c r="P56" i="24"/>
  <c r="P55" i="24"/>
  <c r="P54" i="24"/>
  <c r="P53" i="24"/>
  <c r="P52" i="24"/>
  <c r="P51" i="24"/>
  <c r="P50" i="24"/>
  <c r="P49" i="24"/>
  <c r="P48" i="24"/>
  <c r="P47" i="24"/>
  <c r="P46" i="24"/>
  <c r="P45" i="24"/>
  <c r="P44" i="24"/>
  <c r="P43" i="24"/>
  <c r="P42" i="24"/>
  <c r="P41" i="24"/>
  <c r="P40" i="24"/>
  <c r="P39" i="24"/>
  <c r="P38" i="24"/>
  <c r="P37" i="24"/>
  <c r="P36" i="24"/>
  <c r="P35" i="24"/>
  <c r="P34" i="24"/>
  <c r="P33" i="24"/>
  <c r="P32" i="24"/>
  <c r="P31" i="24"/>
  <c r="P30" i="24"/>
  <c r="P29" i="24"/>
  <c r="P28" i="24"/>
  <c r="P27" i="24"/>
  <c r="P25" i="24"/>
  <c r="P24" i="24"/>
  <c r="P23" i="24"/>
  <c r="P22" i="24"/>
  <c r="P21" i="24"/>
  <c r="P20" i="24"/>
  <c r="P19" i="24"/>
  <c r="P18" i="24"/>
  <c r="P17" i="24"/>
  <c r="P16" i="24"/>
  <c r="P15" i="24"/>
  <c r="P14" i="24"/>
  <c r="P13" i="24"/>
  <c r="P12" i="24"/>
  <c r="Q412" i="24" l="1"/>
  <c r="Q129" i="24"/>
  <c r="F129" i="24" s="1"/>
  <c r="Q12" i="24"/>
  <c r="F12" i="24" s="1"/>
  <c r="Q135" i="24"/>
  <c r="F135" i="24" s="1"/>
  <c r="Q290" i="24"/>
  <c r="F290" i="24" s="1"/>
  <c r="Q485" i="24"/>
  <c r="R485" i="24" s="1"/>
  <c r="Q67" i="24"/>
  <c r="F67" i="24" s="1"/>
  <c r="Q500" i="24"/>
  <c r="F500" i="24" s="1"/>
  <c r="Q103" i="24"/>
  <c r="F103" i="24" s="1"/>
  <c r="Q264" i="24"/>
  <c r="R264" i="24" s="1"/>
  <c r="Q348" i="24"/>
  <c r="F348" i="24" s="1"/>
  <c r="Q454" i="24"/>
  <c r="R454" i="24" s="1"/>
  <c r="Q78" i="24"/>
  <c r="R78" i="24" s="1"/>
  <c r="Q37" i="24"/>
  <c r="F37" i="24" s="1"/>
  <c r="Q190" i="24"/>
  <c r="F190" i="24" s="1"/>
  <c r="R126" i="24"/>
  <c r="F126" i="24"/>
  <c r="Q168" i="24"/>
  <c r="F168" i="24" s="1"/>
  <c r="Q275" i="24"/>
  <c r="F275" i="24" s="1"/>
  <c r="Q375" i="24"/>
  <c r="F375" i="24" s="1"/>
  <c r="Q392" i="24"/>
  <c r="F392" i="24" s="1"/>
  <c r="Q463" i="24"/>
  <c r="F463" i="24" s="1"/>
  <c r="Q90" i="24"/>
  <c r="R90" i="24" s="1"/>
  <c r="Q310" i="24"/>
  <c r="R310" i="24" s="1"/>
  <c r="F412" i="24"/>
  <c r="Q47" i="24"/>
  <c r="R47" i="24" s="1"/>
  <c r="Q146" i="24"/>
  <c r="R146" i="24" s="1"/>
  <c r="Q241" i="24"/>
  <c r="R241" i="24" s="1"/>
  <c r="Q335" i="24"/>
  <c r="R335" i="24" s="1"/>
  <c r="Q431" i="24"/>
  <c r="R431" i="24" s="1"/>
  <c r="R275" i="24" l="1"/>
  <c r="F454" i="24"/>
  <c r="R135" i="24"/>
  <c r="R500" i="24"/>
  <c r="R290" i="24"/>
  <c r="F310" i="24"/>
  <c r="R375" i="24"/>
  <c r="F485" i="24"/>
  <c r="R129" i="24"/>
  <c r="R348" i="24"/>
  <c r="F431" i="24"/>
  <c r="F146" i="24"/>
  <c r="R463" i="24"/>
  <c r="R168" i="24"/>
  <c r="F264" i="24"/>
  <c r="R67" i="24"/>
  <c r="F78" i="24"/>
  <c r="R103" i="24"/>
  <c r="F335" i="24"/>
  <c r="F47" i="24"/>
  <c r="R412" i="24"/>
  <c r="R392" i="24"/>
  <c r="R190" i="24"/>
  <c r="R37" i="24"/>
  <c r="F241" i="24"/>
  <c r="R12" i="24"/>
  <c r="F90" i="24"/>
  <c r="T290" i="24" l="1"/>
  <c r="I2" i="24" s="1"/>
  <c r="T12" i="24"/>
  <c r="G2" i="24" s="1"/>
  <c r="T392" i="24"/>
  <c r="I3" i="24" s="1"/>
  <c r="T90" i="24"/>
  <c r="G3" i="24" s="1"/>
  <c r="T135" i="24"/>
  <c r="G4" i="24" s="1"/>
  <c r="U12" i="24" l="1"/>
  <c r="M2" i="24" s="1"/>
  <c r="P215" i="17" l="1"/>
  <c r="P216" i="17"/>
  <c r="P217" i="17"/>
  <c r="P218" i="17"/>
  <c r="H372" i="17"/>
  <c r="H375" i="17"/>
  <c r="P479" i="18" l="1"/>
  <c r="P480" i="19"/>
  <c r="P198" i="19" l="1"/>
  <c r="P148" i="18"/>
  <c r="P149" i="18"/>
  <c r="P150" i="18"/>
  <c r="P151" i="18"/>
  <c r="P138" i="17"/>
  <c r="P139" i="17"/>
  <c r="P140" i="17"/>
  <c r="P141" i="17"/>
  <c r="P148" i="19"/>
  <c r="P149" i="19"/>
  <c r="P150" i="19"/>
  <c r="P151" i="19"/>
  <c r="P58" i="2"/>
  <c r="Q147" i="18" l="1"/>
  <c r="Q147" i="19"/>
  <c r="Q137" i="17"/>
  <c r="P154" i="2"/>
  <c r="P155" i="2"/>
  <c r="P156" i="2"/>
  <c r="P157" i="2"/>
  <c r="Q153" i="2" l="1"/>
  <c r="H196" i="17"/>
  <c r="P196" i="17" s="1"/>
  <c r="H195" i="17"/>
  <c r="P195" i="17" s="1"/>
  <c r="H391" i="17"/>
  <c r="H383" i="17"/>
  <c r="H382" i="17"/>
  <c r="H381" i="17"/>
  <c r="H380" i="17"/>
  <c r="H379" i="17"/>
  <c r="H378" i="17"/>
  <c r="H377" i="17"/>
  <c r="H376" i="17"/>
  <c r="H374" i="17"/>
  <c r="H373" i="17"/>
  <c r="H387" i="17"/>
  <c r="P387" i="17" s="1"/>
  <c r="H388" i="17"/>
  <c r="P388" i="17" s="1"/>
  <c r="H389" i="17"/>
  <c r="P389" i="17" s="1"/>
  <c r="H386" i="17"/>
  <c r="P386" i="17" s="1"/>
  <c r="H186" i="17"/>
  <c r="H185" i="17"/>
  <c r="H37" i="17"/>
  <c r="H38" i="17"/>
  <c r="H33" i="17"/>
  <c r="H31" i="17"/>
  <c r="P535" i="18" l="1"/>
  <c r="P534" i="18"/>
  <c r="P418" i="17"/>
  <c r="P415" i="17"/>
  <c r="P414" i="17"/>
  <c r="P413" i="17"/>
  <c r="P412" i="17"/>
  <c r="P408" i="17"/>
  <c r="P347" i="17"/>
  <c r="P346" i="17"/>
  <c r="P412" i="18"/>
  <c r="P411" i="18"/>
  <c r="P365" i="19"/>
  <c r="P364" i="19"/>
  <c r="P355" i="19"/>
  <c r="P354" i="19"/>
  <c r="P350" i="19"/>
  <c r="P349" i="19"/>
  <c r="P348" i="19"/>
  <c r="P347" i="19"/>
  <c r="P346" i="19"/>
  <c r="P345" i="19"/>
  <c r="P297" i="17"/>
  <c r="P298" i="17"/>
  <c r="P284" i="17"/>
  <c r="P283" i="17"/>
  <c r="P282" i="17"/>
  <c r="P281" i="17"/>
  <c r="P280" i="17"/>
  <c r="P279" i="17"/>
  <c r="P362" i="18"/>
  <c r="P352" i="18"/>
  <c r="P351" i="18"/>
  <c r="P289" i="17"/>
  <c r="P288" i="17"/>
  <c r="P287" i="17"/>
  <c r="P347" i="18"/>
  <c r="P346" i="18"/>
  <c r="P345" i="18"/>
  <c r="P344" i="18"/>
  <c r="P343" i="18"/>
  <c r="P342" i="18"/>
  <c r="P336" i="19"/>
  <c r="P335" i="19"/>
  <c r="P334" i="19"/>
  <c r="P333" i="19"/>
  <c r="P333" i="18"/>
  <c r="P332" i="18"/>
  <c r="P331" i="18"/>
  <c r="P330" i="18"/>
  <c r="P272" i="17"/>
  <c r="P271" i="17"/>
  <c r="P270" i="17"/>
  <c r="P269" i="17"/>
  <c r="P268" i="17"/>
  <c r="P267" i="17"/>
  <c r="P314" i="18"/>
  <c r="P313" i="18"/>
  <c r="P253" i="17"/>
  <c r="P252" i="17"/>
  <c r="P299" i="19"/>
  <c r="P298" i="19"/>
  <c r="P295" i="18"/>
  <c r="P205" i="18" l="1"/>
  <c r="P202" i="18"/>
  <c r="P201" i="18"/>
  <c r="P207" i="17"/>
  <c r="P205" i="17"/>
  <c r="P204" i="17"/>
  <c r="Q214" i="17" l="1"/>
  <c r="P204" i="19" l="1"/>
  <c r="P203" i="19"/>
  <c r="P191" i="17"/>
  <c r="P190" i="17"/>
  <c r="P189" i="17"/>
  <c r="P188" i="17"/>
  <c r="P187" i="17"/>
  <c r="P186" i="17"/>
  <c r="P185" i="17"/>
  <c r="P184" i="17"/>
  <c r="P194" i="17"/>
  <c r="P183" i="17"/>
  <c r="P182" i="17"/>
  <c r="P193" i="17"/>
  <c r="P192" i="17"/>
  <c r="P181" i="17"/>
  <c r="P180" i="17"/>
  <c r="P179" i="17"/>
  <c r="P178" i="17"/>
  <c r="P177" i="17"/>
  <c r="P176" i="17"/>
  <c r="P175" i="17"/>
  <c r="P174" i="17"/>
  <c r="P173" i="17"/>
  <c r="P115" i="18"/>
  <c r="Q173" i="17" l="1"/>
  <c r="F173" i="17" s="1"/>
  <c r="P54" i="17"/>
  <c r="P53" i="17"/>
  <c r="P52" i="17"/>
  <c r="P55" i="17"/>
  <c r="P33" i="17"/>
  <c r="P32" i="17"/>
  <c r="P31" i="17"/>
  <c r="P30" i="17"/>
  <c r="P29" i="17"/>
  <c r="P540" i="19"/>
  <c r="P539" i="19"/>
  <c r="P538" i="19"/>
  <c r="P537" i="19"/>
  <c r="P536" i="19"/>
  <c r="P535" i="19"/>
  <c r="P534" i="19"/>
  <c r="P533" i="19"/>
  <c r="P532" i="19"/>
  <c r="P531" i="19"/>
  <c r="P530" i="19"/>
  <c r="P529" i="19"/>
  <c r="P528" i="19"/>
  <c r="P527" i="19"/>
  <c r="P526" i="19"/>
  <c r="P525" i="19"/>
  <c r="P524" i="19"/>
  <c r="P523" i="19"/>
  <c r="P522" i="19"/>
  <c r="P521" i="19"/>
  <c r="P520" i="19"/>
  <c r="P519" i="19"/>
  <c r="P518" i="19"/>
  <c r="P517" i="19"/>
  <c r="P516" i="19"/>
  <c r="P515" i="19"/>
  <c r="P514" i="19"/>
  <c r="P513" i="19"/>
  <c r="P512" i="19"/>
  <c r="P511" i="19"/>
  <c r="P510" i="19"/>
  <c r="P509" i="19"/>
  <c r="P508" i="19"/>
  <c r="P507" i="19"/>
  <c r="P506" i="19"/>
  <c r="P505" i="19"/>
  <c r="P504" i="19"/>
  <c r="P503" i="19"/>
  <c r="P502" i="19"/>
  <c r="P501" i="19"/>
  <c r="P500" i="19"/>
  <c r="P499" i="19"/>
  <c r="P498" i="19"/>
  <c r="P497" i="19"/>
  <c r="P496" i="19"/>
  <c r="P495" i="19"/>
  <c r="P494" i="19"/>
  <c r="P493" i="19"/>
  <c r="P492" i="19"/>
  <c r="P491" i="19"/>
  <c r="P490" i="19"/>
  <c r="P489" i="19"/>
  <c r="P488" i="19"/>
  <c r="P487" i="19"/>
  <c r="P486" i="19"/>
  <c r="P485" i="19"/>
  <c r="P484" i="19"/>
  <c r="P483" i="19"/>
  <c r="P482" i="19"/>
  <c r="P481" i="19"/>
  <c r="P479" i="19"/>
  <c r="P478" i="19"/>
  <c r="P477" i="19"/>
  <c r="P476" i="19"/>
  <c r="P475" i="19"/>
  <c r="P474" i="19"/>
  <c r="P473" i="19"/>
  <c r="P472" i="19"/>
  <c r="P471" i="19"/>
  <c r="P470" i="19"/>
  <c r="P469" i="19"/>
  <c r="P468" i="19"/>
  <c r="P467" i="19"/>
  <c r="P466" i="19"/>
  <c r="P465" i="19"/>
  <c r="P464" i="19"/>
  <c r="P463" i="19"/>
  <c r="P462" i="19"/>
  <c r="P461" i="19"/>
  <c r="P460" i="19"/>
  <c r="P459" i="19"/>
  <c r="P458" i="19"/>
  <c r="P457" i="19"/>
  <c r="P456" i="19"/>
  <c r="P455" i="19"/>
  <c r="P454" i="19"/>
  <c r="P453" i="19"/>
  <c r="P452" i="19"/>
  <c r="P451" i="19"/>
  <c r="P450" i="19"/>
  <c r="P449" i="19"/>
  <c r="P448" i="19"/>
  <c r="P447" i="19"/>
  <c r="P446" i="19"/>
  <c r="P445" i="19"/>
  <c r="P444" i="19"/>
  <c r="P443" i="19"/>
  <c r="P442" i="19"/>
  <c r="P441" i="19"/>
  <c r="P440" i="19"/>
  <c r="P439" i="19"/>
  <c r="P438" i="19"/>
  <c r="P437" i="19"/>
  <c r="P436" i="19"/>
  <c r="P435" i="19"/>
  <c r="P434" i="19"/>
  <c r="P433" i="19"/>
  <c r="P432" i="19"/>
  <c r="P431" i="19"/>
  <c r="P430" i="19"/>
  <c r="P429" i="19"/>
  <c r="P428" i="19"/>
  <c r="P427" i="19"/>
  <c r="P426" i="19"/>
  <c r="P425" i="19"/>
  <c r="P424" i="19"/>
  <c r="P423" i="19"/>
  <c r="P422" i="19"/>
  <c r="P421" i="19"/>
  <c r="P420" i="19"/>
  <c r="P419" i="19"/>
  <c r="P418" i="19"/>
  <c r="P417" i="19"/>
  <c r="P416" i="19"/>
  <c r="P415" i="19"/>
  <c r="P414" i="19"/>
  <c r="P413" i="19"/>
  <c r="P412" i="19"/>
  <c r="P411" i="19"/>
  <c r="P410" i="19"/>
  <c r="P409" i="19"/>
  <c r="P408" i="19"/>
  <c r="P407" i="19"/>
  <c r="P406" i="19"/>
  <c r="P405" i="19"/>
  <c r="P404" i="19"/>
  <c r="P403" i="19"/>
  <c r="P402" i="19"/>
  <c r="P401" i="19"/>
  <c r="P400" i="19"/>
  <c r="P399" i="19"/>
  <c r="P398" i="19"/>
  <c r="P397" i="19"/>
  <c r="P396" i="19"/>
  <c r="P395" i="19"/>
  <c r="P394" i="19"/>
  <c r="P393" i="19"/>
  <c r="P392" i="19"/>
  <c r="P391" i="19"/>
  <c r="P390" i="19"/>
  <c r="P389" i="19"/>
  <c r="P388" i="19"/>
  <c r="P387" i="19"/>
  <c r="P386" i="19"/>
  <c r="P385" i="19"/>
  <c r="P384" i="19"/>
  <c r="P383" i="19"/>
  <c r="P382" i="19"/>
  <c r="P381" i="19"/>
  <c r="P380" i="19"/>
  <c r="P379" i="19"/>
  <c r="P378" i="19"/>
  <c r="P377" i="19"/>
  <c r="P376" i="19"/>
  <c r="P375" i="19"/>
  <c r="P374" i="19"/>
  <c r="P373" i="19"/>
  <c r="P372" i="19"/>
  <c r="P371" i="19"/>
  <c r="P370" i="19"/>
  <c r="P369" i="19"/>
  <c r="P368" i="19"/>
  <c r="P367" i="19"/>
  <c r="P366" i="19"/>
  <c r="P363" i="19"/>
  <c r="P362" i="19"/>
  <c r="P361" i="19"/>
  <c r="P360" i="19"/>
  <c r="P359" i="19"/>
  <c r="P358" i="19"/>
  <c r="P357" i="19"/>
  <c r="P356" i="19"/>
  <c r="P353" i="19"/>
  <c r="P352" i="19"/>
  <c r="P351" i="19"/>
  <c r="P344" i="19"/>
  <c r="P343" i="19"/>
  <c r="P342" i="19"/>
  <c r="P341" i="19"/>
  <c r="P340" i="19"/>
  <c r="P339" i="19"/>
  <c r="P338" i="19"/>
  <c r="P337" i="19"/>
  <c r="P332" i="19"/>
  <c r="P331" i="19"/>
  <c r="P330" i="19"/>
  <c r="P329" i="19"/>
  <c r="P328" i="19"/>
  <c r="P327" i="19"/>
  <c r="P326" i="19"/>
  <c r="P325" i="19"/>
  <c r="P324" i="19"/>
  <c r="P323" i="19"/>
  <c r="P322" i="19"/>
  <c r="P321" i="19"/>
  <c r="P320" i="19"/>
  <c r="P319" i="19"/>
  <c r="P318" i="19"/>
  <c r="P317" i="19"/>
  <c r="P316" i="19"/>
  <c r="P315" i="19"/>
  <c r="P314" i="19"/>
  <c r="P313" i="19"/>
  <c r="P312" i="19"/>
  <c r="P311" i="19"/>
  <c r="P310" i="19"/>
  <c r="P309" i="19"/>
  <c r="P308" i="19"/>
  <c r="P307" i="19"/>
  <c r="P306" i="19"/>
  <c r="P305" i="19"/>
  <c r="P304" i="19"/>
  <c r="P303" i="19"/>
  <c r="P302" i="19"/>
  <c r="P301" i="19"/>
  <c r="P300" i="19"/>
  <c r="P296" i="19"/>
  <c r="P295" i="19"/>
  <c r="P294" i="19"/>
  <c r="P293" i="19"/>
  <c r="P292" i="19"/>
  <c r="P291" i="19"/>
  <c r="P290" i="19"/>
  <c r="P289" i="19"/>
  <c r="P288" i="19"/>
  <c r="P287" i="19"/>
  <c r="P286" i="19"/>
  <c r="P285" i="19"/>
  <c r="P284" i="19"/>
  <c r="P283" i="19"/>
  <c r="P282" i="19"/>
  <c r="P281" i="19"/>
  <c r="P280" i="19"/>
  <c r="P279" i="19"/>
  <c r="P278" i="19"/>
  <c r="P277" i="19"/>
  <c r="P276" i="19"/>
  <c r="P275" i="19"/>
  <c r="P274" i="19"/>
  <c r="P273" i="19"/>
  <c r="P272" i="19"/>
  <c r="P271" i="19"/>
  <c r="P270" i="19"/>
  <c r="P269" i="19"/>
  <c r="P268" i="19"/>
  <c r="P267" i="19"/>
  <c r="P266" i="19"/>
  <c r="P265" i="19"/>
  <c r="P264" i="19"/>
  <c r="P263" i="19"/>
  <c r="P262" i="19"/>
  <c r="P261" i="19"/>
  <c r="P260" i="19"/>
  <c r="P259" i="19"/>
  <c r="P258" i="19"/>
  <c r="P257" i="19"/>
  <c r="P256" i="19"/>
  <c r="P255" i="19"/>
  <c r="P254" i="19"/>
  <c r="P253" i="19"/>
  <c r="P252" i="19"/>
  <c r="P251" i="19"/>
  <c r="P250" i="19"/>
  <c r="P249" i="19"/>
  <c r="P248" i="19"/>
  <c r="P247" i="19"/>
  <c r="P246" i="19"/>
  <c r="P245" i="19"/>
  <c r="P244" i="19"/>
  <c r="P243" i="19"/>
  <c r="P242" i="19"/>
  <c r="P241" i="19"/>
  <c r="P240" i="19"/>
  <c r="P239" i="19"/>
  <c r="P238" i="19"/>
  <c r="P237" i="19"/>
  <c r="P236" i="19"/>
  <c r="P235" i="19"/>
  <c r="P234" i="19"/>
  <c r="P233" i="19"/>
  <c r="P232" i="19"/>
  <c r="P231" i="19"/>
  <c r="P230" i="19"/>
  <c r="P229" i="19"/>
  <c r="P228" i="19"/>
  <c r="P227" i="19"/>
  <c r="P226" i="19"/>
  <c r="P225" i="19"/>
  <c r="P224" i="19"/>
  <c r="P223" i="19"/>
  <c r="P222" i="19"/>
  <c r="P221" i="19"/>
  <c r="P220" i="19"/>
  <c r="P219" i="19"/>
  <c r="P218" i="19"/>
  <c r="P217" i="19"/>
  <c r="P216" i="19"/>
  <c r="P215" i="19"/>
  <c r="P214" i="19"/>
  <c r="P213" i="19"/>
  <c r="P212" i="19"/>
  <c r="P211" i="19"/>
  <c r="P210" i="19"/>
  <c r="P209" i="19"/>
  <c r="P208" i="19"/>
  <c r="P207" i="19"/>
  <c r="P206" i="19"/>
  <c r="P205" i="19"/>
  <c r="P202" i="19"/>
  <c r="P201" i="19"/>
  <c r="P200" i="19"/>
  <c r="P199" i="19"/>
  <c r="P197" i="19"/>
  <c r="P196" i="19"/>
  <c r="P195" i="19"/>
  <c r="P194" i="19"/>
  <c r="P193" i="19"/>
  <c r="P192" i="19"/>
  <c r="P191" i="19"/>
  <c r="P190" i="19"/>
  <c r="P189" i="19"/>
  <c r="P188" i="19"/>
  <c r="P187" i="19"/>
  <c r="P186" i="19"/>
  <c r="P185" i="19"/>
  <c r="P184" i="19"/>
  <c r="P183" i="19"/>
  <c r="P182" i="19"/>
  <c r="P181" i="19"/>
  <c r="P180" i="19"/>
  <c r="P179" i="19"/>
  <c r="P178" i="19"/>
  <c r="P177" i="19"/>
  <c r="P176" i="19"/>
  <c r="P175" i="19"/>
  <c r="P174" i="19"/>
  <c r="P173" i="19"/>
  <c r="P172" i="19"/>
  <c r="P171" i="19"/>
  <c r="P170" i="19"/>
  <c r="P169" i="19"/>
  <c r="P168" i="19"/>
  <c r="P167" i="19"/>
  <c r="P166" i="19"/>
  <c r="P165" i="19"/>
  <c r="P164" i="19"/>
  <c r="P163" i="19"/>
  <c r="P162" i="19"/>
  <c r="P161" i="19"/>
  <c r="P160" i="19"/>
  <c r="P159" i="19"/>
  <c r="P158" i="19"/>
  <c r="P157" i="19"/>
  <c r="P156" i="19"/>
  <c r="P155" i="19"/>
  <c r="P154" i="19"/>
  <c r="P153" i="19"/>
  <c r="P147" i="19"/>
  <c r="P146" i="19"/>
  <c r="P145" i="19"/>
  <c r="P144" i="19"/>
  <c r="P143" i="19"/>
  <c r="P142" i="19"/>
  <c r="P141" i="19"/>
  <c r="P140" i="19"/>
  <c r="P139" i="19"/>
  <c r="P138" i="19"/>
  <c r="P137" i="19"/>
  <c r="P136" i="19"/>
  <c r="P135" i="19"/>
  <c r="P134" i="19"/>
  <c r="P133" i="19"/>
  <c r="P132" i="19"/>
  <c r="P131" i="19"/>
  <c r="P130" i="19"/>
  <c r="P129" i="19"/>
  <c r="P128" i="19"/>
  <c r="P127" i="19"/>
  <c r="P126" i="19"/>
  <c r="P125" i="19"/>
  <c r="P124" i="19"/>
  <c r="P123" i="19"/>
  <c r="P122" i="19"/>
  <c r="P121" i="19"/>
  <c r="P120" i="19"/>
  <c r="P119" i="19"/>
  <c r="P118" i="19"/>
  <c r="P117" i="19"/>
  <c r="P116" i="19"/>
  <c r="P115" i="19"/>
  <c r="P114" i="19"/>
  <c r="P113" i="19"/>
  <c r="P112" i="19"/>
  <c r="P111" i="19"/>
  <c r="P110" i="19"/>
  <c r="P109" i="19"/>
  <c r="P108" i="19"/>
  <c r="P107" i="19"/>
  <c r="P106" i="19"/>
  <c r="P105" i="19"/>
  <c r="P104" i="19"/>
  <c r="P103" i="19"/>
  <c r="P102" i="19"/>
  <c r="P101" i="19"/>
  <c r="P100" i="19"/>
  <c r="P99" i="19"/>
  <c r="P98" i="19"/>
  <c r="P97" i="19"/>
  <c r="P96" i="19"/>
  <c r="P95" i="19"/>
  <c r="P94" i="19"/>
  <c r="P93" i="19"/>
  <c r="P92" i="19"/>
  <c r="P91" i="19"/>
  <c r="P90" i="19"/>
  <c r="P89" i="19"/>
  <c r="P88" i="19"/>
  <c r="P87" i="19"/>
  <c r="P86" i="19"/>
  <c r="P85" i="19"/>
  <c r="P84" i="19"/>
  <c r="P83" i="19"/>
  <c r="P82" i="19"/>
  <c r="P81" i="19"/>
  <c r="P80" i="19"/>
  <c r="P79" i="19"/>
  <c r="P78" i="19"/>
  <c r="P77" i="19"/>
  <c r="P76" i="19"/>
  <c r="P75" i="19"/>
  <c r="P74" i="19"/>
  <c r="P73" i="19"/>
  <c r="P72" i="19"/>
  <c r="P71" i="19"/>
  <c r="P70" i="19"/>
  <c r="P69" i="19"/>
  <c r="P68" i="19"/>
  <c r="P66" i="19"/>
  <c r="P65" i="19"/>
  <c r="P64" i="19"/>
  <c r="P63" i="19"/>
  <c r="P62" i="19"/>
  <c r="P61" i="19"/>
  <c r="P60" i="19"/>
  <c r="P59" i="19"/>
  <c r="P58" i="19"/>
  <c r="P57" i="19"/>
  <c r="P56" i="19"/>
  <c r="P54" i="19"/>
  <c r="P53" i="19"/>
  <c r="P52" i="19"/>
  <c r="P51" i="19"/>
  <c r="P50" i="19"/>
  <c r="P49" i="19"/>
  <c r="P48" i="19"/>
  <c r="P47" i="19"/>
  <c r="P46" i="19"/>
  <c r="P45" i="19"/>
  <c r="P44" i="19"/>
  <c r="P43" i="19"/>
  <c r="P42" i="19"/>
  <c r="P41" i="19"/>
  <c r="P40" i="19"/>
  <c r="P39" i="19"/>
  <c r="P38" i="19"/>
  <c r="P37" i="19"/>
  <c r="P36" i="19"/>
  <c r="P35" i="19"/>
  <c r="P34" i="19"/>
  <c r="P33" i="19"/>
  <c r="P32" i="19"/>
  <c r="P31" i="19"/>
  <c r="P30" i="19"/>
  <c r="P29" i="19"/>
  <c r="P28" i="19"/>
  <c r="P27" i="19"/>
  <c r="P25" i="19"/>
  <c r="P24" i="19"/>
  <c r="P23" i="19"/>
  <c r="P22" i="19"/>
  <c r="P21" i="19"/>
  <c r="P20" i="19"/>
  <c r="P19" i="19"/>
  <c r="P18" i="19"/>
  <c r="P17" i="19"/>
  <c r="P16" i="19"/>
  <c r="P15" i="19"/>
  <c r="P14" i="19"/>
  <c r="P13" i="19"/>
  <c r="P12" i="19"/>
  <c r="E4" i="19"/>
  <c r="E3" i="19"/>
  <c r="E2" i="19"/>
  <c r="P539" i="18"/>
  <c r="P538" i="18"/>
  <c r="P537" i="18"/>
  <c r="P536" i="18"/>
  <c r="P533" i="18"/>
  <c r="P532" i="18"/>
  <c r="P531" i="18"/>
  <c r="P530" i="18"/>
  <c r="P529" i="18"/>
  <c r="P528" i="18"/>
  <c r="P527" i="18"/>
  <c r="P526" i="18"/>
  <c r="P525" i="18"/>
  <c r="P524" i="18"/>
  <c r="P523" i="18"/>
  <c r="P522" i="18"/>
  <c r="P521" i="18"/>
  <c r="P520" i="18"/>
  <c r="P519" i="18"/>
  <c r="P518" i="18"/>
  <c r="P517" i="18"/>
  <c r="P516" i="18"/>
  <c r="P515" i="18"/>
  <c r="P514" i="18"/>
  <c r="P513" i="18"/>
  <c r="P512" i="18"/>
  <c r="P511" i="18"/>
  <c r="P510" i="18"/>
  <c r="P509" i="18"/>
  <c r="P508" i="18"/>
  <c r="P507" i="18"/>
  <c r="P506" i="18"/>
  <c r="P505" i="18"/>
  <c r="P504" i="18"/>
  <c r="P503" i="18"/>
  <c r="P502" i="18"/>
  <c r="P501" i="18"/>
  <c r="P500" i="18"/>
  <c r="P499" i="18"/>
  <c r="P498" i="18"/>
  <c r="P497" i="18"/>
  <c r="P496" i="18"/>
  <c r="P495" i="18"/>
  <c r="P494" i="18"/>
  <c r="P493" i="18"/>
  <c r="P492" i="18"/>
  <c r="P491" i="18"/>
  <c r="P490" i="18"/>
  <c r="P489" i="18"/>
  <c r="P488" i="18"/>
  <c r="P487" i="18"/>
  <c r="P486" i="18"/>
  <c r="P485" i="18"/>
  <c r="P484" i="18"/>
  <c r="P483" i="18"/>
  <c r="P482" i="18"/>
  <c r="P481" i="18"/>
  <c r="P480" i="18"/>
  <c r="P478" i="18"/>
  <c r="P477" i="18"/>
  <c r="P476" i="18"/>
  <c r="P475" i="18"/>
  <c r="P474" i="18"/>
  <c r="P473" i="18"/>
  <c r="P472" i="18"/>
  <c r="P471" i="18"/>
  <c r="P470" i="18"/>
  <c r="P469" i="18"/>
  <c r="P468" i="18"/>
  <c r="P467" i="18"/>
  <c r="P466" i="18"/>
  <c r="P465" i="18"/>
  <c r="P464" i="18"/>
  <c r="P463" i="18"/>
  <c r="P462" i="18"/>
  <c r="P461" i="18"/>
  <c r="P460" i="18"/>
  <c r="P459" i="18"/>
  <c r="P458" i="18"/>
  <c r="P457" i="18"/>
  <c r="P456" i="18"/>
  <c r="P455" i="18"/>
  <c r="P454" i="18"/>
  <c r="P453" i="18"/>
  <c r="P452" i="18"/>
  <c r="P451" i="18"/>
  <c r="P450" i="18"/>
  <c r="P449" i="18"/>
  <c r="P448" i="18"/>
  <c r="P447" i="18"/>
  <c r="P446" i="18"/>
  <c r="P445" i="18"/>
  <c r="P444" i="18"/>
  <c r="P443" i="18"/>
  <c r="P442" i="18"/>
  <c r="P441" i="18"/>
  <c r="P440" i="18"/>
  <c r="P439" i="18"/>
  <c r="P438" i="18"/>
  <c r="P437" i="18"/>
  <c r="P436" i="18"/>
  <c r="P435" i="18"/>
  <c r="P434" i="18"/>
  <c r="P433" i="18"/>
  <c r="P432" i="18"/>
  <c r="P431" i="18"/>
  <c r="P430" i="18"/>
  <c r="P429" i="18"/>
  <c r="P428" i="18"/>
  <c r="P427" i="18"/>
  <c r="P426" i="18"/>
  <c r="P425" i="18"/>
  <c r="P424" i="18"/>
  <c r="P423" i="18"/>
  <c r="P422" i="18"/>
  <c r="P421" i="18"/>
  <c r="P420" i="18"/>
  <c r="P419" i="18"/>
  <c r="P418" i="18"/>
  <c r="P417" i="18"/>
  <c r="P416" i="18"/>
  <c r="P415" i="18"/>
  <c r="P414" i="18"/>
  <c r="P413" i="18"/>
  <c r="P410" i="18"/>
  <c r="P409" i="18"/>
  <c r="P408" i="18"/>
  <c r="P407" i="18"/>
  <c r="P406" i="18"/>
  <c r="P405" i="18"/>
  <c r="P404" i="18"/>
  <c r="P403" i="18"/>
  <c r="P402" i="18"/>
  <c r="P401" i="18"/>
  <c r="P400" i="18"/>
  <c r="P399" i="18"/>
  <c r="P398" i="18"/>
  <c r="P397" i="18"/>
  <c r="P396" i="18"/>
  <c r="P395" i="18"/>
  <c r="P394" i="18"/>
  <c r="P393" i="18"/>
  <c r="P392" i="18"/>
  <c r="P391" i="18"/>
  <c r="P390" i="18"/>
  <c r="P389" i="18"/>
  <c r="P388" i="18"/>
  <c r="P387" i="18"/>
  <c r="P386" i="18"/>
  <c r="P385" i="18"/>
  <c r="P384" i="18"/>
  <c r="P383" i="18"/>
  <c r="P382" i="18"/>
  <c r="P381" i="18"/>
  <c r="P380" i="18"/>
  <c r="P379" i="18"/>
  <c r="P378" i="18"/>
  <c r="P377" i="18"/>
  <c r="P376" i="18"/>
  <c r="P375" i="18"/>
  <c r="P374" i="18"/>
  <c r="P373" i="18"/>
  <c r="P372" i="18"/>
  <c r="P371" i="18"/>
  <c r="P370" i="18"/>
  <c r="P369" i="18"/>
  <c r="P368" i="18"/>
  <c r="P367" i="18"/>
  <c r="P366" i="18"/>
  <c r="P365" i="18"/>
  <c r="P364" i="18"/>
  <c r="P363" i="18"/>
  <c r="P361" i="18"/>
  <c r="P360" i="18"/>
  <c r="P359" i="18"/>
  <c r="P358" i="18"/>
  <c r="P357" i="18"/>
  <c r="P356" i="18"/>
  <c r="P355" i="18"/>
  <c r="P354" i="18"/>
  <c r="P353" i="18"/>
  <c r="P350" i="18"/>
  <c r="P349" i="18"/>
  <c r="P348" i="18"/>
  <c r="P341" i="18"/>
  <c r="P340" i="18"/>
  <c r="P339" i="18"/>
  <c r="P338" i="18"/>
  <c r="P337" i="18"/>
  <c r="P336" i="18"/>
  <c r="P335" i="18"/>
  <c r="P334" i="18"/>
  <c r="P329" i="18"/>
  <c r="P328" i="18"/>
  <c r="P327" i="18"/>
  <c r="P326" i="18"/>
  <c r="P325" i="18"/>
  <c r="P324" i="18"/>
  <c r="P323" i="18"/>
  <c r="P322" i="18"/>
  <c r="P321" i="18"/>
  <c r="P320" i="18"/>
  <c r="P319" i="18"/>
  <c r="P318" i="18"/>
  <c r="P317" i="18"/>
  <c r="P316" i="18"/>
  <c r="P315" i="18"/>
  <c r="P312" i="18"/>
  <c r="P311" i="18"/>
  <c r="P310" i="18"/>
  <c r="P309" i="18"/>
  <c r="P308" i="18"/>
  <c r="P307" i="18"/>
  <c r="P306" i="18"/>
  <c r="P305" i="18"/>
  <c r="P304" i="18"/>
  <c r="P303" i="18"/>
  <c r="P302" i="18"/>
  <c r="P301" i="18"/>
  <c r="P300" i="18"/>
  <c r="P299" i="18"/>
  <c r="P298" i="18"/>
  <c r="P297" i="18"/>
  <c r="P296" i="18"/>
  <c r="P294" i="18"/>
  <c r="P293" i="18"/>
  <c r="P292" i="18"/>
  <c r="P291" i="18"/>
  <c r="P290" i="18"/>
  <c r="P289" i="18"/>
  <c r="P288" i="18"/>
  <c r="P287" i="18"/>
  <c r="P286" i="18"/>
  <c r="P285" i="18"/>
  <c r="P284" i="18"/>
  <c r="P283" i="18"/>
  <c r="P282" i="18"/>
  <c r="P281" i="18"/>
  <c r="P280" i="18"/>
  <c r="P279" i="18"/>
  <c r="P278" i="18"/>
  <c r="P277" i="18"/>
  <c r="P276" i="18"/>
  <c r="P275" i="18"/>
  <c r="P274" i="18"/>
  <c r="P273" i="18"/>
  <c r="P272" i="18"/>
  <c r="P271" i="18"/>
  <c r="P270" i="18"/>
  <c r="P269" i="18"/>
  <c r="P268" i="18"/>
  <c r="P267" i="18"/>
  <c r="P266" i="18"/>
  <c r="P265" i="18"/>
  <c r="P264" i="18"/>
  <c r="P263" i="18"/>
  <c r="P262" i="18"/>
  <c r="P261" i="18"/>
  <c r="P260" i="18"/>
  <c r="P259" i="18"/>
  <c r="P258" i="18"/>
  <c r="P257" i="18"/>
  <c r="P256" i="18"/>
  <c r="P255" i="18"/>
  <c r="P254" i="18"/>
  <c r="P253" i="18"/>
  <c r="P252" i="18"/>
  <c r="P251" i="18"/>
  <c r="P250" i="18"/>
  <c r="P249" i="18"/>
  <c r="P248" i="18"/>
  <c r="P247" i="18"/>
  <c r="P246" i="18"/>
  <c r="P245" i="18"/>
  <c r="P244" i="18"/>
  <c r="P243" i="18"/>
  <c r="P242" i="18"/>
  <c r="P241" i="18"/>
  <c r="P240" i="18"/>
  <c r="P239" i="18"/>
  <c r="P238" i="18"/>
  <c r="P237" i="18"/>
  <c r="P236" i="18"/>
  <c r="P235" i="18"/>
  <c r="P234" i="18"/>
  <c r="P233" i="18"/>
  <c r="P232" i="18"/>
  <c r="P231" i="18"/>
  <c r="P230" i="18"/>
  <c r="P229" i="18"/>
  <c r="P228" i="18"/>
  <c r="P227" i="18"/>
  <c r="P226" i="18"/>
  <c r="P225" i="18"/>
  <c r="P224" i="18"/>
  <c r="P223" i="18"/>
  <c r="P222" i="18"/>
  <c r="P221" i="18"/>
  <c r="P220" i="18"/>
  <c r="P219" i="18"/>
  <c r="P218" i="18"/>
  <c r="P217" i="18"/>
  <c r="P216" i="18"/>
  <c r="P215" i="18"/>
  <c r="P214" i="18"/>
  <c r="P213" i="18"/>
  <c r="P212" i="18"/>
  <c r="P211" i="18"/>
  <c r="P210" i="18"/>
  <c r="P209" i="18"/>
  <c r="P208" i="18"/>
  <c r="P207" i="18"/>
  <c r="P206" i="18"/>
  <c r="P204" i="18"/>
  <c r="P203" i="18"/>
  <c r="P200" i="18"/>
  <c r="P199" i="18"/>
  <c r="P198" i="18"/>
  <c r="P197" i="18"/>
  <c r="P196" i="18"/>
  <c r="P195" i="18"/>
  <c r="P194" i="18"/>
  <c r="P193" i="18"/>
  <c r="P192" i="18"/>
  <c r="P191" i="18"/>
  <c r="P190" i="18"/>
  <c r="P189" i="18"/>
  <c r="P188" i="18"/>
  <c r="P187" i="18"/>
  <c r="P186" i="18"/>
  <c r="P185" i="18"/>
  <c r="P184" i="18"/>
  <c r="P183" i="18"/>
  <c r="P182" i="18"/>
  <c r="P181" i="18"/>
  <c r="P180" i="18"/>
  <c r="P179" i="18"/>
  <c r="P178" i="18"/>
  <c r="P177" i="18"/>
  <c r="P176" i="18"/>
  <c r="P175" i="18"/>
  <c r="P174" i="18"/>
  <c r="P173" i="18"/>
  <c r="P172" i="18"/>
  <c r="P171" i="18"/>
  <c r="P170" i="18"/>
  <c r="P169" i="18"/>
  <c r="P168" i="18"/>
  <c r="P167" i="18"/>
  <c r="P166" i="18"/>
  <c r="P165" i="18"/>
  <c r="P164" i="18"/>
  <c r="P163" i="18"/>
  <c r="P162" i="18"/>
  <c r="P161" i="18"/>
  <c r="P160" i="18"/>
  <c r="P159" i="18"/>
  <c r="P158" i="18"/>
  <c r="P157" i="18"/>
  <c r="P156" i="18"/>
  <c r="P155" i="18"/>
  <c r="P154" i="18"/>
  <c r="P153" i="18"/>
  <c r="P147" i="18"/>
  <c r="P146" i="18"/>
  <c r="P145" i="18"/>
  <c r="P144" i="18"/>
  <c r="P143" i="18"/>
  <c r="P142" i="18"/>
  <c r="P141" i="18"/>
  <c r="P140" i="18"/>
  <c r="P139" i="18"/>
  <c r="P138" i="18"/>
  <c r="P137" i="18"/>
  <c r="P136" i="18"/>
  <c r="P135" i="18"/>
  <c r="P134" i="18"/>
  <c r="P133" i="18"/>
  <c r="P132" i="18"/>
  <c r="P131" i="18"/>
  <c r="P130" i="18"/>
  <c r="P129" i="18"/>
  <c r="P128" i="18"/>
  <c r="P127" i="18"/>
  <c r="P126" i="18"/>
  <c r="P125" i="18"/>
  <c r="P124" i="18"/>
  <c r="P123" i="18"/>
  <c r="P122" i="18"/>
  <c r="P121" i="18"/>
  <c r="P120" i="18"/>
  <c r="P119" i="18"/>
  <c r="P118" i="18"/>
  <c r="P117" i="18"/>
  <c r="P116" i="18"/>
  <c r="P114" i="18"/>
  <c r="P113" i="18"/>
  <c r="P112" i="18"/>
  <c r="P111" i="18"/>
  <c r="P110" i="18"/>
  <c r="P109" i="18"/>
  <c r="P108" i="18"/>
  <c r="P107" i="18"/>
  <c r="P106" i="18"/>
  <c r="P105" i="18"/>
  <c r="P104" i="18"/>
  <c r="P103" i="18"/>
  <c r="P102" i="18"/>
  <c r="P101" i="18"/>
  <c r="P100" i="18"/>
  <c r="P99" i="18"/>
  <c r="P98" i="18"/>
  <c r="P97" i="18"/>
  <c r="P96" i="18"/>
  <c r="P95" i="18"/>
  <c r="P94" i="18"/>
  <c r="P93" i="18"/>
  <c r="P92" i="18"/>
  <c r="P91" i="18"/>
  <c r="P90" i="18"/>
  <c r="P89" i="18"/>
  <c r="P88" i="18"/>
  <c r="P87" i="18"/>
  <c r="P86" i="18"/>
  <c r="P85" i="18"/>
  <c r="P84" i="18"/>
  <c r="P83" i="18"/>
  <c r="P82" i="18"/>
  <c r="P81" i="18"/>
  <c r="P80" i="18"/>
  <c r="P79" i="18"/>
  <c r="P78" i="18"/>
  <c r="P77" i="18"/>
  <c r="P76" i="18"/>
  <c r="P75" i="18"/>
  <c r="P74" i="18"/>
  <c r="P73" i="18"/>
  <c r="P72" i="18"/>
  <c r="P71" i="18"/>
  <c r="P70" i="18"/>
  <c r="P69" i="18"/>
  <c r="P68" i="18"/>
  <c r="P66" i="18"/>
  <c r="P65" i="18"/>
  <c r="P64" i="18"/>
  <c r="P63" i="18"/>
  <c r="P62" i="18"/>
  <c r="P61" i="18"/>
  <c r="P60" i="18"/>
  <c r="P59" i="18"/>
  <c r="P58" i="18"/>
  <c r="P57" i="18"/>
  <c r="P56" i="18"/>
  <c r="P54" i="18"/>
  <c r="P53" i="18"/>
  <c r="P52" i="18"/>
  <c r="P51" i="18"/>
  <c r="P50" i="18"/>
  <c r="P49" i="18"/>
  <c r="P48" i="18"/>
  <c r="P47" i="18"/>
  <c r="P46" i="18"/>
  <c r="P45" i="18"/>
  <c r="P44" i="18"/>
  <c r="P43" i="18"/>
  <c r="P42" i="18"/>
  <c r="P41" i="18"/>
  <c r="P40" i="18"/>
  <c r="P39" i="18"/>
  <c r="P38" i="18"/>
  <c r="P37" i="18"/>
  <c r="P36" i="18"/>
  <c r="P35" i="18"/>
  <c r="P34" i="18"/>
  <c r="P33" i="18"/>
  <c r="P32" i="18"/>
  <c r="P31" i="18"/>
  <c r="P30" i="18"/>
  <c r="P29" i="18"/>
  <c r="P28" i="18"/>
  <c r="P27" i="18"/>
  <c r="P25" i="18"/>
  <c r="P24" i="18"/>
  <c r="P23" i="18"/>
  <c r="P22" i="18"/>
  <c r="P21" i="18"/>
  <c r="P20" i="18"/>
  <c r="P19" i="18"/>
  <c r="P18" i="18"/>
  <c r="P17" i="18"/>
  <c r="P16" i="18"/>
  <c r="P15" i="18"/>
  <c r="P14" i="18"/>
  <c r="P13" i="18"/>
  <c r="P12" i="18"/>
  <c r="E4" i="18"/>
  <c r="E3" i="18"/>
  <c r="E2" i="18"/>
  <c r="P22" i="17"/>
  <c r="P421" i="17"/>
  <c r="P420" i="17"/>
  <c r="P419" i="17"/>
  <c r="P417" i="17"/>
  <c r="P416" i="17"/>
  <c r="P411" i="17"/>
  <c r="P410" i="17"/>
  <c r="P409" i="17"/>
  <c r="P407" i="17"/>
  <c r="P406" i="17"/>
  <c r="P405" i="17"/>
  <c r="P404" i="17"/>
  <c r="P403" i="17"/>
  <c r="P402" i="17"/>
  <c r="P401" i="17"/>
  <c r="P400" i="17"/>
  <c r="P399" i="17"/>
  <c r="P398" i="17"/>
  <c r="P397" i="17"/>
  <c r="P396" i="17"/>
  <c r="P395" i="17"/>
  <c r="P394" i="17"/>
  <c r="P393" i="17"/>
  <c r="P392" i="17"/>
  <c r="P391" i="17"/>
  <c r="P390" i="17"/>
  <c r="P385" i="17"/>
  <c r="P384" i="17"/>
  <c r="P383" i="17"/>
  <c r="P382" i="17"/>
  <c r="P381" i="17"/>
  <c r="P380" i="17"/>
  <c r="P379" i="17"/>
  <c r="P378" i="17"/>
  <c r="P377" i="17"/>
  <c r="P376" i="17"/>
  <c r="P375" i="17"/>
  <c r="P374" i="17"/>
  <c r="P373" i="17"/>
  <c r="P372" i="17"/>
  <c r="P371" i="17"/>
  <c r="P370" i="17"/>
  <c r="P369" i="17"/>
  <c r="P368" i="17"/>
  <c r="P367" i="17"/>
  <c r="P366" i="17"/>
  <c r="P365" i="17"/>
  <c r="P364" i="17"/>
  <c r="P363" i="17"/>
  <c r="P362" i="17"/>
  <c r="P361" i="17"/>
  <c r="P360" i="17"/>
  <c r="P359" i="17"/>
  <c r="P358" i="17"/>
  <c r="P357" i="17"/>
  <c r="P356" i="17"/>
  <c r="P355" i="17"/>
  <c r="P354" i="17"/>
  <c r="P353" i="17"/>
  <c r="P352" i="17"/>
  <c r="P351" i="17"/>
  <c r="P350" i="17"/>
  <c r="P349" i="17"/>
  <c r="P348" i="17"/>
  <c r="P345" i="17"/>
  <c r="P344" i="17"/>
  <c r="P343" i="17"/>
  <c r="P342" i="17"/>
  <c r="P341" i="17"/>
  <c r="P340" i="17"/>
  <c r="P339" i="17"/>
  <c r="P338" i="17"/>
  <c r="P337" i="17"/>
  <c r="P336" i="17"/>
  <c r="P335" i="17"/>
  <c r="P334" i="17"/>
  <c r="P333" i="17"/>
  <c r="P332" i="17"/>
  <c r="P331" i="17"/>
  <c r="P330" i="17"/>
  <c r="P329" i="17"/>
  <c r="P328" i="17"/>
  <c r="P327" i="17"/>
  <c r="P326" i="17"/>
  <c r="P325" i="17"/>
  <c r="P324" i="17"/>
  <c r="P323" i="17"/>
  <c r="P322" i="17"/>
  <c r="P321" i="17"/>
  <c r="P320" i="17"/>
  <c r="P319" i="17"/>
  <c r="P318" i="17"/>
  <c r="P317" i="17"/>
  <c r="P316" i="17"/>
  <c r="P315" i="17"/>
  <c r="P314" i="17"/>
  <c r="P313" i="17"/>
  <c r="P312" i="17"/>
  <c r="P311" i="17"/>
  <c r="P310" i="17"/>
  <c r="P309" i="17"/>
  <c r="P308" i="17"/>
  <c r="P307" i="17"/>
  <c r="P306" i="17"/>
  <c r="P305" i="17"/>
  <c r="P304" i="17"/>
  <c r="P303" i="17"/>
  <c r="P302" i="17"/>
  <c r="P301" i="17"/>
  <c r="P300" i="17"/>
  <c r="P299" i="17"/>
  <c r="P296" i="17"/>
  <c r="P295" i="17"/>
  <c r="P294" i="17"/>
  <c r="P293" i="17"/>
  <c r="P292" i="17"/>
  <c r="P291" i="17"/>
  <c r="P290" i="17"/>
  <c r="P286" i="17"/>
  <c r="P285" i="17"/>
  <c r="P278" i="17"/>
  <c r="P277" i="17"/>
  <c r="P276" i="17"/>
  <c r="P275" i="17"/>
  <c r="P274" i="17"/>
  <c r="P273" i="17"/>
  <c r="P266" i="17"/>
  <c r="P265" i="17"/>
  <c r="P264" i="17"/>
  <c r="P263" i="17"/>
  <c r="P262" i="17"/>
  <c r="P261" i="17"/>
  <c r="P260" i="17"/>
  <c r="P259" i="17"/>
  <c r="P258" i="17"/>
  <c r="P257" i="17"/>
  <c r="P256" i="17"/>
  <c r="P255" i="17"/>
  <c r="P254" i="17"/>
  <c r="P251" i="17"/>
  <c r="P250" i="17"/>
  <c r="P249" i="17"/>
  <c r="P248" i="17"/>
  <c r="P247" i="17"/>
  <c r="P246" i="17"/>
  <c r="P245" i="17"/>
  <c r="P244" i="17"/>
  <c r="P243" i="17"/>
  <c r="P242" i="17"/>
  <c r="P241" i="17"/>
  <c r="P240" i="17"/>
  <c r="P239" i="17"/>
  <c r="P238" i="17"/>
  <c r="P237" i="17"/>
  <c r="P236" i="17"/>
  <c r="P235" i="17"/>
  <c r="P234" i="17"/>
  <c r="P233" i="17"/>
  <c r="P232" i="17"/>
  <c r="P231" i="17"/>
  <c r="P230" i="17"/>
  <c r="P229" i="17"/>
  <c r="P228" i="17"/>
  <c r="P227" i="17"/>
  <c r="P226" i="17"/>
  <c r="P225" i="17"/>
  <c r="P224" i="17"/>
  <c r="P223" i="17"/>
  <c r="P222" i="17"/>
  <c r="P221" i="17"/>
  <c r="P220" i="17"/>
  <c r="P219" i="17"/>
  <c r="P214" i="17"/>
  <c r="P213" i="17"/>
  <c r="P212" i="17"/>
  <c r="P211" i="17"/>
  <c r="P210" i="17"/>
  <c r="P209" i="17"/>
  <c r="P208" i="17"/>
  <c r="P206" i="17"/>
  <c r="P203" i="17"/>
  <c r="P202" i="17"/>
  <c r="P201" i="17"/>
  <c r="P200" i="17"/>
  <c r="P199" i="17"/>
  <c r="P198" i="17"/>
  <c r="P197" i="17"/>
  <c r="P172" i="17"/>
  <c r="P171" i="17"/>
  <c r="P170" i="17"/>
  <c r="P169" i="17"/>
  <c r="P168" i="17"/>
  <c r="P167" i="17"/>
  <c r="P166" i="17"/>
  <c r="P165" i="17"/>
  <c r="P164" i="17"/>
  <c r="P163" i="17"/>
  <c r="P162" i="17"/>
  <c r="P161" i="17"/>
  <c r="P160" i="17"/>
  <c r="P159" i="17"/>
  <c r="P158" i="17"/>
  <c r="P157" i="17"/>
  <c r="P156" i="17"/>
  <c r="P155" i="17"/>
  <c r="P154" i="17"/>
  <c r="P153" i="17"/>
  <c r="P152" i="17"/>
  <c r="P151" i="17"/>
  <c r="P150" i="17"/>
  <c r="P149" i="17"/>
  <c r="P148" i="17"/>
  <c r="P147" i="17"/>
  <c r="P146" i="17"/>
  <c r="P145" i="17"/>
  <c r="P144" i="17"/>
  <c r="P143" i="17"/>
  <c r="P137" i="17"/>
  <c r="P136" i="17"/>
  <c r="P135" i="17"/>
  <c r="P134" i="17"/>
  <c r="P133" i="17"/>
  <c r="P132" i="17"/>
  <c r="P131" i="17"/>
  <c r="P130" i="17"/>
  <c r="P129" i="17"/>
  <c r="P128" i="17"/>
  <c r="P127" i="17"/>
  <c r="P126" i="17"/>
  <c r="P125" i="17"/>
  <c r="P124" i="17"/>
  <c r="P123" i="17"/>
  <c r="P122" i="17"/>
  <c r="P121" i="17"/>
  <c r="P120" i="17"/>
  <c r="P119" i="17"/>
  <c r="P118" i="17"/>
  <c r="P117" i="17"/>
  <c r="P116" i="17"/>
  <c r="P115" i="17"/>
  <c r="P114" i="17"/>
  <c r="P113" i="17"/>
  <c r="P112" i="17"/>
  <c r="P111" i="17"/>
  <c r="P110" i="17"/>
  <c r="P109" i="17"/>
  <c r="P108" i="17"/>
  <c r="P107" i="17"/>
  <c r="P106" i="17"/>
  <c r="P105" i="17"/>
  <c r="P104" i="17"/>
  <c r="P103" i="17"/>
  <c r="P102" i="17"/>
  <c r="P101" i="17"/>
  <c r="P100" i="17"/>
  <c r="P99" i="17"/>
  <c r="P98" i="17"/>
  <c r="P97" i="17"/>
  <c r="P96" i="17"/>
  <c r="P95" i="17"/>
  <c r="P94" i="17"/>
  <c r="P93" i="17"/>
  <c r="P92" i="17"/>
  <c r="P91" i="17"/>
  <c r="P90" i="17"/>
  <c r="P89" i="17"/>
  <c r="P88" i="17"/>
  <c r="P87" i="17"/>
  <c r="P86" i="17"/>
  <c r="P85" i="17"/>
  <c r="P84" i="17"/>
  <c r="P83" i="17"/>
  <c r="P82" i="17"/>
  <c r="P81" i="17"/>
  <c r="P80" i="17"/>
  <c r="P79" i="17"/>
  <c r="P78" i="17"/>
  <c r="P77" i="17"/>
  <c r="P75" i="17"/>
  <c r="P74" i="17"/>
  <c r="P73" i="17"/>
  <c r="P72" i="17"/>
  <c r="P71" i="17"/>
  <c r="P70" i="17"/>
  <c r="P69" i="17"/>
  <c r="P68" i="17"/>
  <c r="P67" i="17"/>
  <c r="P66" i="17"/>
  <c r="P65" i="17"/>
  <c r="P63" i="17"/>
  <c r="P62" i="17"/>
  <c r="P61" i="17"/>
  <c r="P60" i="17"/>
  <c r="P59" i="17"/>
  <c r="P58" i="17"/>
  <c r="P57" i="17"/>
  <c r="P56" i="17"/>
  <c r="P51" i="17"/>
  <c r="P50" i="17"/>
  <c r="P49" i="17"/>
  <c r="P48" i="17"/>
  <c r="P47" i="17"/>
  <c r="P46" i="17"/>
  <c r="P45" i="17"/>
  <c r="P44" i="17"/>
  <c r="P43" i="17"/>
  <c r="P42" i="17"/>
  <c r="P41" i="17"/>
  <c r="P40" i="17"/>
  <c r="P39" i="17"/>
  <c r="P38" i="17"/>
  <c r="P37" i="17"/>
  <c r="P36" i="17"/>
  <c r="P35" i="17"/>
  <c r="P34" i="17"/>
  <c r="P28" i="17"/>
  <c r="P26" i="17"/>
  <c r="P25" i="17"/>
  <c r="P24" i="17"/>
  <c r="P23" i="17"/>
  <c r="P21" i="17"/>
  <c r="P20" i="17"/>
  <c r="P19" i="17"/>
  <c r="P18" i="17"/>
  <c r="P17" i="17"/>
  <c r="P16" i="17"/>
  <c r="P15" i="17"/>
  <c r="P14" i="17"/>
  <c r="P13" i="17"/>
  <c r="P12" i="17"/>
  <c r="E4" i="17"/>
  <c r="E3" i="17"/>
  <c r="E2" i="17"/>
  <c r="Q12" i="19" l="1"/>
  <c r="F12" i="19" s="1"/>
  <c r="Q12" i="18"/>
  <c r="F12" i="18" s="1"/>
  <c r="Q12" i="17"/>
  <c r="F12" i="17" s="1"/>
  <c r="Q509" i="19"/>
  <c r="F509" i="19" s="1"/>
  <c r="Q446" i="19"/>
  <c r="R446" i="19" s="1"/>
  <c r="Q390" i="17"/>
  <c r="F390" i="17" s="1"/>
  <c r="Q508" i="18"/>
  <c r="F508" i="18" s="1"/>
  <c r="Q190" i="18"/>
  <c r="R190" i="18" s="1"/>
  <c r="Q445" i="18"/>
  <c r="R445" i="18" s="1"/>
  <c r="Q301" i="18"/>
  <c r="F301" i="18" s="1"/>
  <c r="Q405" i="17"/>
  <c r="R405" i="17" s="1"/>
  <c r="Q371" i="17"/>
  <c r="Q495" i="18"/>
  <c r="F495" i="18" s="1"/>
  <c r="Q523" i="18"/>
  <c r="F523" i="18" s="1"/>
  <c r="Q287" i="18"/>
  <c r="R287" i="18" s="1"/>
  <c r="Q425" i="18"/>
  <c r="R425" i="18" s="1"/>
  <c r="Q366" i="18"/>
  <c r="F366" i="18" s="1"/>
  <c r="Q379" i="18"/>
  <c r="R379" i="18" s="1"/>
  <c r="Q317" i="18"/>
  <c r="F317" i="18" s="1"/>
  <c r="Q406" i="18"/>
  <c r="F406" i="18" s="1"/>
  <c r="Q472" i="18"/>
  <c r="R472" i="18" s="1"/>
  <c r="Q256" i="17"/>
  <c r="R256" i="17" s="1"/>
  <c r="Q302" i="17"/>
  <c r="R302" i="17" s="1"/>
  <c r="Q315" i="17"/>
  <c r="R315" i="17" s="1"/>
  <c r="Q275" i="17"/>
  <c r="F275" i="17" s="1"/>
  <c r="Q241" i="17"/>
  <c r="R241" i="17" s="1"/>
  <c r="Q341" i="19"/>
  <c r="F341" i="19" s="1"/>
  <c r="Q496" i="19"/>
  <c r="F496" i="19" s="1"/>
  <c r="Q426" i="19"/>
  <c r="R426" i="19" s="1"/>
  <c r="Q409" i="19"/>
  <c r="F409" i="19" s="1"/>
  <c r="Q473" i="19"/>
  <c r="R473" i="19" s="1"/>
  <c r="Q289" i="19"/>
  <c r="F289" i="19" s="1"/>
  <c r="Q304" i="19"/>
  <c r="F304" i="19" s="1"/>
  <c r="Q320" i="19"/>
  <c r="R320" i="19" s="1"/>
  <c r="Q369" i="19"/>
  <c r="R369" i="19" s="1"/>
  <c r="Q382" i="19"/>
  <c r="F382" i="19" s="1"/>
  <c r="Q358" i="17"/>
  <c r="R358" i="17" s="1"/>
  <c r="Q341" i="17"/>
  <c r="R341" i="17" s="1"/>
  <c r="Q264" i="18"/>
  <c r="F264" i="18" s="1"/>
  <c r="Q192" i="19"/>
  <c r="R192" i="19" s="1"/>
  <c r="Q265" i="19"/>
  <c r="F265" i="19" s="1"/>
  <c r="Q219" i="17"/>
  <c r="F219" i="17" s="1"/>
  <c r="Q215" i="19"/>
  <c r="R215" i="19" s="1"/>
  <c r="Q197" i="17"/>
  <c r="R197" i="17" s="1"/>
  <c r="Q164" i="18"/>
  <c r="R164" i="18" s="1"/>
  <c r="Q150" i="17"/>
  <c r="F150" i="17" s="1"/>
  <c r="Q100" i="18"/>
  <c r="R100" i="18" s="1"/>
  <c r="Q128" i="18"/>
  <c r="R128" i="18" s="1"/>
  <c r="Q87" i="18"/>
  <c r="F87" i="18" s="1"/>
  <c r="Q127" i="17"/>
  <c r="R127" i="17" s="1"/>
  <c r="Q92" i="17"/>
  <c r="F92" i="17" s="1"/>
  <c r="Q105" i="17"/>
  <c r="R105" i="17" s="1"/>
  <c r="Q100" i="19"/>
  <c r="F100" i="19" s="1"/>
  <c r="Q87" i="19"/>
  <c r="F87" i="19" s="1"/>
  <c r="Q70" i="19"/>
  <c r="F70" i="19" s="1"/>
  <c r="Q70" i="18"/>
  <c r="F70" i="18" s="1"/>
  <c r="Q34" i="17"/>
  <c r="R34" i="17" s="1"/>
  <c r="Q28" i="19"/>
  <c r="F28" i="19" s="1"/>
  <c r="P67" i="19"/>
  <c r="Q59" i="19" s="1"/>
  <c r="Q28" i="18"/>
  <c r="R28" i="18" s="1"/>
  <c r="P67" i="18"/>
  <c r="Q59" i="18" s="1"/>
  <c r="Q79" i="17"/>
  <c r="F79" i="17" s="1"/>
  <c r="P76" i="17"/>
  <c r="Q143" i="17"/>
  <c r="F143" i="17" s="1"/>
  <c r="P64" i="17"/>
  <c r="Q44" i="17" s="1"/>
  <c r="R44" i="17" s="1"/>
  <c r="P55" i="19"/>
  <c r="Q128" i="19"/>
  <c r="R128" i="19" s="1"/>
  <c r="Q153" i="19"/>
  <c r="F153" i="19" s="1"/>
  <c r="Q164" i="19"/>
  <c r="F164" i="19" s="1"/>
  <c r="Q153" i="18"/>
  <c r="F153" i="18" s="1"/>
  <c r="P55" i="18"/>
  <c r="Q39" i="18" s="1"/>
  <c r="R39" i="18" s="1"/>
  <c r="Q338" i="18"/>
  <c r="F338" i="18" s="1"/>
  <c r="Q214" i="18"/>
  <c r="R214" i="18" s="1"/>
  <c r="Q29" i="17"/>
  <c r="F29" i="17" s="1"/>
  <c r="R173" i="17"/>
  <c r="Q123" i="18"/>
  <c r="F123" i="18" s="1"/>
  <c r="Q123" i="19"/>
  <c r="R123" i="19" s="1"/>
  <c r="Q122" i="17"/>
  <c r="F122" i="17" s="1"/>
  <c r="R214" i="17"/>
  <c r="Q524" i="19"/>
  <c r="F524" i="19" s="1"/>
  <c r="P509" i="2"/>
  <c r="P351" i="2"/>
  <c r="P347" i="2"/>
  <c r="P346" i="2"/>
  <c r="P295" i="2"/>
  <c r="P294" i="2"/>
  <c r="P293" i="2"/>
  <c r="P213" i="2"/>
  <c r="P212" i="2"/>
  <c r="P198" i="2"/>
  <c r="P197" i="2"/>
  <c r="P153" i="2"/>
  <c r="Q68" i="17" l="1"/>
  <c r="R68" i="17" s="1"/>
  <c r="F59" i="18"/>
  <c r="R371" i="17"/>
  <c r="F371" i="17"/>
  <c r="Q39" i="19"/>
  <c r="F39" i="19" s="1"/>
  <c r="R496" i="19"/>
  <c r="R265" i="19"/>
  <c r="R87" i="19"/>
  <c r="R12" i="18"/>
  <c r="R123" i="18"/>
  <c r="F320" i="19"/>
  <c r="R317" i="18"/>
  <c r="R366" i="18"/>
  <c r="R12" i="19"/>
  <c r="R524" i="19"/>
  <c r="F369" i="19"/>
  <c r="R304" i="19"/>
  <c r="R341" i="19"/>
  <c r="F123" i="19"/>
  <c r="F426" i="19"/>
  <c r="R28" i="19"/>
  <c r="R338" i="18"/>
  <c r="R406" i="18"/>
  <c r="F28" i="18"/>
  <c r="R289" i="19"/>
  <c r="R509" i="19"/>
  <c r="F215" i="19"/>
  <c r="R70" i="19"/>
  <c r="R153" i="19"/>
  <c r="F190" i="18"/>
  <c r="F192" i="19"/>
  <c r="F473" i="19"/>
  <c r="F446" i="19"/>
  <c r="R382" i="19"/>
  <c r="R87" i="18"/>
  <c r="F164" i="18"/>
  <c r="F315" i="17"/>
  <c r="R12" i="17"/>
  <c r="R219" i="17"/>
  <c r="F405" i="17"/>
  <c r="F34" i="17"/>
  <c r="R390" i="17"/>
  <c r="F147" i="19"/>
  <c r="F128" i="18"/>
  <c r="R59" i="18"/>
  <c r="R301" i="18"/>
  <c r="R70" i="18"/>
  <c r="R122" i="17"/>
  <c r="F358" i="17"/>
  <c r="R143" i="17"/>
  <c r="F241" i="17"/>
  <c r="F127" i="17"/>
  <c r="F197" i="17"/>
  <c r="F341" i="17"/>
  <c r="F302" i="17"/>
  <c r="R150" i="17"/>
  <c r="F256" i="17"/>
  <c r="R137" i="17"/>
  <c r="F379" i="18"/>
  <c r="R153" i="18"/>
  <c r="R495" i="18"/>
  <c r="F425" i="18"/>
  <c r="F472" i="18"/>
  <c r="R264" i="18"/>
  <c r="F445" i="18"/>
  <c r="R508" i="18"/>
  <c r="F287" i="18"/>
  <c r="R523" i="18"/>
  <c r="F147" i="18"/>
  <c r="F100" i="18"/>
  <c r="R164" i="19"/>
  <c r="R100" i="19"/>
  <c r="F105" i="17"/>
  <c r="R79" i="17"/>
  <c r="F39" i="18"/>
  <c r="R275" i="17"/>
  <c r="T256" i="17" s="1"/>
  <c r="R92" i="17"/>
  <c r="R29" i="17"/>
  <c r="F44" i="17"/>
  <c r="F214" i="17"/>
  <c r="F214" i="18"/>
  <c r="R409" i="19"/>
  <c r="F128" i="19"/>
  <c r="R59" i="19"/>
  <c r="F59" i="19"/>
  <c r="P65" i="2"/>
  <c r="P18" i="2"/>
  <c r="T358" i="17" l="1"/>
  <c r="F68" i="17"/>
  <c r="I2" i="17"/>
  <c r="I3" i="17"/>
  <c r="T12" i="18"/>
  <c r="G2" i="18" s="1"/>
  <c r="R39" i="19"/>
  <c r="T12" i="19" s="1"/>
  <c r="G2" i="19" s="1"/>
  <c r="T143" i="17"/>
  <c r="G4" i="17" s="1"/>
  <c r="T320" i="19"/>
  <c r="I2" i="19" s="1"/>
  <c r="T317" i="18"/>
  <c r="I2" i="18" s="1"/>
  <c r="T426" i="19"/>
  <c r="I3" i="19" s="1"/>
  <c r="T153" i="19"/>
  <c r="G4" i="19" s="1"/>
  <c r="T12" i="17"/>
  <c r="T153" i="18"/>
  <c r="G4" i="18" s="1"/>
  <c r="R147" i="19"/>
  <c r="T87" i="19" s="1"/>
  <c r="G3" i="19" s="1"/>
  <c r="T425" i="18"/>
  <c r="I3" i="18" s="1"/>
  <c r="F137" i="17"/>
  <c r="R147" i="18"/>
  <c r="T87" i="18" s="1"/>
  <c r="G3" i="18" s="1"/>
  <c r="T92" i="17"/>
  <c r="G3" i="17" s="1"/>
  <c r="P16" i="2"/>
  <c r="U12" i="17" l="1"/>
  <c r="M2" i="17" s="1"/>
  <c r="G2" i="17"/>
  <c r="U12" i="19"/>
  <c r="M2" i="19" s="1"/>
  <c r="U12" i="18"/>
  <c r="M2" i="18" s="1"/>
  <c r="F153" i="2"/>
  <c r="G105" i="2" s="1"/>
  <c r="R153" i="2"/>
  <c r="D44" i="16" l="1"/>
  <c r="D43" i="16"/>
  <c r="D42" i="16"/>
  <c r="D41" i="16"/>
  <c r="D40" i="16"/>
  <c r="D37" i="16"/>
  <c r="C37" i="16"/>
  <c r="B37" i="16"/>
  <c r="D36" i="16"/>
  <c r="C36" i="16"/>
  <c r="B36" i="16"/>
  <c r="D35" i="16"/>
  <c r="C35" i="16"/>
  <c r="B35" i="16"/>
  <c r="D34" i="16"/>
  <c r="C34" i="16"/>
  <c r="B34" i="16"/>
  <c r="D33" i="16"/>
  <c r="C33" i="16"/>
  <c r="B33" i="16"/>
  <c r="D32" i="16"/>
  <c r="C32" i="16"/>
  <c r="B32" i="16"/>
  <c r="D31" i="16"/>
  <c r="C31" i="16"/>
  <c r="B31" i="16"/>
  <c r="D30" i="16"/>
  <c r="C30" i="16"/>
  <c r="B30" i="16"/>
  <c r="D29" i="16"/>
  <c r="C29" i="16"/>
  <c r="B29" i="16"/>
  <c r="D28" i="16"/>
  <c r="C28" i="16"/>
  <c r="B28" i="16"/>
  <c r="D27" i="16"/>
  <c r="C27" i="16"/>
  <c r="B27" i="16"/>
  <c r="D26" i="16"/>
  <c r="C26" i="16"/>
  <c r="B26" i="16"/>
  <c r="D25" i="16"/>
  <c r="C25" i="16"/>
  <c r="B25" i="16"/>
  <c r="D24" i="16"/>
  <c r="C24" i="16"/>
  <c r="B24" i="16"/>
  <c r="D23" i="16"/>
  <c r="C23" i="16"/>
  <c r="B23" i="16"/>
  <c r="D22" i="16"/>
  <c r="C22" i="16"/>
  <c r="B22" i="16"/>
  <c r="D21" i="16"/>
  <c r="C21" i="16"/>
  <c r="B21" i="16"/>
  <c r="D20" i="16"/>
  <c r="C20" i="16"/>
  <c r="B20" i="16"/>
  <c r="D19" i="16"/>
  <c r="C19" i="16"/>
  <c r="B19" i="16"/>
  <c r="D18" i="16"/>
  <c r="C18" i="16"/>
  <c r="B18" i="16"/>
  <c r="D17" i="16"/>
  <c r="C17" i="16"/>
  <c r="B17" i="16"/>
  <c r="D16" i="16"/>
  <c r="C16" i="16"/>
  <c r="B16" i="16"/>
  <c r="D15" i="16"/>
  <c r="C15" i="16"/>
  <c r="B15" i="16"/>
  <c r="D14" i="16"/>
  <c r="C14" i="16"/>
  <c r="B14" i="16"/>
  <c r="D13" i="16"/>
  <c r="C13" i="16"/>
  <c r="B13" i="16"/>
  <c r="D12" i="16"/>
  <c r="C12" i="16"/>
  <c r="B12" i="16"/>
  <c r="D11" i="16"/>
  <c r="C11" i="16"/>
  <c r="B11" i="16"/>
  <c r="D10" i="16"/>
  <c r="C10" i="16"/>
  <c r="B10" i="16"/>
  <c r="D4" i="16"/>
  <c r="D3" i="16"/>
  <c r="D2" i="16"/>
  <c r="I14" i="15"/>
  <c r="I15" i="15"/>
  <c r="I17" i="15"/>
  <c r="I19" i="15"/>
  <c r="I22" i="15"/>
  <c r="I23" i="15"/>
  <c r="I24" i="15"/>
  <c r="I27" i="15"/>
  <c r="I28" i="15"/>
  <c r="I29" i="15"/>
  <c r="I30" i="15"/>
  <c r="I32" i="15"/>
  <c r="I33" i="15"/>
  <c r="I35" i="15"/>
  <c r="I36" i="15"/>
  <c r="I38" i="15"/>
  <c r="I41" i="15"/>
  <c r="I43" i="15"/>
  <c r="I45" i="15"/>
  <c r="I48" i="15"/>
  <c r="I49" i="15"/>
  <c r="I52" i="15"/>
  <c r="I54" i="15"/>
  <c r="I55" i="15"/>
  <c r="I56" i="15"/>
  <c r="I57" i="15"/>
  <c r="I59" i="15"/>
  <c r="I60" i="15"/>
  <c r="I62" i="15"/>
  <c r="I65" i="15"/>
  <c r="I66" i="15"/>
  <c r="I69" i="15"/>
  <c r="I70" i="15"/>
  <c r="I73" i="15"/>
  <c r="I75" i="15"/>
  <c r="I77" i="15"/>
  <c r="I79" i="15"/>
  <c r="I82" i="15"/>
  <c r="I84" i="15"/>
  <c r="I86" i="15"/>
  <c r="I87" i="15"/>
  <c r="I90" i="15"/>
  <c r="I91" i="15"/>
  <c r="I93" i="15"/>
  <c r="I95" i="15"/>
  <c r="I96" i="15"/>
  <c r="I100" i="15"/>
  <c r="I101" i="15"/>
  <c r="I104" i="15"/>
  <c r="I105" i="15"/>
  <c r="I106" i="15"/>
  <c r="I108" i="15"/>
  <c r="I109" i="15"/>
  <c r="I113" i="15"/>
  <c r="I114" i="15"/>
  <c r="I115" i="15"/>
  <c r="I116" i="15"/>
  <c r="I118" i="15"/>
  <c r="I119" i="15"/>
  <c r="I121" i="15"/>
  <c r="I122" i="15"/>
  <c r="I123" i="15"/>
  <c r="I125" i="15"/>
  <c r="I126" i="15"/>
  <c r="I127" i="15"/>
  <c r="I128" i="15"/>
  <c r="I130" i="15"/>
  <c r="I131" i="15"/>
  <c r="I132" i="15"/>
  <c r="I133" i="15"/>
  <c r="I136" i="15"/>
  <c r="I137" i="15"/>
  <c r="I138" i="15"/>
  <c r="I139" i="15"/>
  <c r="I142" i="15"/>
  <c r="I144" i="15"/>
  <c r="I147" i="15"/>
  <c r="I149" i="15"/>
  <c r="I151" i="15"/>
  <c r="I153" i="15"/>
  <c r="I154" i="15"/>
  <c r="I155" i="15"/>
  <c r="I156" i="15"/>
  <c r="I157" i="15"/>
  <c r="I158" i="15"/>
  <c r="I159" i="15"/>
  <c r="I160" i="15"/>
  <c r="I161" i="15"/>
  <c r="I162" i="15"/>
  <c r="I164" i="15"/>
  <c r="I165" i="15"/>
  <c r="I168" i="15"/>
  <c r="I169" i="15"/>
  <c r="I170" i="15"/>
  <c r="I171" i="15"/>
  <c r="I172" i="15"/>
  <c r="I174" i="15"/>
  <c r="I176" i="15"/>
  <c r="I180" i="15"/>
  <c r="I181" i="15"/>
  <c r="I183" i="15"/>
  <c r="I184" i="15"/>
  <c r="I186" i="15"/>
  <c r="I187" i="15"/>
  <c r="I189" i="15"/>
  <c r="I190" i="15"/>
  <c r="I192" i="15"/>
  <c r="I193" i="15"/>
  <c r="I194" i="15"/>
  <c r="I195" i="15"/>
  <c r="I196" i="15"/>
  <c r="I197" i="15"/>
  <c r="I198" i="15"/>
  <c r="I199" i="15"/>
  <c r="I201" i="15"/>
  <c r="I203" i="15"/>
  <c r="I205" i="15"/>
  <c r="I209" i="15"/>
  <c r="I210" i="15"/>
  <c r="I212" i="15"/>
  <c r="I213" i="15"/>
  <c r="I215" i="15"/>
  <c r="I217" i="15"/>
  <c r="I219" i="15"/>
  <c r="I222" i="15"/>
  <c r="I223" i="15"/>
  <c r="I224" i="15"/>
  <c r="I225" i="15"/>
  <c r="I228" i="15"/>
  <c r="I231" i="15"/>
  <c r="I232" i="15"/>
  <c r="I233" i="15"/>
  <c r="I234" i="15"/>
  <c r="I235" i="15"/>
  <c r="I236" i="15"/>
  <c r="I237" i="15"/>
  <c r="I238" i="15"/>
  <c r="I241" i="15"/>
  <c r="I242" i="15"/>
  <c r="I243" i="15"/>
  <c r="I244" i="15"/>
  <c r="I245" i="15"/>
  <c r="I246" i="15"/>
  <c r="I247" i="15"/>
  <c r="I248" i="15"/>
  <c r="I249" i="15"/>
  <c r="I250" i="15"/>
  <c r="I251" i="15"/>
  <c r="I254" i="15"/>
  <c r="I255" i="15"/>
  <c r="I256" i="15"/>
  <c r="I257" i="15"/>
  <c r="I258" i="15"/>
  <c r="I259" i="15"/>
  <c r="I260" i="15"/>
  <c r="I261" i="15"/>
  <c r="I264" i="15"/>
  <c r="I265" i="15"/>
  <c r="I266" i="15"/>
  <c r="I267" i="15"/>
  <c r="I268" i="15"/>
  <c r="I271" i="15"/>
  <c r="I272" i="15"/>
  <c r="I273" i="15"/>
  <c r="I276" i="15"/>
  <c r="I277" i="15"/>
  <c r="I281" i="15"/>
  <c r="I282" i="15"/>
  <c r="I284" i="15"/>
  <c r="I285" i="15"/>
  <c r="I287" i="15"/>
  <c r="I288" i="15"/>
  <c r="I290" i="15"/>
  <c r="I291" i="15"/>
  <c r="I293" i="15"/>
  <c r="I294" i="15"/>
  <c r="I295" i="15"/>
  <c r="I296" i="15"/>
  <c r="I297" i="15"/>
  <c r="I298" i="15"/>
  <c r="I301" i="15"/>
  <c r="I302" i="15"/>
  <c r="I303" i="15"/>
  <c r="I305" i="15"/>
  <c r="I306" i="15"/>
  <c r="I307" i="15"/>
  <c r="I308" i="15"/>
  <c r="I309" i="15"/>
  <c r="I310" i="15"/>
  <c r="I312" i="15"/>
  <c r="I314" i="15"/>
  <c r="I315" i="15"/>
  <c r="I318" i="15"/>
  <c r="I319" i="15"/>
  <c r="I320" i="15"/>
  <c r="I321" i="15"/>
  <c r="I322" i="15"/>
  <c r="I324" i="15"/>
  <c r="I325" i="15"/>
  <c r="I326" i="15"/>
  <c r="I327" i="15"/>
  <c r="I328" i="15"/>
  <c r="I329" i="15"/>
  <c r="I330" i="15"/>
  <c r="I331" i="15"/>
  <c r="I333" i="15"/>
  <c r="I336" i="15"/>
  <c r="I337" i="15"/>
  <c r="I338" i="15"/>
  <c r="I339" i="15"/>
  <c r="I340" i="15"/>
  <c r="I342" i="15"/>
  <c r="I344" i="15"/>
  <c r="I346" i="15"/>
  <c r="I348" i="15"/>
  <c r="I351" i="15"/>
  <c r="I353" i="15"/>
  <c r="I355" i="15"/>
  <c r="I356" i="15"/>
  <c r="I357" i="15"/>
  <c r="I359" i="15"/>
  <c r="I360" i="15"/>
  <c r="I362" i="15"/>
  <c r="I364" i="15"/>
  <c r="I365" i="15"/>
  <c r="I366" i="15"/>
  <c r="I368" i="15"/>
  <c r="I369" i="15"/>
  <c r="I372" i="15"/>
  <c r="I373" i="15"/>
  <c r="I376" i="15"/>
  <c r="I377" i="15"/>
  <c r="I378" i="15"/>
  <c r="I379" i="15"/>
  <c r="I380" i="15"/>
  <c r="I382" i="15"/>
  <c r="I384" i="15"/>
  <c r="I385" i="15"/>
  <c r="I386" i="15"/>
  <c r="I388" i="15"/>
  <c r="I389" i="15"/>
  <c r="I390" i="15"/>
  <c r="I393" i="15"/>
  <c r="I395" i="15"/>
  <c r="I396" i="15"/>
  <c r="I399" i="15"/>
  <c r="I400" i="15"/>
  <c r="I401" i="15"/>
  <c r="I403" i="15"/>
  <c r="I405" i="15"/>
  <c r="I406" i="15"/>
  <c r="I408" i="15"/>
  <c r="I410" i="15"/>
  <c r="I412" i="15"/>
  <c r="I414" i="15"/>
  <c r="I415" i="15"/>
  <c r="I417" i="15"/>
  <c r="I418" i="15"/>
  <c r="I420" i="15"/>
  <c r="I423" i="15"/>
  <c r="I425" i="15"/>
  <c r="I427" i="15"/>
  <c r="I429" i="15"/>
  <c r="I431" i="15"/>
  <c r="I433" i="15"/>
  <c r="I436" i="15"/>
  <c r="I437" i="15"/>
  <c r="I441" i="15"/>
  <c r="I442" i="15"/>
  <c r="I444" i="15"/>
  <c r="I445" i="15"/>
  <c r="I447" i="15"/>
  <c r="I448" i="15"/>
  <c r="I449" i="15"/>
  <c r="I451" i="15"/>
  <c r="I452" i="15"/>
  <c r="I454" i="15"/>
  <c r="I455" i="15"/>
  <c r="I456" i="15"/>
  <c r="I457" i="15"/>
  <c r="I460" i="15"/>
  <c r="I461" i="15"/>
  <c r="I462" i="15"/>
  <c r="I463" i="15"/>
  <c r="I465" i="15"/>
  <c r="I466" i="15"/>
  <c r="I467" i="15"/>
  <c r="I468" i="15"/>
  <c r="I470" i="15"/>
  <c r="I471" i="15"/>
  <c r="I472" i="15"/>
  <c r="I473" i="15"/>
  <c r="I475" i="15"/>
  <c r="I476" i="15"/>
  <c r="I477" i="15"/>
  <c r="I478" i="15"/>
  <c r="I480" i="15"/>
  <c r="I481" i="15"/>
  <c r="I482" i="15"/>
  <c r="I484" i="15"/>
  <c r="I487" i="15"/>
  <c r="I490" i="15"/>
  <c r="I491" i="15"/>
  <c r="I492" i="15"/>
  <c r="I495" i="15"/>
  <c r="I496" i="15"/>
  <c r="I497" i="15"/>
  <c r="I498" i="15"/>
  <c r="I499" i="15"/>
  <c r="I501" i="15"/>
  <c r="I504" i="15"/>
  <c r="I505" i="15"/>
  <c r="I506" i="15"/>
  <c r="I507" i="15"/>
  <c r="I508" i="15"/>
  <c r="I511" i="15"/>
  <c r="I512" i="15"/>
  <c r="I513" i="15"/>
  <c r="I514" i="15"/>
  <c r="I515" i="15"/>
  <c r="I517" i="15"/>
  <c r="I518" i="15"/>
  <c r="I520" i="15"/>
  <c r="I521" i="15"/>
  <c r="I524" i="15"/>
  <c r="I526" i="15"/>
  <c r="I527" i="15"/>
  <c r="I529" i="15"/>
  <c r="I531" i="15"/>
  <c r="I532" i="15"/>
  <c r="I534" i="15"/>
  <c r="I535" i="15"/>
  <c r="I538" i="15"/>
  <c r="I539" i="15"/>
  <c r="I540" i="15"/>
  <c r="I541" i="15"/>
  <c r="I544" i="15"/>
  <c r="I545" i="15"/>
  <c r="I546" i="15"/>
  <c r="I548" i="15"/>
  <c r="I550" i="15"/>
  <c r="I551" i="15"/>
  <c r="I553" i="15"/>
  <c r="I13" i="15"/>
  <c r="T553" i="15"/>
  <c r="G553" i="15"/>
  <c r="T552" i="15"/>
  <c r="T551" i="15"/>
  <c r="G551" i="15"/>
  <c r="T550" i="15"/>
  <c r="G550" i="15"/>
  <c r="T549" i="15"/>
  <c r="T548" i="15"/>
  <c r="G548" i="15"/>
  <c r="T547" i="15"/>
  <c r="T546" i="15"/>
  <c r="G546" i="15"/>
  <c r="T545" i="15"/>
  <c r="G545" i="15"/>
  <c r="T544" i="15"/>
  <c r="G544" i="15"/>
  <c r="T543" i="15"/>
  <c r="T542" i="15"/>
  <c r="T541" i="15"/>
  <c r="G541" i="15"/>
  <c r="T540" i="15"/>
  <c r="G540" i="15"/>
  <c r="T539" i="15"/>
  <c r="G539" i="15"/>
  <c r="T538" i="15"/>
  <c r="G538" i="15"/>
  <c r="T537" i="15"/>
  <c r="T536" i="15"/>
  <c r="T535" i="15"/>
  <c r="G535" i="15"/>
  <c r="T534" i="15"/>
  <c r="G534" i="15"/>
  <c r="T533" i="15"/>
  <c r="T532" i="15"/>
  <c r="G532" i="15"/>
  <c r="T531" i="15"/>
  <c r="G531" i="15"/>
  <c r="T530" i="15"/>
  <c r="T529" i="15"/>
  <c r="G529" i="15"/>
  <c r="T528" i="15"/>
  <c r="T527" i="15"/>
  <c r="G527" i="15"/>
  <c r="T526" i="15"/>
  <c r="G526" i="15"/>
  <c r="T525" i="15"/>
  <c r="T524" i="15"/>
  <c r="G524" i="15"/>
  <c r="T523" i="15"/>
  <c r="T522" i="15"/>
  <c r="T521" i="15"/>
  <c r="G521" i="15"/>
  <c r="T520" i="15"/>
  <c r="G520" i="15"/>
  <c r="T519" i="15"/>
  <c r="T518" i="15"/>
  <c r="G518" i="15"/>
  <c r="T517" i="15"/>
  <c r="G517" i="15"/>
  <c r="T516" i="15"/>
  <c r="T515" i="15"/>
  <c r="G515" i="15"/>
  <c r="T514" i="15"/>
  <c r="G514" i="15"/>
  <c r="T513" i="15"/>
  <c r="G513" i="15"/>
  <c r="T512" i="15"/>
  <c r="G512" i="15"/>
  <c r="T511" i="15"/>
  <c r="G511" i="15"/>
  <c r="T510" i="15"/>
  <c r="T509" i="15"/>
  <c r="T508" i="15"/>
  <c r="G508" i="15"/>
  <c r="T507" i="15"/>
  <c r="G507" i="15"/>
  <c r="T506" i="15"/>
  <c r="G506" i="15"/>
  <c r="T505" i="15"/>
  <c r="G505" i="15"/>
  <c r="T504" i="15"/>
  <c r="G504" i="15"/>
  <c r="T503" i="15"/>
  <c r="T502" i="15"/>
  <c r="T501" i="15"/>
  <c r="G501" i="15"/>
  <c r="T500" i="15"/>
  <c r="T499" i="15"/>
  <c r="G499" i="15"/>
  <c r="T498" i="15"/>
  <c r="G498" i="15"/>
  <c r="T497" i="15"/>
  <c r="G497" i="15"/>
  <c r="T496" i="15"/>
  <c r="G496" i="15"/>
  <c r="T495" i="15"/>
  <c r="G495" i="15"/>
  <c r="T494" i="15"/>
  <c r="T493" i="15"/>
  <c r="T492" i="15"/>
  <c r="G492" i="15"/>
  <c r="T491" i="15"/>
  <c r="G491" i="15"/>
  <c r="T490" i="15"/>
  <c r="G490" i="15"/>
  <c r="T489" i="15"/>
  <c r="T488" i="15"/>
  <c r="T487" i="15"/>
  <c r="G487" i="15"/>
  <c r="T486" i="15"/>
  <c r="T485" i="15"/>
  <c r="T484" i="15"/>
  <c r="G484" i="15"/>
  <c r="T483" i="15"/>
  <c r="T482" i="15"/>
  <c r="G482" i="15"/>
  <c r="T481" i="15"/>
  <c r="G481" i="15"/>
  <c r="T480" i="15"/>
  <c r="G480" i="15"/>
  <c r="T479" i="15"/>
  <c r="T478" i="15"/>
  <c r="G478" i="15"/>
  <c r="T477" i="15"/>
  <c r="G477" i="15"/>
  <c r="T476" i="15"/>
  <c r="G476" i="15"/>
  <c r="T475" i="15"/>
  <c r="G475" i="15"/>
  <c r="T474" i="15"/>
  <c r="T473" i="15"/>
  <c r="G473" i="15"/>
  <c r="T472" i="15"/>
  <c r="G472" i="15"/>
  <c r="T471" i="15"/>
  <c r="G471" i="15"/>
  <c r="T470" i="15"/>
  <c r="G470" i="15"/>
  <c r="T469" i="15"/>
  <c r="T468" i="15"/>
  <c r="G468" i="15"/>
  <c r="T467" i="15"/>
  <c r="G467" i="15"/>
  <c r="T466" i="15"/>
  <c r="G466" i="15"/>
  <c r="T465" i="15"/>
  <c r="G465" i="15"/>
  <c r="T464" i="15"/>
  <c r="T463" i="15"/>
  <c r="G463" i="15"/>
  <c r="T462" i="15"/>
  <c r="G462" i="15"/>
  <c r="T461" i="15"/>
  <c r="G461" i="15"/>
  <c r="T460" i="15"/>
  <c r="G460" i="15"/>
  <c r="T459" i="15"/>
  <c r="T458" i="15"/>
  <c r="T457" i="15"/>
  <c r="G457" i="15"/>
  <c r="T456" i="15"/>
  <c r="G456" i="15"/>
  <c r="T455" i="15"/>
  <c r="G455" i="15"/>
  <c r="T454" i="15"/>
  <c r="G454" i="15"/>
  <c r="T453" i="15"/>
  <c r="T452" i="15"/>
  <c r="G452" i="15"/>
  <c r="T451" i="15"/>
  <c r="G451" i="15"/>
  <c r="T450" i="15"/>
  <c r="T449" i="15"/>
  <c r="G449" i="15"/>
  <c r="T448" i="15"/>
  <c r="G448" i="15"/>
  <c r="T447" i="15"/>
  <c r="G447" i="15"/>
  <c r="T446" i="15"/>
  <c r="T445" i="15"/>
  <c r="G445" i="15"/>
  <c r="T444" i="15"/>
  <c r="G444" i="15"/>
  <c r="T443" i="15"/>
  <c r="T442" i="15"/>
  <c r="G442" i="15"/>
  <c r="T441" i="15"/>
  <c r="G441" i="15"/>
  <c r="T440" i="15"/>
  <c r="T439" i="15"/>
  <c r="T438" i="15"/>
  <c r="T437" i="15"/>
  <c r="G437" i="15"/>
  <c r="T436" i="15"/>
  <c r="G436" i="15"/>
  <c r="T435" i="15"/>
  <c r="T434" i="15"/>
  <c r="T433" i="15"/>
  <c r="G433" i="15"/>
  <c r="T432" i="15"/>
  <c r="T431" i="15"/>
  <c r="G431" i="15"/>
  <c r="T430" i="15"/>
  <c r="T429" i="15"/>
  <c r="G429" i="15"/>
  <c r="T428" i="15"/>
  <c r="T427" i="15"/>
  <c r="G427" i="15"/>
  <c r="T426" i="15"/>
  <c r="T425" i="15"/>
  <c r="G425" i="15"/>
  <c r="T424" i="15"/>
  <c r="T423" i="15"/>
  <c r="G423" i="15"/>
  <c r="T422" i="15"/>
  <c r="T421" i="15"/>
  <c r="T420" i="15"/>
  <c r="G420" i="15"/>
  <c r="T419" i="15"/>
  <c r="T418" i="15"/>
  <c r="G418" i="15"/>
  <c r="T417" i="15"/>
  <c r="G417" i="15"/>
  <c r="T416" i="15"/>
  <c r="T415" i="15"/>
  <c r="G415" i="15"/>
  <c r="T414" i="15"/>
  <c r="G414" i="15"/>
  <c r="T413" i="15"/>
  <c r="T412" i="15"/>
  <c r="G412" i="15"/>
  <c r="T411" i="15"/>
  <c r="T410" i="15"/>
  <c r="G410" i="15"/>
  <c r="T409" i="15"/>
  <c r="T408" i="15"/>
  <c r="G408" i="15"/>
  <c r="T407" i="15"/>
  <c r="T406" i="15"/>
  <c r="G406" i="15"/>
  <c r="T405" i="15"/>
  <c r="G405" i="15"/>
  <c r="T404" i="15"/>
  <c r="T403" i="15"/>
  <c r="G403" i="15"/>
  <c r="T402" i="15"/>
  <c r="T401" i="15"/>
  <c r="G401" i="15"/>
  <c r="T400" i="15"/>
  <c r="G400" i="15"/>
  <c r="T399" i="15"/>
  <c r="G399" i="15"/>
  <c r="T398" i="15"/>
  <c r="T397" i="15"/>
  <c r="T396" i="15"/>
  <c r="G396" i="15"/>
  <c r="T395" i="15"/>
  <c r="G395" i="15"/>
  <c r="T394" i="15"/>
  <c r="T393" i="15"/>
  <c r="G393" i="15"/>
  <c r="T392" i="15"/>
  <c r="T391" i="15"/>
  <c r="T390" i="15"/>
  <c r="G390" i="15"/>
  <c r="T389" i="15"/>
  <c r="G389" i="15"/>
  <c r="T388" i="15"/>
  <c r="G388" i="15"/>
  <c r="T387" i="15"/>
  <c r="T386" i="15"/>
  <c r="G386" i="15"/>
  <c r="T385" i="15"/>
  <c r="G385" i="15"/>
  <c r="T384" i="15"/>
  <c r="G384" i="15"/>
  <c r="T383" i="15"/>
  <c r="T382" i="15"/>
  <c r="G382" i="15"/>
  <c r="T381" i="15"/>
  <c r="T380" i="15"/>
  <c r="G380" i="15"/>
  <c r="T379" i="15"/>
  <c r="G379" i="15"/>
  <c r="T378" i="15"/>
  <c r="G378" i="15"/>
  <c r="T377" i="15"/>
  <c r="G377" i="15"/>
  <c r="T376" i="15"/>
  <c r="G376" i="15"/>
  <c r="T375" i="15"/>
  <c r="T374" i="15"/>
  <c r="T373" i="15"/>
  <c r="G373" i="15"/>
  <c r="T372" i="15"/>
  <c r="G372" i="15"/>
  <c r="T371" i="15"/>
  <c r="T370" i="15"/>
  <c r="T369" i="15"/>
  <c r="G369" i="15"/>
  <c r="T368" i="15"/>
  <c r="G368" i="15"/>
  <c r="T367" i="15"/>
  <c r="T366" i="15"/>
  <c r="G366" i="15"/>
  <c r="T365" i="15"/>
  <c r="G365" i="15"/>
  <c r="T364" i="15"/>
  <c r="G364" i="15"/>
  <c r="T363" i="15"/>
  <c r="T362" i="15"/>
  <c r="G362" i="15"/>
  <c r="T361" i="15"/>
  <c r="T360" i="15"/>
  <c r="G360" i="15"/>
  <c r="T359" i="15"/>
  <c r="G359" i="15"/>
  <c r="T358" i="15"/>
  <c r="T357" i="15"/>
  <c r="G357" i="15"/>
  <c r="T356" i="15"/>
  <c r="G356" i="15"/>
  <c r="T355" i="15"/>
  <c r="G355" i="15"/>
  <c r="T354" i="15"/>
  <c r="T353" i="15"/>
  <c r="G353" i="15"/>
  <c r="T352" i="15"/>
  <c r="T351" i="15"/>
  <c r="G351" i="15"/>
  <c r="T350" i="15"/>
  <c r="T349" i="15"/>
  <c r="T348" i="15"/>
  <c r="G348" i="15"/>
  <c r="T347" i="15"/>
  <c r="T346" i="15"/>
  <c r="G346" i="15"/>
  <c r="T345" i="15"/>
  <c r="T344" i="15"/>
  <c r="G344" i="15"/>
  <c r="T343" i="15"/>
  <c r="T342" i="15"/>
  <c r="G342" i="15"/>
  <c r="T341" i="15"/>
  <c r="T340" i="15"/>
  <c r="G340" i="15"/>
  <c r="T339" i="15"/>
  <c r="G339" i="15"/>
  <c r="T338" i="15"/>
  <c r="G338" i="15"/>
  <c r="T337" i="15"/>
  <c r="G337" i="15"/>
  <c r="T336" i="15"/>
  <c r="G336" i="15"/>
  <c r="T335" i="15"/>
  <c r="T334" i="15"/>
  <c r="T333" i="15"/>
  <c r="G333" i="15"/>
  <c r="T332" i="15"/>
  <c r="T331" i="15"/>
  <c r="G331" i="15"/>
  <c r="T330" i="15"/>
  <c r="G330" i="15"/>
  <c r="T329" i="15"/>
  <c r="G329" i="15"/>
  <c r="T328" i="15"/>
  <c r="G328" i="15"/>
  <c r="T327" i="15"/>
  <c r="G327" i="15"/>
  <c r="T326" i="15"/>
  <c r="G326" i="15"/>
  <c r="T325" i="15"/>
  <c r="G325" i="15"/>
  <c r="T324" i="15"/>
  <c r="G324" i="15"/>
  <c r="T323" i="15"/>
  <c r="T322" i="15"/>
  <c r="G322" i="15"/>
  <c r="T321" i="15"/>
  <c r="G321" i="15"/>
  <c r="T320" i="15"/>
  <c r="G320" i="15"/>
  <c r="T319" i="15"/>
  <c r="G319" i="15"/>
  <c r="T318" i="15"/>
  <c r="G318" i="15"/>
  <c r="T317" i="15"/>
  <c r="T316" i="15"/>
  <c r="T315" i="15"/>
  <c r="G315" i="15"/>
  <c r="T314" i="15"/>
  <c r="G314" i="15"/>
  <c r="T313" i="15"/>
  <c r="T312" i="15"/>
  <c r="G312" i="15"/>
  <c r="T311" i="15"/>
  <c r="T310" i="15"/>
  <c r="G310" i="15"/>
  <c r="T309" i="15"/>
  <c r="G309" i="15"/>
  <c r="T308" i="15"/>
  <c r="G308" i="15"/>
  <c r="T307" i="15"/>
  <c r="G307" i="15"/>
  <c r="T306" i="15"/>
  <c r="G306" i="15"/>
  <c r="T305" i="15"/>
  <c r="G305" i="15"/>
  <c r="T304" i="15"/>
  <c r="T303" i="15"/>
  <c r="G303" i="15"/>
  <c r="T302" i="15"/>
  <c r="G302" i="15"/>
  <c r="T301" i="15"/>
  <c r="G301" i="15"/>
  <c r="T300" i="15"/>
  <c r="T299" i="15"/>
  <c r="T298" i="15"/>
  <c r="G298" i="15"/>
  <c r="T297" i="15"/>
  <c r="G297" i="15"/>
  <c r="T296" i="15"/>
  <c r="G296" i="15"/>
  <c r="T295" i="15"/>
  <c r="G295" i="15"/>
  <c r="T294" i="15"/>
  <c r="G294" i="15"/>
  <c r="T293" i="15"/>
  <c r="G293" i="15"/>
  <c r="T292" i="15"/>
  <c r="T291" i="15"/>
  <c r="G291" i="15"/>
  <c r="T290" i="15"/>
  <c r="G290" i="15"/>
  <c r="T289" i="15"/>
  <c r="T288" i="15"/>
  <c r="G288" i="15"/>
  <c r="T287" i="15"/>
  <c r="G287" i="15"/>
  <c r="T286" i="15"/>
  <c r="T285" i="15"/>
  <c r="G285" i="15"/>
  <c r="T284" i="15"/>
  <c r="G284" i="15"/>
  <c r="T283" i="15"/>
  <c r="T282" i="15"/>
  <c r="G282" i="15"/>
  <c r="T281" i="15"/>
  <c r="G281" i="15"/>
  <c r="T280" i="15"/>
  <c r="T279" i="15"/>
  <c r="T278" i="15"/>
  <c r="T277" i="15"/>
  <c r="G277" i="15"/>
  <c r="T276" i="15"/>
  <c r="G276" i="15"/>
  <c r="T275" i="15"/>
  <c r="T274" i="15"/>
  <c r="T273" i="15"/>
  <c r="G273" i="15"/>
  <c r="T272" i="15"/>
  <c r="G272" i="15"/>
  <c r="T271" i="15"/>
  <c r="G271" i="15"/>
  <c r="T270" i="15"/>
  <c r="T269" i="15"/>
  <c r="T268" i="15"/>
  <c r="G268" i="15"/>
  <c r="T267" i="15"/>
  <c r="G267" i="15"/>
  <c r="T266" i="15"/>
  <c r="G266" i="15"/>
  <c r="T265" i="15"/>
  <c r="G265" i="15"/>
  <c r="T264" i="15"/>
  <c r="G264" i="15"/>
  <c r="T263" i="15"/>
  <c r="T262" i="15"/>
  <c r="T261" i="15"/>
  <c r="G261" i="15"/>
  <c r="T260" i="15"/>
  <c r="G260" i="15"/>
  <c r="T259" i="15"/>
  <c r="G259" i="15"/>
  <c r="T258" i="15"/>
  <c r="G258" i="15"/>
  <c r="T257" i="15"/>
  <c r="G257" i="15"/>
  <c r="T256" i="15"/>
  <c r="G256" i="15"/>
  <c r="T255" i="15"/>
  <c r="G255" i="15"/>
  <c r="T254" i="15"/>
  <c r="G254" i="15"/>
  <c r="T253" i="15"/>
  <c r="T252" i="15"/>
  <c r="T251" i="15"/>
  <c r="G251" i="15"/>
  <c r="T250" i="15"/>
  <c r="G250" i="15"/>
  <c r="T249" i="15"/>
  <c r="G249" i="15"/>
  <c r="T248" i="15"/>
  <c r="G248" i="15"/>
  <c r="T247" i="15"/>
  <c r="G247" i="15"/>
  <c r="T246" i="15"/>
  <c r="G246" i="15"/>
  <c r="T245" i="15"/>
  <c r="G245" i="15"/>
  <c r="T244" i="15"/>
  <c r="G244" i="15"/>
  <c r="T243" i="15"/>
  <c r="G243" i="15"/>
  <c r="T242" i="15"/>
  <c r="G242" i="15"/>
  <c r="T241" i="15"/>
  <c r="G241" i="15"/>
  <c r="T240" i="15"/>
  <c r="T239" i="15"/>
  <c r="T238" i="15"/>
  <c r="G238" i="15"/>
  <c r="T237" i="15"/>
  <c r="G237" i="15"/>
  <c r="T236" i="15"/>
  <c r="G236" i="15"/>
  <c r="T235" i="15"/>
  <c r="G235" i="15"/>
  <c r="T234" i="15"/>
  <c r="G234" i="15"/>
  <c r="T233" i="15"/>
  <c r="G233" i="15"/>
  <c r="T232" i="15"/>
  <c r="G232" i="15"/>
  <c r="T231" i="15"/>
  <c r="G231" i="15"/>
  <c r="T230" i="15"/>
  <c r="T229" i="15"/>
  <c r="T228" i="15"/>
  <c r="G228" i="15"/>
  <c r="T227" i="15"/>
  <c r="T226" i="15"/>
  <c r="T225" i="15"/>
  <c r="G225" i="15"/>
  <c r="T224" i="15"/>
  <c r="G224" i="15"/>
  <c r="T223" i="15"/>
  <c r="G223" i="15"/>
  <c r="T222" i="15"/>
  <c r="G222" i="15"/>
  <c r="T221" i="15"/>
  <c r="T220" i="15"/>
  <c r="T219" i="15"/>
  <c r="G219" i="15"/>
  <c r="T218" i="15"/>
  <c r="T217" i="15"/>
  <c r="G217" i="15"/>
  <c r="T216" i="15"/>
  <c r="T215" i="15"/>
  <c r="G215" i="15"/>
  <c r="T214" i="15"/>
  <c r="T213" i="15"/>
  <c r="G213" i="15"/>
  <c r="T212" i="15"/>
  <c r="G212" i="15"/>
  <c r="T211" i="15"/>
  <c r="T210" i="15"/>
  <c r="G210" i="15"/>
  <c r="T209" i="15"/>
  <c r="G209" i="15"/>
  <c r="T208" i="15"/>
  <c r="T207" i="15"/>
  <c r="T206" i="15"/>
  <c r="T205" i="15"/>
  <c r="G205" i="15"/>
  <c r="T204" i="15"/>
  <c r="T203" i="15"/>
  <c r="G203" i="15"/>
  <c r="T202" i="15"/>
  <c r="T201" i="15"/>
  <c r="G201" i="15"/>
  <c r="T200" i="15"/>
  <c r="T199" i="15"/>
  <c r="G199" i="15"/>
  <c r="T198" i="15"/>
  <c r="G198" i="15"/>
  <c r="T197" i="15"/>
  <c r="G197" i="15"/>
  <c r="T196" i="15"/>
  <c r="G196" i="15"/>
  <c r="T195" i="15"/>
  <c r="G195" i="15"/>
  <c r="T194" i="15"/>
  <c r="G194" i="15"/>
  <c r="T193" i="15"/>
  <c r="G193" i="15"/>
  <c r="T192" i="15"/>
  <c r="G192" i="15"/>
  <c r="T191" i="15"/>
  <c r="T190" i="15"/>
  <c r="G190" i="15"/>
  <c r="T189" i="15"/>
  <c r="G189" i="15"/>
  <c r="T188" i="15"/>
  <c r="T187" i="15"/>
  <c r="G187" i="15"/>
  <c r="T186" i="15"/>
  <c r="G186" i="15"/>
  <c r="T185" i="15"/>
  <c r="T184" i="15"/>
  <c r="G184" i="15"/>
  <c r="T183" i="15"/>
  <c r="G183" i="15"/>
  <c r="T182" i="15"/>
  <c r="T181" i="15"/>
  <c r="G181" i="15"/>
  <c r="T180" i="15"/>
  <c r="G180" i="15"/>
  <c r="T179" i="15"/>
  <c r="T178" i="15"/>
  <c r="T177" i="15"/>
  <c r="T176" i="15"/>
  <c r="G176" i="15"/>
  <c r="T175" i="15"/>
  <c r="T174" i="15"/>
  <c r="G174" i="15"/>
  <c r="T173" i="15"/>
  <c r="T172" i="15"/>
  <c r="G172" i="15"/>
  <c r="T171" i="15"/>
  <c r="G171" i="15"/>
  <c r="T170" i="15"/>
  <c r="G170" i="15"/>
  <c r="T169" i="15"/>
  <c r="G169" i="15"/>
  <c r="T168" i="15"/>
  <c r="G168" i="15"/>
  <c r="T167" i="15"/>
  <c r="T166" i="15"/>
  <c r="T165" i="15"/>
  <c r="G165" i="15"/>
  <c r="T164" i="15"/>
  <c r="G164" i="15"/>
  <c r="T163" i="15"/>
  <c r="T162" i="15"/>
  <c r="G162" i="15"/>
  <c r="T161" i="15"/>
  <c r="G161" i="15"/>
  <c r="T160" i="15"/>
  <c r="G160" i="15"/>
  <c r="T159" i="15"/>
  <c r="G159" i="15"/>
  <c r="T158" i="15"/>
  <c r="G158" i="15"/>
  <c r="T157" i="15"/>
  <c r="T156" i="15"/>
  <c r="G156" i="15"/>
  <c r="T155" i="15"/>
  <c r="G155" i="15"/>
  <c r="T154" i="15"/>
  <c r="G154" i="15"/>
  <c r="T153" i="15"/>
  <c r="G153" i="15"/>
  <c r="T152" i="15"/>
  <c r="T151" i="15"/>
  <c r="G151" i="15"/>
  <c r="T150" i="15"/>
  <c r="T149" i="15"/>
  <c r="G149" i="15"/>
  <c r="T148" i="15"/>
  <c r="T147" i="15"/>
  <c r="G147" i="15"/>
  <c r="T146" i="15"/>
  <c r="T145" i="15"/>
  <c r="T144" i="15"/>
  <c r="G144" i="15"/>
  <c r="T143" i="15"/>
  <c r="T142" i="15"/>
  <c r="G142" i="15"/>
  <c r="T141" i="15"/>
  <c r="T140" i="15"/>
  <c r="T139" i="15"/>
  <c r="G139" i="15"/>
  <c r="T138" i="15"/>
  <c r="G138" i="15"/>
  <c r="T137" i="15"/>
  <c r="G137" i="15"/>
  <c r="T136" i="15"/>
  <c r="G136" i="15"/>
  <c r="T135" i="15"/>
  <c r="T134" i="15"/>
  <c r="T133" i="15"/>
  <c r="G133" i="15"/>
  <c r="T132" i="15"/>
  <c r="G132" i="15"/>
  <c r="T131" i="15"/>
  <c r="G131" i="15"/>
  <c r="T130" i="15"/>
  <c r="G130" i="15"/>
  <c r="T129" i="15"/>
  <c r="T128" i="15"/>
  <c r="G128" i="15"/>
  <c r="T127" i="15"/>
  <c r="G127" i="15"/>
  <c r="T126" i="15"/>
  <c r="G126" i="15"/>
  <c r="T125" i="15"/>
  <c r="G125" i="15"/>
  <c r="T124" i="15"/>
  <c r="T123" i="15"/>
  <c r="G123" i="15"/>
  <c r="T122" i="15"/>
  <c r="G122" i="15"/>
  <c r="T121" i="15"/>
  <c r="G121" i="15"/>
  <c r="T120" i="15"/>
  <c r="T119" i="15"/>
  <c r="G119" i="15"/>
  <c r="T118" i="15"/>
  <c r="G118" i="15"/>
  <c r="T117" i="15"/>
  <c r="T116" i="15"/>
  <c r="G116" i="15"/>
  <c r="T115" i="15"/>
  <c r="G115" i="15"/>
  <c r="T114" i="15"/>
  <c r="T113" i="15"/>
  <c r="T112" i="15"/>
  <c r="T111" i="15"/>
  <c r="T110" i="15"/>
  <c r="T109" i="15"/>
  <c r="G109" i="15"/>
  <c r="T108" i="15"/>
  <c r="G108" i="15"/>
  <c r="T107" i="15"/>
  <c r="T106" i="15"/>
  <c r="G106" i="15"/>
  <c r="T105" i="15"/>
  <c r="G105" i="15"/>
  <c r="T104" i="15"/>
  <c r="G104" i="15"/>
  <c r="T103" i="15"/>
  <c r="T102" i="15"/>
  <c r="T101" i="15"/>
  <c r="G101" i="15"/>
  <c r="T100" i="15"/>
  <c r="G100" i="15"/>
  <c r="T99" i="15"/>
  <c r="T98" i="15"/>
  <c r="T97" i="15"/>
  <c r="T96" i="15"/>
  <c r="G96" i="15"/>
  <c r="T95" i="15"/>
  <c r="G95" i="15"/>
  <c r="T94" i="15"/>
  <c r="T93" i="15"/>
  <c r="G93" i="15"/>
  <c r="T92" i="15"/>
  <c r="T91" i="15"/>
  <c r="G91" i="15"/>
  <c r="T90" i="15"/>
  <c r="G90" i="15"/>
  <c r="T89" i="15"/>
  <c r="T88" i="15"/>
  <c r="T87" i="15"/>
  <c r="G87" i="15"/>
  <c r="T86" i="15"/>
  <c r="G86" i="15"/>
  <c r="T85" i="15"/>
  <c r="T84" i="15"/>
  <c r="G84" i="15"/>
  <c r="T83" i="15"/>
  <c r="T82" i="15"/>
  <c r="G82" i="15"/>
  <c r="T81" i="15"/>
  <c r="T80" i="15"/>
  <c r="T79" i="15"/>
  <c r="G79" i="15"/>
  <c r="T78" i="15"/>
  <c r="T77" i="15"/>
  <c r="G77" i="15"/>
  <c r="T76" i="15"/>
  <c r="T75" i="15"/>
  <c r="G75" i="15"/>
  <c r="T74" i="15"/>
  <c r="T73" i="15"/>
  <c r="G73" i="15"/>
  <c r="T72" i="15"/>
  <c r="T71" i="15"/>
  <c r="T70" i="15"/>
  <c r="G70" i="15"/>
  <c r="T69" i="15"/>
  <c r="G69" i="15"/>
  <c r="T68" i="15"/>
  <c r="T67" i="15"/>
  <c r="T66" i="15"/>
  <c r="G66" i="15"/>
  <c r="T65" i="15"/>
  <c r="G65" i="15"/>
  <c r="T64" i="15"/>
  <c r="T63" i="15"/>
  <c r="T62" i="15"/>
  <c r="G62" i="15"/>
  <c r="T61" i="15"/>
  <c r="T60" i="15"/>
  <c r="G60" i="15"/>
  <c r="T59" i="15"/>
  <c r="G59" i="15"/>
  <c r="T58" i="15"/>
  <c r="T57" i="15"/>
  <c r="G57" i="15"/>
  <c r="T56" i="15"/>
  <c r="G56" i="15"/>
  <c r="T55" i="15"/>
  <c r="G55" i="15"/>
  <c r="T54" i="15"/>
  <c r="G54" i="15"/>
  <c r="T53" i="15"/>
  <c r="T52" i="15"/>
  <c r="G52" i="15"/>
  <c r="T51" i="15"/>
  <c r="T50" i="15"/>
  <c r="T49" i="15"/>
  <c r="G49" i="15"/>
  <c r="T48" i="15"/>
  <c r="G48" i="15"/>
  <c r="T47" i="15"/>
  <c r="T46" i="15"/>
  <c r="T45" i="15"/>
  <c r="G45" i="15"/>
  <c r="T44" i="15"/>
  <c r="T43" i="15"/>
  <c r="G43" i="15"/>
  <c r="T42" i="15"/>
  <c r="T41" i="15"/>
  <c r="G41" i="15"/>
  <c r="T40" i="15"/>
  <c r="T39" i="15"/>
  <c r="T38" i="15"/>
  <c r="G38" i="15"/>
  <c r="T37" i="15"/>
  <c r="T36" i="15"/>
  <c r="G36" i="15"/>
  <c r="T35" i="15"/>
  <c r="G35" i="15"/>
  <c r="T34" i="15"/>
  <c r="T33" i="15"/>
  <c r="G33" i="15"/>
  <c r="T32" i="15"/>
  <c r="G32" i="15"/>
  <c r="T31" i="15"/>
  <c r="T30" i="15"/>
  <c r="G30" i="15"/>
  <c r="T29" i="15"/>
  <c r="G29" i="15"/>
  <c r="T28" i="15"/>
  <c r="G28" i="15"/>
  <c r="T27" i="15"/>
  <c r="G27" i="15"/>
  <c r="T26" i="15"/>
  <c r="T25" i="15"/>
  <c r="T24" i="15"/>
  <c r="G24" i="15"/>
  <c r="T23" i="15"/>
  <c r="G23" i="15"/>
  <c r="T22" i="15"/>
  <c r="G22" i="15"/>
  <c r="T21" i="15"/>
  <c r="T20" i="15"/>
  <c r="T19" i="15"/>
  <c r="G19" i="15"/>
  <c r="T18" i="15"/>
  <c r="T17" i="15"/>
  <c r="G17" i="15"/>
  <c r="T16" i="15"/>
  <c r="T15" i="15"/>
  <c r="G15" i="15"/>
  <c r="T14" i="15"/>
  <c r="G14" i="15"/>
  <c r="T13" i="15"/>
  <c r="G13" i="15"/>
  <c r="T12" i="15"/>
  <c r="T11" i="15"/>
  <c r="T10" i="15"/>
  <c r="E4" i="15"/>
  <c r="E3" i="15"/>
  <c r="E2" i="15"/>
  <c r="G14" i="14"/>
  <c r="G15" i="14"/>
  <c r="G17" i="14"/>
  <c r="G19" i="14"/>
  <c r="G22" i="14"/>
  <c r="G23" i="14"/>
  <c r="G24" i="14"/>
  <c r="G27" i="14"/>
  <c r="G28" i="14"/>
  <c r="G29" i="14"/>
  <c r="G30" i="14"/>
  <c r="G32" i="14"/>
  <c r="G33" i="14"/>
  <c r="G35" i="14"/>
  <c r="G36" i="14"/>
  <c r="G38" i="14"/>
  <c r="G41" i="14"/>
  <c r="G43" i="14"/>
  <c r="G45" i="14"/>
  <c r="G48" i="14"/>
  <c r="G49" i="14"/>
  <c r="G52" i="14"/>
  <c r="G54" i="14"/>
  <c r="G55" i="14"/>
  <c r="G56" i="14"/>
  <c r="G57" i="14"/>
  <c r="G59" i="14"/>
  <c r="G60" i="14"/>
  <c r="G62" i="14"/>
  <c r="G65" i="14"/>
  <c r="G66" i="14"/>
  <c r="G69" i="14"/>
  <c r="G70" i="14"/>
  <c r="G73" i="14"/>
  <c r="G75" i="14"/>
  <c r="G77" i="14"/>
  <c r="G79" i="14"/>
  <c r="G82" i="14"/>
  <c r="G84" i="14"/>
  <c r="G86" i="14"/>
  <c r="G87" i="14"/>
  <c r="G90" i="14"/>
  <c r="G91" i="14"/>
  <c r="G93" i="14"/>
  <c r="G95" i="14"/>
  <c r="G96" i="14"/>
  <c r="G100" i="14"/>
  <c r="G101" i="14"/>
  <c r="G104" i="14"/>
  <c r="G105" i="14"/>
  <c r="G106" i="14"/>
  <c r="G108" i="14"/>
  <c r="G109" i="14"/>
  <c r="G115" i="14"/>
  <c r="G116" i="14"/>
  <c r="G118" i="14"/>
  <c r="G119" i="14"/>
  <c r="G121" i="14"/>
  <c r="G122" i="14"/>
  <c r="G123" i="14"/>
  <c r="G125" i="14"/>
  <c r="G126" i="14"/>
  <c r="G127" i="14"/>
  <c r="G128" i="14"/>
  <c r="G130" i="14"/>
  <c r="G131" i="14"/>
  <c r="G132" i="14"/>
  <c r="G133" i="14"/>
  <c r="G136" i="14"/>
  <c r="G137" i="14"/>
  <c r="G138" i="14"/>
  <c r="G139" i="14"/>
  <c r="G142" i="14"/>
  <c r="G144" i="14"/>
  <c r="G147" i="14"/>
  <c r="G149" i="14"/>
  <c r="G151" i="14"/>
  <c r="G153" i="14"/>
  <c r="G154" i="14"/>
  <c r="G155" i="14"/>
  <c r="G156" i="14"/>
  <c r="G158" i="14"/>
  <c r="G159" i="14"/>
  <c r="G160" i="14"/>
  <c r="G161" i="14"/>
  <c r="G162" i="14"/>
  <c r="G164" i="14"/>
  <c r="G165" i="14"/>
  <c r="G168" i="14"/>
  <c r="G169" i="14"/>
  <c r="G170" i="14"/>
  <c r="G171" i="14"/>
  <c r="G172" i="14"/>
  <c r="G174" i="14"/>
  <c r="G176" i="14"/>
  <c r="G180" i="14"/>
  <c r="G181" i="14"/>
  <c r="G183" i="14"/>
  <c r="G184" i="14"/>
  <c r="G186" i="14"/>
  <c r="G187" i="14"/>
  <c r="G189" i="14"/>
  <c r="G190" i="14"/>
  <c r="G192" i="14"/>
  <c r="G193" i="14"/>
  <c r="G194" i="14"/>
  <c r="G195" i="14"/>
  <c r="G196" i="14"/>
  <c r="G197" i="14"/>
  <c r="G198" i="14"/>
  <c r="G199" i="14"/>
  <c r="G201" i="14"/>
  <c r="G203" i="14"/>
  <c r="G205" i="14"/>
  <c r="G209" i="14"/>
  <c r="G210" i="14"/>
  <c r="G212" i="14"/>
  <c r="G213" i="14"/>
  <c r="G215" i="14"/>
  <c r="G217" i="14"/>
  <c r="G219" i="14"/>
  <c r="G222" i="14"/>
  <c r="G223" i="14"/>
  <c r="G224" i="14"/>
  <c r="G225" i="14"/>
  <c r="G228" i="14"/>
  <c r="G231" i="14"/>
  <c r="G232" i="14"/>
  <c r="G233" i="14"/>
  <c r="G234" i="14"/>
  <c r="G235" i="14"/>
  <c r="G236" i="14"/>
  <c r="G237" i="14"/>
  <c r="G238" i="14"/>
  <c r="G241" i="14"/>
  <c r="G242" i="14"/>
  <c r="G243" i="14"/>
  <c r="G244" i="14"/>
  <c r="G245" i="14"/>
  <c r="G246" i="14"/>
  <c r="G247" i="14"/>
  <c r="G248" i="14"/>
  <c r="G249" i="14"/>
  <c r="G250" i="14"/>
  <c r="G251" i="14"/>
  <c r="G254" i="14"/>
  <c r="G255" i="14"/>
  <c r="G256" i="14"/>
  <c r="G257" i="14"/>
  <c r="G258" i="14"/>
  <c r="G259" i="14"/>
  <c r="G260" i="14"/>
  <c r="G261" i="14"/>
  <c r="G264" i="14"/>
  <c r="G265" i="14"/>
  <c r="G266" i="14"/>
  <c r="G267" i="14"/>
  <c r="G268" i="14"/>
  <c r="G271" i="14"/>
  <c r="G272" i="14"/>
  <c r="G273" i="14"/>
  <c r="G276" i="14"/>
  <c r="G277" i="14"/>
  <c r="G281" i="14"/>
  <c r="G282" i="14"/>
  <c r="G284" i="14"/>
  <c r="G285" i="14"/>
  <c r="G287" i="14"/>
  <c r="G288" i="14"/>
  <c r="G290" i="14"/>
  <c r="G291" i="14"/>
  <c r="G293" i="14"/>
  <c r="G294" i="14"/>
  <c r="G295" i="14"/>
  <c r="G296" i="14"/>
  <c r="G297" i="14"/>
  <c r="G298" i="14"/>
  <c r="G301" i="14"/>
  <c r="G302" i="14"/>
  <c r="G303" i="14"/>
  <c r="G305" i="14"/>
  <c r="G306" i="14"/>
  <c r="G307" i="14"/>
  <c r="G308" i="14"/>
  <c r="G309" i="14"/>
  <c r="G310" i="14"/>
  <c r="G312" i="14"/>
  <c r="G314" i="14"/>
  <c r="G315" i="14"/>
  <c r="G318" i="14"/>
  <c r="G319" i="14"/>
  <c r="G320" i="14"/>
  <c r="G321" i="14"/>
  <c r="G322" i="14"/>
  <c r="G324" i="14"/>
  <c r="G325" i="14"/>
  <c r="G326" i="14"/>
  <c r="G327" i="14"/>
  <c r="G328" i="14"/>
  <c r="G329" i="14"/>
  <c r="G330" i="14"/>
  <c r="G331" i="14"/>
  <c r="G333" i="14"/>
  <c r="G336" i="14"/>
  <c r="G337" i="14"/>
  <c r="G338" i="14"/>
  <c r="G339" i="14"/>
  <c r="G340" i="14"/>
  <c r="G342" i="14"/>
  <c r="G344" i="14"/>
  <c r="G346" i="14"/>
  <c r="G348" i="14"/>
  <c r="G351" i="14"/>
  <c r="G353" i="14"/>
  <c r="G355" i="14"/>
  <c r="G356" i="14"/>
  <c r="G357" i="14"/>
  <c r="G359" i="14"/>
  <c r="G360" i="14"/>
  <c r="G362" i="14"/>
  <c r="G364" i="14"/>
  <c r="G365" i="14"/>
  <c r="G366" i="14"/>
  <c r="G368" i="14"/>
  <c r="G369" i="14"/>
  <c r="G372" i="14"/>
  <c r="G373" i="14"/>
  <c r="G376" i="14"/>
  <c r="G377" i="14"/>
  <c r="G378" i="14"/>
  <c r="G379" i="14"/>
  <c r="G380" i="14"/>
  <c r="G382" i="14"/>
  <c r="G384" i="14"/>
  <c r="G385" i="14"/>
  <c r="G386" i="14"/>
  <c r="G388" i="14"/>
  <c r="G389" i="14"/>
  <c r="G390" i="14"/>
  <c r="G393" i="14"/>
  <c r="G395" i="14"/>
  <c r="G396" i="14"/>
  <c r="G399" i="14"/>
  <c r="G400" i="14"/>
  <c r="G401" i="14"/>
  <c r="G403" i="14"/>
  <c r="G405" i="14"/>
  <c r="G406" i="14"/>
  <c r="G408" i="14"/>
  <c r="G410" i="14"/>
  <c r="G412" i="14"/>
  <c r="G414" i="14"/>
  <c r="G415" i="14"/>
  <c r="G417" i="14"/>
  <c r="G418" i="14"/>
  <c r="G420" i="14"/>
  <c r="G423" i="14"/>
  <c r="G425" i="14"/>
  <c r="G427" i="14"/>
  <c r="G429" i="14"/>
  <c r="G431" i="14"/>
  <c r="G433" i="14"/>
  <c r="G436" i="14"/>
  <c r="G437" i="14"/>
  <c r="G441" i="14"/>
  <c r="G442" i="14"/>
  <c r="G444" i="14"/>
  <c r="G445" i="14"/>
  <c r="G447" i="14"/>
  <c r="G448" i="14"/>
  <c r="G449" i="14"/>
  <c r="G451" i="14"/>
  <c r="G452" i="14"/>
  <c r="G454" i="14"/>
  <c r="G455" i="14"/>
  <c r="G456" i="14"/>
  <c r="G457" i="14"/>
  <c r="G460" i="14"/>
  <c r="G461" i="14"/>
  <c r="G462" i="14"/>
  <c r="G463" i="14"/>
  <c r="G465" i="14"/>
  <c r="G466" i="14"/>
  <c r="G467" i="14"/>
  <c r="G468" i="14"/>
  <c r="G470" i="14"/>
  <c r="G471" i="14"/>
  <c r="G472" i="14"/>
  <c r="G473" i="14"/>
  <c r="G475" i="14"/>
  <c r="G476" i="14"/>
  <c r="G477" i="14"/>
  <c r="G478" i="14"/>
  <c r="G480" i="14"/>
  <c r="G481" i="14"/>
  <c r="G482" i="14"/>
  <c r="G484" i="14"/>
  <c r="G487" i="14"/>
  <c r="G490" i="14"/>
  <c r="G491" i="14"/>
  <c r="G492" i="14"/>
  <c r="G495" i="14"/>
  <c r="G496" i="14"/>
  <c r="G497" i="14"/>
  <c r="G498" i="14"/>
  <c r="G499" i="14"/>
  <c r="G501" i="14"/>
  <c r="G504" i="14"/>
  <c r="G505" i="14"/>
  <c r="G506" i="14"/>
  <c r="G507" i="14"/>
  <c r="G508" i="14"/>
  <c r="G511" i="14"/>
  <c r="G512" i="14"/>
  <c r="G513" i="14"/>
  <c r="G514" i="14"/>
  <c r="G515" i="14"/>
  <c r="G517" i="14"/>
  <c r="G518" i="14"/>
  <c r="G520" i="14"/>
  <c r="G521" i="14"/>
  <c r="G524" i="14"/>
  <c r="G526" i="14"/>
  <c r="G527" i="14"/>
  <c r="G529" i="14"/>
  <c r="G531" i="14"/>
  <c r="G532" i="14"/>
  <c r="G534" i="14"/>
  <c r="G535" i="14"/>
  <c r="G538" i="14"/>
  <c r="G539" i="14"/>
  <c r="G540" i="14"/>
  <c r="G541" i="14"/>
  <c r="G544" i="14"/>
  <c r="G545" i="14"/>
  <c r="G546" i="14"/>
  <c r="G548" i="14"/>
  <c r="G550" i="14"/>
  <c r="G551" i="14"/>
  <c r="G553" i="14"/>
  <c r="G13" i="14"/>
  <c r="R553" i="14"/>
  <c r="R552" i="14"/>
  <c r="R551" i="14"/>
  <c r="R550" i="14"/>
  <c r="R549" i="14"/>
  <c r="R548" i="14"/>
  <c r="R547" i="14"/>
  <c r="R546" i="14"/>
  <c r="R545" i="14"/>
  <c r="R544" i="14"/>
  <c r="R543" i="14"/>
  <c r="R542" i="14"/>
  <c r="R541" i="14"/>
  <c r="R540" i="14"/>
  <c r="R539" i="14"/>
  <c r="R538" i="14"/>
  <c r="R537" i="14"/>
  <c r="R536" i="14"/>
  <c r="R535" i="14"/>
  <c r="R534" i="14"/>
  <c r="R533" i="14"/>
  <c r="R532" i="14"/>
  <c r="R531" i="14"/>
  <c r="R530" i="14"/>
  <c r="R529" i="14"/>
  <c r="R528" i="14"/>
  <c r="R527" i="14"/>
  <c r="R526" i="14"/>
  <c r="R525" i="14"/>
  <c r="R524" i="14"/>
  <c r="R523" i="14"/>
  <c r="R522" i="14"/>
  <c r="R521" i="14"/>
  <c r="R520" i="14"/>
  <c r="R519" i="14"/>
  <c r="R518" i="14"/>
  <c r="R517" i="14"/>
  <c r="R516" i="14"/>
  <c r="R515" i="14"/>
  <c r="R514" i="14"/>
  <c r="R513" i="14"/>
  <c r="R512" i="14"/>
  <c r="R511" i="14"/>
  <c r="R510" i="14"/>
  <c r="R509" i="14"/>
  <c r="R508" i="14"/>
  <c r="R507" i="14"/>
  <c r="R506" i="14"/>
  <c r="R505" i="14"/>
  <c r="R504" i="14"/>
  <c r="R503" i="14"/>
  <c r="R502" i="14"/>
  <c r="R501" i="14"/>
  <c r="R500" i="14"/>
  <c r="R499" i="14"/>
  <c r="R498" i="14"/>
  <c r="R497" i="14"/>
  <c r="R496" i="14"/>
  <c r="R495" i="14"/>
  <c r="R494" i="14"/>
  <c r="R493" i="14"/>
  <c r="R492" i="14"/>
  <c r="R491" i="14"/>
  <c r="R490" i="14"/>
  <c r="R489" i="14"/>
  <c r="R488" i="14"/>
  <c r="R487" i="14"/>
  <c r="R486" i="14"/>
  <c r="R485" i="14"/>
  <c r="R484" i="14"/>
  <c r="R483" i="14"/>
  <c r="R482" i="14"/>
  <c r="R481" i="14"/>
  <c r="R480" i="14"/>
  <c r="R479" i="14"/>
  <c r="R478" i="14"/>
  <c r="R477" i="14"/>
  <c r="R476" i="14"/>
  <c r="R475" i="14"/>
  <c r="R474" i="14"/>
  <c r="R473" i="14"/>
  <c r="R472" i="14"/>
  <c r="R471" i="14"/>
  <c r="R470" i="14"/>
  <c r="R469" i="14"/>
  <c r="R468" i="14"/>
  <c r="R467" i="14"/>
  <c r="R466" i="14"/>
  <c r="R465" i="14"/>
  <c r="R464" i="14"/>
  <c r="R463" i="14"/>
  <c r="R462" i="14"/>
  <c r="R461" i="14"/>
  <c r="R460" i="14"/>
  <c r="R459" i="14"/>
  <c r="R458" i="14"/>
  <c r="R457" i="14"/>
  <c r="R456" i="14"/>
  <c r="R455" i="14"/>
  <c r="R454" i="14"/>
  <c r="R453" i="14"/>
  <c r="R452" i="14"/>
  <c r="R451" i="14"/>
  <c r="R450" i="14"/>
  <c r="R449" i="14"/>
  <c r="R448" i="14"/>
  <c r="R447" i="14"/>
  <c r="R446" i="14"/>
  <c r="R445" i="14"/>
  <c r="R444" i="14"/>
  <c r="R443" i="14"/>
  <c r="R442" i="14"/>
  <c r="R441" i="14"/>
  <c r="R440" i="14"/>
  <c r="R439" i="14"/>
  <c r="R438" i="14"/>
  <c r="R437" i="14"/>
  <c r="R436" i="14"/>
  <c r="R435" i="14"/>
  <c r="R434" i="14"/>
  <c r="R433" i="14"/>
  <c r="R432" i="14"/>
  <c r="R431" i="14"/>
  <c r="R430" i="14"/>
  <c r="R429" i="14"/>
  <c r="R428" i="14"/>
  <c r="R427" i="14"/>
  <c r="R426" i="14"/>
  <c r="R425" i="14"/>
  <c r="R424" i="14"/>
  <c r="R423" i="14"/>
  <c r="R422" i="14"/>
  <c r="R421" i="14"/>
  <c r="R420" i="14"/>
  <c r="R419" i="14"/>
  <c r="R418" i="14"/>
  <c r="R417" i="14"/>
  <c r="R416" i="14"/>
  <c r="R415" i="14"/>
  <c r="R414" i="14"/>
  <c r="R413" i="14"/>
  <c r="R412" i="14"/>
  <c r="R411" i="14"/>
  <c r="R410" i="14"/>
  <c r="R409" i="14"/>
  <c r="R408" i="14"/>
  <c r="R407" i="14"/>
  <c r="R406" i="14"/>
  <c r="R405" i="14"/>
  <c r="R404" i="14"/>
  <c r="R403" i="14"/>
  <c r="R402" i="14"/>
  <c r="R401" i="14"/>
  <c r="R400" i="14"/>
  <c r="R399" i="14"/>
  <c r="R398" i="14"/>
  <c r="R397" i="14"/>
  <c r="R396" i="14"/>
  <c r="R395" i="14"/>
  <c r="R394" i="14"/>
  <c r="R393" i="14"/>
  <c r="R392" i="14"/>
  <c r="R391" i="14"/>
  <c r="R390" i="14"/>
  <c r="R389" i="14"/>
  <c r="R388" i="14"/>
  <c r="R387" i="14"/>
  <c r="R386" i="14"/>
  <c r="R385" i="14"/>
  <c r="R384" i="14"/>
  <c r="R383" i="14"/>
  <c r="R382" i="14"/>
  <c r="R381" i="14"/>
  <c r="R380" i="14"/>
  <c r="R379" i="14"/>
  <c r="R378" i="14"/>
  <c r="R377" i="14"/>
  <c r="R376" i="14"/>
  <c r="R375" i="14"/>
  <c r="R374" i="14"/>
  <c r="R373" i="14"/>
  <c r="R372" i="14"/>
  <c r="R371" i="14"/>
  <c r="R370" i="14"/>
  <c r="R369" i="14"/>
  <c r="R368" i="14"/>
  <c r="R367" i="14"/>
  <c r="R366" i="14"/>
  <c r="R365" i="14"/>
  <c r="R364" i="14"/>
  <c r="R363" i="14"/>
  <c r="R362" i="14"/>
  <c r="R361" i="14"/>
  <c r="R360" i="14"/>
  <c r="R359" i="14"/>
  <c r="R358" i="14"/>
  <c r="R357" i="14"/>
  <c r="R356" i="14"/>
  <c r="R355" i="14"/>
  <c r="R354" i="14"/>
  <c r="R353" i="14"/>
  <c r="R352" i="14"/>
  <c r="R351" i="14"/>
  <c r="R350" i="14"/>
  <c r="R349" i="14"/>
  <c r="R348" i="14"/>
  <c r="R347" i="14"/>
  <c r="R346" i="14"/>
  <c r="R345" i="14"/>
  <c r="R344" i="14"/>
  <c r="R343" i="14"/>
  <c r="R342" i="14"/>
  <c r="R341" i="14"/>
  <c r="R340" i="14"/>
  <c r="R339" i="14"/>
  <c r="R338" i="14"/>
  <c r="R337" i="14"/>
  <c r="R336" i="14"/>
  <c r="R335" i="14"/>
  <c r="R334" i="14"/>
  <c r="R333" i="14"/>
  <c r="R332" i="14"/>
  <c r="R331" i="14"/>
  <c r="R330" i="14"/>
  <c r="R329" i="14"/>
  <c r="R328" i="14"/>
  <c r="R327" i="14"/>
  <c r="R326" i="14"/>
  <c r="R325" i="14"/>
  <c r="R324" i="14"/>
  <c r="R323" i="14"/>
  <c r="R322" i="14"/>
  <c r="R321" i="14"/>
  <c r="R320" i="14"/>
  <c r="R319" i="14"/>
  <c r="R318" i="14"/>
  <c r="R317" i="14"/>
  <c r="R316" i="14"/>
  <c r="R315" i="14"/>
  <c r="R314" i="14"/>
  <c r="R313" i="14"/>
  <c r="R312" i="14"/>
  <c r="R311" i="14"/>
  <c r="R310" i="14"/>
  <c r="R309" i="14"/>
  <c r="R308" i="14"/>
  <c r="R307" i="14"/>
  <c r="R306" i="14"/>
  <c r="R305" i="14"/>
  <c r="R304" i="14"/>
  <c r="R303" i="14"/>
  <c r="R302" i="14"/>
  <c r="R301" i="14"/>
  <c r="R300" i="14"/>
  <c r="R299" i="14"/>
  <c r="R298" i="14"/>
  <c r="R297" i="14"/>
  <c r="R296" i="14"/>
  <c r="R295" i="14"/>
  <c r="R294" i="14"/>
  <c r="R293" i="14"/>
  <c r="R292" i="14"/>
  <c r="R291" i="14"/>
  <c r="R290" i="14"/>
  <c r="R289" i="14"/>
  <c r="R288" i="14"/>
  <c r="R287" i="14"/>
  <c r="R286" i="14"/>
  <c r="R285" i="14"/>
  <c r="R284" i="14"/>
  <c r="R283" i="14"/>
  <c r="R282" i="14"/>
  <c r="R281" i="14"/>
  <c r="R280" i="14"/>
  <c r="R279" i="14"/>
  <c r="R278" i="14"/>
  <c r="R277" i="14"/>
  <c r="R276" i="14"/>
  <c r="R275" i="14"/>
  <c r="R274" i="14"/>
  <c r="R273" i="14"/>
  <c r="R272" i="14"/>
  <c r="R271" i="14"/>
  <c r="R270" i="14"/>
  <c r="R269" i="14"/>
  <c r="R268" i="14"/>
  <c r="R267" i="14"/>
  <c r="R266" i="14"/>
  <c r="R265" i="14"/>
  <c r="R264" i="14"/>
  <c r="R263" i="14"/>
  <c r="R262" i="14"/>
  <c r="R261" i="14"/>
  <c r="R260" i="14"/>
  <c r="R259" i="14"/>
  <c r="R258" i="14"/>
  <c r="R257" i="14"/>
  <c r="R256" i="14"/>
  <c r="R255" i="14"/>
  <c r="R254" i="14"/>
  <c r="R253" i="14"/>
  <c r="R252" i="14"/>
  <c r="R251" i="14"/>
  <c r="R250" i="14"/>
  <c r="R249" i="14"/>
  <c r="R248" i="14"/>
  <c r="R247" i="14"/>
  <c r="R246" i="14"/>
  <c r="R245" i="14"/>
  <c r="R244" i="14"/>
  <c r="R243" i="14"/>
  <c r="R242" i="14"/>
  <c r="R241" i="14"/>
  <c r="R240" i="14"/>
  <c r="R239" i="14"/>
  <c r="R238" i="14"/>
  <c r="R237" i="14"/>
  <c r="R236" i="14"/>
  <c r="R235" i="14"/>
  <c r="R234" i="14"/>
  <c r="R233" i="14"/>
  <c r="R232" i="14"/>
  <c r="R231" i="14"/>
  <c r="R230" i="14"/>
  <c r="R229" i="14"/>
  <c r="R228" i="14"/>
  <c r="R227" i="14"/>
  <c r="R226" i="14"/>
  <c r="R225" i="14"/>
  <c r="R224" i="14"/>
  <c r="R223" i="14"/>
  <c r="R222" i="14"/>
  <c r="R221" i="14"/>
  <c r="R220" i="14"/>
  <c r="R219" i="14"/>
  <c r="R218" i="14"/>
  <c r="R217" i="14"/>
  <c r="R216" i="14"/>
  <c r="R215" i="14"/>
  <c r="R214" i="14"/>
  <c r="R213" i="14"/>
  <c r="R212" i="14"/>
  <c r="R211" i="14"/>
  <c r="R210" i="14"/>
  <c r="R209" i="14"/>
  <c r="R208" i="14"/>
  <c r="R207" i="14"/>
  <c r="R206" i="14"/>
  <c r="R205" i="14"/>
  <c r="R204" i="14"/>
  <c r="R203" i="14"/>
  <c r="R202" i="14"/>
  <c r="R201" i="14"/>
  <c r="R200" i="14"/>
  <c r="R199" i="14"/>
  <c r="R198" i="14"/>
  <c r="R197" i="14"/>
  <c r="R196" i="14"/>
  <c r="R195" i="14"/>
  <c r="R194" i="14"/>
  <c r="R193" i="14"/>
  <c r="R192" i="14"/>
  <c r="R191" i="14"/>
  <c r="R190" i="14"/>
  <c r="R189" i="14"/>
  <c r="R188" i="14"/>
  <c r="R187" i="14"/>
  <c r="R186" i="14"/>
  <c r="R185" i="14"/>
  <c r="R184" i="14"/>
  <c r="R183" i="14"/>
  <c r="R182" i="14"/>
  <c r="R181" i="14"/>
  <c r="R180" i="14"/>
  <c r="R179" i="14"/>
  <c r="R178" i="14"/>
  <c r="R177" i="14"/>
  <c r="R176" i="14"/>
  <c r="R175" i="14"/>
  <c r="R174" i="14"/>
  <c r="R173" i="14"/>
  <c r="R172" i="14"/>
  <c r="R171" i="14"/>
  <c r="R170" i="14"/>
  <c r="R169" i="14"/>
  <c r="R168" i="14"/>
  <c r="R167" i="14"/>
  <c r="R166" i="14"/>
  <c r="R165" i="14"/>
  <c r="R164" i="14"/>
  <c r="R163" i="14"/>
  <c r="R162" i="14"/>
  <c r="R161" i="14"/>
  <c r="R160" i="14"/>
  <c r="R159" i="14"/>
  <c r="R158" i="14"/>
  <c r="R157" i="14"/>
  <c r="R156" i="14"/>
  <c r="R155" i="14"/>
  <c r="R154" i="14"/>
  <c r="R153" i="14"/>
  <c r="R152" i="14"/>
  <c r="R151" i="14"/>
  <c r="R150" i="14"/>
  <c r="R149" i="14"/>
  <c r="R148" i="14"/>
  <c r="R147" i="14"/>
  <c r="R146" i="14"/>
  <c r="R145" i="14"/>
  <c r="R144" i="14"/>
  <c r="R143" i="14"/>
  <c r="R142" i="14"/>
  <c r="R141" i="14"/>
  <c r="R140" i="14"/>
  <c r="R139" i="14"/>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R18" i="14"/>
  <c r="R17" i="14"/>
  <c r="R16" i="14"/>
  <c r="R15" i="14"/>
  <c r="R14" i="14"/>
  <c r="R13" i="14"/>
  <c r="R12" i="14"/>
  <c r="R11" i="14"/>
  <c r="R10" i="14"/>
  <c r="E4" i="14"/>
  <c r="E3" i="14"/>
  <c r="E2" i="14"/>
  <c r="P324" i="2"/>
  <c r="P318" i="2"/>
  <c r="P307" i="2"/>
  <c r="P306" i="2"/>
  <c r="P303" i="2"/>
  <c r="P233" i="2"/>
  <c r="P192" i="2"/>
  <c r="P138" i="2"/>
  <c r="P137" i="2"/>
  <c r="P114" i="2"/>
  <c r="P115" i="2"/>
  <c r="P116" i="2"/>
  <c r="P117" i="2"/>
  <c r="S421" i="14" l="1"/>
  <c r="T421" i="14" s="1"/>
  <c r="U370" i="15"/>
  <c r="V370" i="15" s="1"/>
  <c r="U278" i="15"/>
  <c r="V278" i="15" s="1"/>
  <c r="S110" i="14"/>
  <c r="T110" i="14" s="1"/>
  <c r="S97" i="14"/>
  <c r="T97" i="14" s="1"/>
  <c r="U166" i="15"/>
  <c r="V166" i="15" s="1"/>
  <c r="U458" i="15"/>
  <c r="V458" i="15" s="1"/>
  <c r="S50" i="14"/>
  <c r="H50" i="14" s="1"/>
  <c r="S177" i="14"/>
  <c r="T177" i="14" s="1"/>
  <c r="S334" i="14"/>
  <c r="H334" i="14" s="1"/>
  <c r="S370" i="14"/>
  <c r="T370" i="14" s="1"/>
  <c r="U316" i="15"/>
  <c r="V316" i="15" s="1"/>
  <c r="S80" i="14"/>
  <c r="T80" i="14" s="1"/>
  <c r="U39" i="15"/>
  <c r="V39" i="15" s="1"/>
  <c r="U145" i="15"/>
  <c r="J145" i="15" s="1"/>
  <c r="E19" i="16" s="1"/>
  <c r="F19" i="16" s="1"/>
  <c r="U349" i="15"/>
  <c r="J349" i="15" s="1"/>
  <c r="E28" i="16" s="1"/>
  <c r="F28" i="16" s="1"/>
  <c r="U25" i="15"/>
  <c r="J25" i="15" s="1"/>
  <c r="E11" i="16" s="1"/>
  <c r="F11" i="16" s="1"/>
  <c r="U536" i="15"/>
  <c r="V536" i="15" s="1"/>
  <c r="U71" i="15"/>
  <c r="J71" i="15" s="1"/>
  <c r="E14" i="16" s="1"/>
  <c r="F14" i="16" s="1"/>
  <c r="U110" i="15"/>
  <c r="J110" i="15" s="1"/>
  <c r="E17" i="16" s="1"/>
  <c r="F17" i="16" s="1"/>
  <c r="U522" i="15"/>
  <c r="V522" i="15" s="1"/>
  <c r="U10" i="15"/>
  <c r="V10" i="15" s="1"/>
  <c r="U80" i="15"/>
  <c r="V80" i="15" s="1"/>
  <c r="U97" i="15"/>
  <c r="J97" i="15" s="1"/>
  <c r="E16" i="16" s="1"/>
  <c r="F16" i="16" s="1"/>
  <c r="U140" i="15"/>
  <c r="V140" i="15" s="1"/>
  <c r="U50" i="15"/>
  <c r="V50" i="15" s="1"/>
  <c r="U226" i="15"/>
  <c r="V226" i="15" s="1"/>
  <c r="U299" i="15"/>
  <c r="J299" i="15" s="1"/>
  <c r="E25" i="16" s="1"/>
  <c r="F25" i="16" s="1"/>
  <c r="U421" i="15"/>
  <c r="V421" i="15" s="1"/>
  <c r="U485" i="15"/>
  <c r="V485" i="15" s="1"/>
  <c r="U438" i="15"/>
  <c r="V438" i="15" s="1"/>
  <c r="U509" i="15"/>
  <c r="V509" i="15" s="1"/>
  <c r="U177" i="15"/>
  <c r="J177" i="15" s="1"/>
  <c r="E21" i="16" s="1"/>
  <c r="F21" i="16" s="1"/>
  <c r="U391" i="15"/>
  <c r="V391" i="15" s="1"/>
  <c r="U206" i="15"/>
  <c r="J206" i="15" s="1"/>
  <c r="E22" i="16" s="1"/>
  <c r="F22" i="16" s="1"/>
  <c r="U334" i="15"/>
  <c r="V334" i="15" s="1"/>
  <c r="S299" i="14"/>
  <c r="T299" i="14" s="1"/>
  <c r="S71" i="14"/>
  <c r="T71" i="14" s="1"/>
  <c r="S166" i="14"/>
  <c r="H166" i="14" s="1"/>
  <c r="S206" i="14"/>
  <c r="H206" i="14" s="1"/>
  <c r="S10" i="14"/>
  <c r="T10" i="14" s="1"/>
  <c r="S39" i="14"/>
  <c r="T39" i="14" s="1"/>
  <c r="S522" i="14"/>
  <c r="H522" i="14" s="1"/>
  <c r="S278" i="14"/>
  <c r="T278" i="14" s="1"/>
  <c r="S458" i="14"/>
  <c r="H458" i="14" s="1"/>
  <c r="S25" i="14"/>
  <c r="H25" i="14" s="1"/>
  <c r="S349" i="14"/>
  <c r="H349" i="14" s="1"/>
  <c r="S226" i="14"/>
  <c r="T226" i="14" s="1"/>
  <c r="S316" i="14"/>
  <c r="H316" i="14" s="1"/>
  <c r="S485" i="14"/>
  <c r="T485" i="14" s="1"/>
  <c r="S140" i="14"/>
  <c r="H140" i="14" s="1"/>
  <c r="S438" i="14"/>
  <c r="T438" i="14" s="1"/>
  <c r="S509" i="14"/>
  <c r="H509" i="14" s="1"/>
  <c r="S391" i="14"/>
  <c r="T391" i="14" s="1"/>
  <c r="S536" i="14"/>
  <c r="T536" i="14" s="1"/>
  <c r="S145" i="14"/>
  <c r="H145" i="14" s="1"/>
  <c r="E42" i="8"/>
  <c r="E41" i="8"/>
  <c r="D14" i="6"/>
  <c r="D13" i="6"/>
  <c r="D12" i="6"/>
  <c r="D11" i="6"/>
  <c r="D10" i="6"/>
  <c r="J278" i="15" l="1"/>
  <c r="E24" i="16" s="1"/>
  <c r="F24" i="16" s="1"/>
  <c r="J421" i="15"/>
  <c r="E31" i="16" s="1"/>
  <c r="F31" i="16" s="1"/>
  <c r="V145" i="15"/>
  <c r="H97" i="14"/>
  <c r="H97" i="15" s="1"/>
  <c r="J522" i="15"/>
  <c r="E36" i="16" s="1"/>
  <c r="F36" i="16" s="1"/>
  <c r="H485" i="14"/>
  <c r="H485" i="15" s="1"/>
  <c r="J370" i="15"/>
  <c r="E29" i="16" s="1"/>
  <c r="F29" i="16" s="1"/>
  <c r="T334" i="14"/>
  <c r="T458" i="14"/>
  <c r="J140" i="15"/>
  <c r="E18" i="16" s="1"/>
  <c r="F18" i="16" s="1"/>
  <c r="V177" i="15"/>
  <c r="H177" i="14"/>
  <c r="T166" i="14"/>
  <c r="J226" i="15"/>
  <c r="E23" i="16" s="1"/>
  <c r="F23" i="16" s="1"/>
  <c r="T206" i="14"/>
  <c r="T50" i="14"/>
  <c r="T145" i="14"/>
  <c r="H370" i="14"/>
  <c r="H370" i="15" s="1"/>
  <c r="T140" i="14"/>
  <c r="V206" i="15"/>
  <c r="J438" i="15"/>
  <c r="E32" i="16" s="1"/>
  <c r="F32" i="16" s="1"/>
  <c r="V299" i="15"/>
  <c r="T349" i="14"/>
  <c r="H438" i="14"/>
  <c r="H438" i="15" s="1"/>
  <c r="V110" i="15"/>
  <c r="V349" i="15"/>
  <c r="X334" i="15" s="1"/>
  <c r="T522" i="14"/>
  <c r="H110" i="14"/>
  <c r="H110" i="15" s="1"/>
  <c r="H71" i="14"/>
  <c r="H71" i="15" s="1"/>
  <c r="J536" i="15"/>
  <c r="E37" i="16" s="1"/>
  <c r="F37" i="16" s="1"/>
  <c r="H278" i="14"/>
  <c r="E24" i="6" s="1"/>
  <c r="F24" i="6" s="1"/>
  <c r="J39" i="15"/>
  <c r="E12" i="16" s="1"/>
  <c r="F12" i="16" s="1"/>
  <c r="J50" i="15"/>
  <c r="E13" i="16" s="1"/>
  <c r="F13" i="16" s="1"/>
  <c r="J10" i="15"/>
  <c r="E10" i="16" s="1"/>
  <c r="F10" i="16" s="1"/>
  <c r="T316" i="14"/>
  <c r="J316" i="15"/>
  <c r="E26" i="16" s="1"/>
  <c r="F26" i="16" s="1"/>
  <c r="H226" i="14"/>
  <c r="E23" i="6" s="1"/>
  <c r="F23" i="6" s="1"/>
  <c r="V97" i="15"/>
  <c r="J166" i="15"/>
  <c r="E20" i="16" s="1"/>
  <c r="F20" i="16" s="1"/>
  <c r="H80" i="14"/>
  <c r="E15" i="6" s="1"/>
  <c r="F15" i="6" s="1"/>
  <c r="J458" i="15"/>
  <c r="E33" i="16" s="1"/>
  <c r="F33" i="16" s="1"/>
  <c r="H536" i="14"/>
  <c r="E37" i="6" s="1"/>
  <c r="F37" i="6" s="1"/>
  <c r="H421" i="14"/>
  <c r="H421" i="15" s="1"/>
  <c r="H299" i="14"/>
  <c r="H299" i="15" s="1"/>
  <c r="V25" i="15"/>
  <c r="J485" i="15"/>
  <c r="E34" i="16" s="1"/>
  <c r="F34" i="16" s="1"/>
  <c r="T509" i="14"/>
  <c r="J80" i="15"/>
  <c r="E15" i="16" s="1"/>
  <c r="F15" i="16" s="1"/>
  <c r="V71" i="15"/>
  <c r="J334" i="15"/>
  <c r="E27" i="16" s="1"/>
  <c r="F27" i="16" s="1"/>
  <c r="J509" i="15"/>
  <c r="E35" i="16" s="1"/>
  <c r="F35" i="16" s="1"/>
  <c r="J391" i="15"/>
  <c r="E30" i="16" s="1"/>
  <c r="F30" i="16" s="1"/>
  <c r="E35" i="6"/>
  <c r="F35" i="6" s="1"/>
  <c r="H509" i="15"/>
  <c r="E11" i="6"/>
  <c r="F11" i="6" s="1"/>
  <c r="H25" i="15"/>
  <c r="H458" i="15"/>
  <c r="E33" i="6"/>
  <c r="F33" i="6" s="1"/>
  <c r="E36" i="6"/>
  <c r="F36" i="6" s="1"/>
  <c r="H522" i="15"/>
  <c r="H145" i="15"/>
  <c r="E19" i="6"/>
  <c r="F19" i="6" s="1"/>
  <c r="H39" i="14"/>
  <c r="H391" i="14"/>
  <c r="T25" i="14"/>
  <c r="H10" i="14"/>
  <c r="E13" i="6"/>
  <c r="F13" i="6" s="1"/>
  <c r="H50" i="15"/>
  <c r="H166" i="15"/>
  <c r="E20" i="6"/>
  <c r="F20" i="6" s="1"/>
  <c r="H177" i="15"/>
  <c r="E21" i="6"/>
  <c r="F21" i="6" s="1"/>
  <c r="H140" i="15"/>
  <c r="E18" i="6"/>
  <c r="F18" i="6" s="1"/>
  <c r="E22" i="6"/>
  <c r="F22" i="6" s="1"/>
  <c r="H206" i="15"/>
  <c r="H334" i="15"/>
  <c r="E27" i="6"/>
  <c r="F27" i="6" s="1"/>
  <c r="E26" i="6"/>
  <c r="F26" i="6" s="1"/>
  <c r="H316" i="15"/>
  <c r="H349" i="15"/>
  <c r="E28" i="6"/>
  <c r="F28" i="6" s="1"/>
  <c r="X438" i="15"/>
  <c r="P534" i="2"/>
  <c r="P520" i="2"/>
  <c r="E16" i="6" l="1"/>
  <c r="F16" i="6" s="1"/>
  <c r="V334" i="14"/>
  <c r="E34" i="6"/>
  <c r="F34" i="6" s="1"/>
  <c r="E14" i="6"/>
  <c r="F14" i="6" s="1"/>
  <c r="E29" i="6"/>
  <c r="F29" i="6" s="1"/>
  <c r="H226" i="15"/>
  <c r="V166" i="14"/>
  <c r="I4" i="14" s="1"/>
  <c r="E42" i="6" s="1"/>
  <c r="V10" i="14"/>
  <c r="I2" i="14" s="1"/>
  <c r="E40" i="6" s="1"/>
  <c r="X166" i="15"/>
  <c r="K4" i="15" s="1"/>
  <c r="E42" i="16" s="1"/>
  <c r="V97" i="14"/>
  <c r="I3" i="14" s="1"/>
  <c r="E41" i="6" s="1"/>
  <c r="H80" i="15"/>
  <c r="E25" i="6"/>
  <c r="F25" i="6" s="1"/>
  <c r="X97" i="15"/>
  <c r="K3" i="15" s="1"/>
  <c r="E41" i="16" s="1"/>
  <c r="H536" i="15"/>
  <c r="E32" i="6"/>
  <c r="F32" i="6" s="1"/>
  <c r="H278" i="15"/>
  <c r="E17" i="6"/>
  <c r="F17" i="6" s="1"/>
  <c r="V438" i="14"/>
  <c r="K3" i="14" s="1"/>
  <c r="E44" i="6" s="1"/>
  <c r="K2" i="14"/>
  <c r="E43" i="6" s="1"/>
  <c r="M3" i="15"/>
  <c r="E44" i="16" s="1"/>
  <c r="X10" i="15"/>
  <c r="K2" i="15" s="1"/>
  <c r="E40" i="16" s="1"/>
  <c r="M2" i="15"/>
  <c r="E43" i="16" s="1"/>
  <c r="E31" i="6"/>
  <c r="F31" i="6" s="1"/>
  <c r="H391" i="15"/>
  <c r="E30" i="6"/>
  <c r="F30" i="6" s="1"/>
  <c r="E12" i="6"/>
  <c r="F12" i="6" s="1"/>
  <c r="H39" i="15"/>
  <c r="E10" i="6"/>
  <c r="F10" i="6" s="1"/>
  <c r="H10" i="15"/>
  <c r="P359" i="2"/>
  <c r="P353" i="2"/>
  <c r="P328" i="2"/>
  <c r="P327" i="2"/>
  <c r="P329" i="2"/>
  <c r="P316" i="2"/>
  <c r="P315" i="2"/>
  <c r="P289" i="2"/>
  <c r="P126" i="2"/>
  <c r="W10" i="14" l="1"/>
  <c r="O2" i="14" s="1"/>
  <c r="D46" i="6" s="1"/>
  <c r="Y10" i="15"/>
  <c r="D47" i="16"/>
  <c r="P199" i="2"/>
  <c r="P200" i="2"/>
  <c r="P201" i="2"/>
  <c r="Q2" i="15" l="1"/>
  <c r="D46" i="16" s="1"/>
  <c r="D48" i="16" s="1"/>
  <c r="D20" i="6"/>
  <c r="C20" i="6"/>
  <c r="B20" i="6"/>
  <c r="P159" i="2"/>
  <c r="P160" i="2"/>
  <c r="P161" i="2"/>
  <c r="P162" i="2"/>
  <c r="P163" i="2"/>
  <c r="P164" i="2"/>
  <c r="P165" i="2"/>
  <c r="P166" i="2"/>
  <c r="P167" i="2"/>
  <c r="P168" i="2"/>
  <c r="P169" i="2"/>
  <c r="D44" i="6"/>
  <c r="D43" i="6"/>
  <c r="D42" i="6"/>
  <c r="D41" i="6"/>
  <c r="D40" i="6"/>
  <c r="D37" i="6"/>
  <c r="C37" i="6"/>
  <c r="B37" i="6"/>
  <c r="D36" i="6"/>
  <c r="C36" i="6"/>
  <c r="B36" i="6"/>
  <c r="D35" i="6"/>
  <c r="C35" i="6"/>
  <c r="B35" i="6"/>
  <c r="D34" i="6"/>
  <c r="C34" i="6"/>
  <c r="B34" i="6"/>
  <c r="D33" i="6"/>
  <c r="C33" i="6"/>
  <c r="B33" i="6"/>
  <c r="D32" i="6"/>
  <c r="C32" i="6"/>
  <c r="B32" i="6"/>
  <c r="D31" i="6"/>
  <c r="C31" i="6"/>
  <c r="B31" i="6"/>
  <c r="D30" i="6"/>
  <c r="C30" i="6"/>
  <c r="B30" i="6"/>
  <c r="D29" i="6"/>
  <c r="C29" i="6"/>
  <c r="B29" i="6"/>
  <c r="D28" i="6"/>
  <c r="C28" i="6"/>
  <c r="B28" i="6"/>
  <c r="D27" i="6"/>
  <c r="C27" i="6"/>
  <c r="B27" i="6"/>
  <c r="D26" i="6"/>
  <c r="D25" i="6"/>
  <c r="C26" i="6"/>
  <c r="B26" i="6"/>
  <c r="C25" i="6"/>
  <c r="B25" i="6"/>
  <c r="D24" i="6"/>
  <c r="C24" i="6"/>
  <c r="B24" i="6"/>
  <c r="D23" i="6"/>
  <c r="C23" i="6"/>
  <c r="B23" i="6"/>
  <c r="D22" i="6"/>
  <c r="C22" i="6"/>
  <c r="B22" i="6"/>
  <c r="D21" i="6"/>
  <c r="C21" i="6"/>
  <c r="B21" i="6"/>
  <c r="D19" i="6"/>
  <c r="C19" i="6"/>
  <c r="B19" i="6"/>
  <c r="D18" i="6"/>
  <c r="C18" i="6"/>
  <c r="B18" i="6"/>
  <c r="D17" i="6"/>
  <c r="C17" i="6"/>
  <c r="B17" i="6"/>
  <c r="D16" i="6"/>
  <c r="C16" i="6"/>
  <c r="B16" i="6"/>
  <c r="D15" i="6"/>
  <c r="C15" i="6"/>
  <c r="B15" i="6"/>
  <c r="C14" i="6"/>
  <c r="B14" i="6"/>
  <c r="C13" i="6"/>
  <c r="B13" i="6"/>
  <c r="C12" i="6"/>
  <c r="B12" i="6"/>
  <c r="C11" i="6"/>
  <c r="B11" i="6"/>
  <c r="C10" i="6"/>
  <c r="B10" i="6"/>
  <c r="D4" i="6"/>
  <c r="D3" i="6"/>
  <c r="D2" i="6"/>
  <c r="C10" i="8"/>
  <c r="C9" i="8"/>
  <c r="C8" i="8"/>
  <c r="C7" i="8"/>
  <c r="Q159" i="2" l="1"/>
  <c r="R159" i="2" s="1"/>
  <c r="P15" i="2"/>
  <c r="P17" i="2"/>
  <c r="P19" i="2"/>
  <c r="P20" i="2"/>
  <c r="P21" i="2"/>
  <c r="P22" i="2"/>
  <c r="P23" i="2"/>
  <c r="P24" i="2"/>
  <c r="P25"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6" i="2"/>
  <c r="P57" i="2"/>
  <c r="P59" i="2"/>
  <c r="P60" i="2"/>
  <c r="P61" i="2"/>
  <c r="P62" i="2"/>
  <c r="P63" i="2"/>
  <c r="P64" i="2"/>
  <c r="P66"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5" i="2"/>
  <c r="P106" i="2"/>
  <c r="P107" i="2"/>
  <c r="P108" i="2"/>
  <c r="P109" i="2"/>
  <c r="P110" i="2"/>
  <c r="P111" i="2"/>
  <c r="P112" i="2"/>
  <c r="P113" i="2"/>
  <c r="P118" i="2"/>
  <c r="P119" i="2"/>
  <c r="P120" i="2"/>
  <c r="P121" i="2"/>
  <c r="P122" i="2"/>
  <c r="P123" i="2"/>
  <c r="P124" i="2"/>
  <c r="P125" i="2"/>
  <c r="P127" i="2"/>
  <c r="P128" i="2"/>
  <c r="P129" i="2"/>
  <c r="P130" i="2"/>
  <c r="P131" i="2"/>
  <c r="P132" i="2"/>
  <c r="P133" i="2"/>
  <c r="P134" i="2"/>
  <c r="P135" i="2"/>
  <c r="P136" i="2"/>
  <c r="P139" i="2"/>
  <c r="P140" i="2"/>
  <c r="P141" i="2"/>
  <c r="P142" i="2"/>
  <c r="P143" i="2"/>
  <c r="P144" i="2"/>
  <c r="P145" i="2"/>
  <c r="P146" i="2"/>
  <c r="P147" i="2"/>
  <c r="P148" i="2"/>
  <c r="P149" i="2"/>
  <c r="P150" i="2"/>
  <c r="P151" i="2"/>
  <c r="P152" i="2"/>
  <c r="P170" i="2"/>
  <c r="P171" i="2"/>
  <c r="P172" i="2"/>
  <c r="P173" i="2"/>
  <c r="P174" i="2"/>
  <c r="P175" i="2"/>
  <c r="P176" i="2"/>
  <c r="P177" i="2"/>
  <c r="P178" i="2"/>
  <c r="P179" i="2"/>
  <c r="P180" i="2"/>
  <c r="P181" i="2"/>
  <c r="P182" i="2"/>
  <c r="P183" i="2"/>
  <c r="P184" i="2"/>
  <c r="P185" i="2"/>
  <c r="P186" i="2"/>
  <c r="P187" i="2"/>
  <c r="P188" i="2"/>
  <c r="P189" i="2"/>
  <c r="P190" i="2"/>
  <c r="P191" i="2"/>
  <c r="P193" i="2"/>
  <c r="P194" i="2"/>
  <c r="P195" i="2"/>
  <c r="P196" i="2"/>
  <c r="P202" i="2"/>
  <c r="P203" i="2"/>
  <c r="P204" i="2"/>
  <c r="P205" i="2"/>
  <c r="P206" i="2"/>
  <c r="P207" i="2"/>
  <c r="P208" i="2"/>
  <c r="P209" i="2"/>
  <c r="P210" i="2"/>
  <c r="P211" i="2"/>
  <c r="P214" i="2"/>
  <c r="P215" i="2"/>
  <c r="P216" i="2"/>
  <c r="P217" i="2"/>
  <c r="P218" i="2"/>
  <c r="P219" i="2"/>
  <c r="P220" i="2"/>
  <c r="P221" i="2"/>
  <c r="P222" i="2"/>
  <c r="P223" i="2"/>
  <c r="P224" i="2"/>
  <c r="P225" i="2"/>
  <c r="P226" i="2"/>
  <c r="P227" i="2"/>
  <c r="P228" i="2"/>
  <c r="P229" i="2"/>
  <c r="P230" i="2"/>
  <c r="P231" i="2"/>
  <c r="P232"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90" i="2"/>
  <c r="P291" i="2"/>
  <c r="P292" i="2"/>
  <c r="P296" i="2"/>
  <c r="P297" i="2"/>
  <c r="P298" i="2"/>
  <c r="P299" i="2"/>
  <c r="P300" i="2"/>
  <c r="P301" i="2"/>
  <c r="P302" i="2"/>
  <c r="P304" i="2"/>
  <c r="P305" i="2"/>
  <c r="P308" i="2"/>
  <c r="P309" i="2"/>
  <c r="P310" i="2"/>
  <c r="P311" i="2"/>
  <c r="P312" i="2"/>
  <c r="P313" i="2"/>
  <c r="P314" i="2"/>
  <c r="P317" i="2"/>
  <c r="P319" i="2"/>
  <c r="P320" i="2"/>
  <c r="P321" i="2"/>
  <c r="P322" i="2"/>
  <c r="P323" i="2"/>
  <c r="P325" i="2"/>
  <c r="P326" i="2"/>
  <c r="P330" i="2"/>
  <c r="P331" i="2"/>
  <c r="P332" i="2"/>
  <c r="P333" i="2"/>
  <c r="P334" i="2"/>
  <c r="P335" i="2"/>
  <c r="P336" i="2"/>
  <c r="P337" i="2"/>
  <c r="P338" i="2"/>
  <c r="P339" i="2"/>
  <c r="P340" i="2"/>
  <c r="P341" i="2"/>
  <c r="P342" i="2"/>
  <c r="P343" i="2"/>
  <c r="P344" i="2"/>
  <c r="P345" i="2"/>
  <c r="P348" i="2"/>
  <c r="P349" i="2"/>
  <c r="P350" i="2"/>
  <c r="P352" i="2"/>
  <c r="P354" i="2"/>
  <c r="P355" i="2"/>
  <c r="P356" i="2"/>
  <c r="P357" i="2"/>
  <c r="P358"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10" i="2"/>
  <c r="P511" i="2"/>
  <c r="P512" i="2"/>
  <c r="P513" i="2"/>
  <c r="P514" i="2"/>
  <c r="P515" i="2"/>
  <c r="P516" i="2"/>
  <c r="P517" i="2"/>
  <c r="P518" i="2"/>
  <c r="P519" i="2"/>
  <c r="P521" i="2"/>
  <c r="P522" i="2"/>
  <c r="P523" i="2"/>
  <c r="P524" i="2"/>
  <c r="P525" i="2"/>
  <c r="P526" i="2"/>
  <c r="P527" i="2"/>
  <c r="P528" i="2"/>
  <c r="P529" i="2"/>
  <c r="P530" i="2"/>
  <c r="P531" i="2"/>
  <c r="P532" i="2"/>
  <c r="P533" i="2"/>
  <c r="P535" i="2"/>
  <c r="P536" i="2"/>
  <c r="P537" i="2"/>
  <c r="P13" i="2"/>
  <c r="P14" i="2"/>
  <c r="P12" i="2"/>
  <c r="Q12" i="2" l="1"/>
  <c r="Q348" i="2"/>
  <c r="R348" i="2" s="1"/>
  <c r="Q506" i="2"/>
  <c r="Q444" i="2"/>
  <c r="R444" i="2" s="1"/>
  <c r="Q493" i="2"/>
  <c r="Q521" i="2"/>
  <c r="Q471" i="2"/>
  <c r="R471" i="2" s="1"/>
  <c r="Q407" i="2"/>
  <c r="F407" i="2" s="1"/>
  <c r="Q313" i="2"/>
  <c r="R313" i="2" s="1"/>
  <c r="Q201" i="2"/>
  <c r="Q331" i="2"/>
  <c r="R331" i="2" s="1"/>
  <c r="Q380" i="2"/>
  <c r="R380" i="2" s="1"/>
  <c r="Q367" i="2"/>
  <c r="Q273" i="2"/>
  <c r="R273" i="2" s="1"/>
  <c r="Q297" i="2"/>
  <c r="F297" i="2" s="1"/>
  <c r="Q222" i="2"/>
  <c r="F222" i="2" s="1"/>
  <c r="Q170" i="2"/>
  <c r="Q132" i="2"/>
  <c r="P67" i="2"/>
  <c r="Q59" i="2" s="1"/>
  <c r="Q28" i="2"/>
  <c r="R28" i="2" s="1"/>
  <c r="F159" i="2"/>
  <c r="F166" i="15" s="1"/>
  <c r="Q424" i="2"/>
  <c r="F424" i="2" s="1"/>
  <c r="P55" i="2"/>
  <c r="Q39" i="2" s="1"/>
  <c r="Q87" i="2"/>
  <c r="R87" i="2" s="1"/>
  <c r="Q70" i="2"/>
  <c r="R70" i="2" s="1"/>
  <c r="Q127" i="2"/>
  <c r="F21" i="1"/>
  <c r="E4" i="2"/>
  <c r="E2" i="2"/>
  <c r="R59" i="2" l="1"/>
  <c r="R39" i="2"/>
  <c r="F166" i="14"/>
  <c r="F12" i="2"/>
  <c r="F438" i="15"/>
  <c r="F438" i="14"/>
  <c r="F226" i="14"/>
  <c r="F226" i="15"/>
  <c r="F39" i="14"/>
  <c r="F39" i="15"/>
  <c r="F299" i="15"/>
  <c r="F299" i="14"/>
  <c r="F421" i="15"/>
  <c r="F421" i="14"/>
  <c r="R424" i="2"/>
  <c r="F273" i="2"/>
  <c r="F87" i="2"/>
  <c r="F59" i="2"/>
  <c r="F444" i="2"/>
  <c r="F39" i="2"/>
  <c r="G104" i="2" s="1"/>
  <c r="F348" i="2"/>
  <c r="F471" i="2"/>
  <c r="F28" i="2"/>
  <c r="G103" i="2" s="1"/>
  <c r="R222" i="2"/>
  <c r="F127" i="2"/>
  <c r="R127" i="2"/>
  <c r="R297" i="2"/>
  <c r="F380" i="2"/>
  <c r="F331" i="2"/>
  <c r="R407" i="2"/>
  <c r="F313" i="2"/>
  <c r="D47" i="6"/>
  <c r="F132" i="2"/>
  <c r="R132" i="2"/>
  <c r="R170" i="2"/>
  <c r="F170" i="2"/>
  <c r="R367" i="2"/>
  <c r="F367" i="2"/>
  <c r="R506" i="2"/>
  <c r="F506" i="2"/>
  <c r="R493" i="2"/>
  <c r="F493" i="2"/>
  <c r="R521" i="2"/>
  <c r="F521" i="2"/>
  <c r="R201" i="2"/>
  <c r="F201" i="2"/>
  <c r="F70" i="2"/>
  <c r="G113" i="15" l="1"/>
  <c r="G113" i="14"/>
  <c r="P103" i="2"/>
  <c r="G114" i="14"/>
  <c r="G114" i="15"/>
  <c r="P104" i="2"/>
  <c r="T331" i="2"/>
  <c r="R12" i="2"/>
  <c r="T12" i="2" s="1"/>
  <c r="F10" i="15"/>
  <c r="F10" i="14"/>
  <c r="F522" i="15"/>
  <c r="F522" i="14"/>
  <c r="F140" i="15"/>
  <c r="F140" i="14"/>
  <c r="F177" i="14"/>
  <c r="F177" i="15"/>
  <c r="F80" i="15"/>
  <c r="F80" i="14"/>
  <c r="F391" i="15"/>
  <c r="F391" i="14"/>
  <c r="F71" i="15"/>
  <c r="F71" i="14"/>
  <c r="F370" i="15"/>
  <c r="F370" i="14"/>
  <c r="F97" i="14"/>
  <c r="F97" i="15"/>
  <c r="F278" i="15"/>
  <c r="F278" i="14"/>
  <c r="F206" i="14"/>
  <c r="F206" i="15"/>
  <c r="F25" i="14"/>
  <c r="F25" i="15"/>
  <c r="F145" i="15"/>
  <c r="F145" i="14"/>
  <c r="F485" i="14"/>
  <c r="F485" i="15"/>
  <c r="F536" i="15"/>
  <c r="F536" i="14"/>
  <c r="F316" i="14"/>
  <c r="F316" i="15"/>
  <c r="F349" i="15"/>
  <c r="F349" i="14"/>
  <c r="F509" i="15"/>
  <c r="F509" i="14"/>
  <c r="F50" i="15"/>
  <c r="F50" i="14"/>
  <c r="F334" i="14"/>
  <c r="F334" i="15"/>
  <c r="F458" i="14"/>
  <c r="F458" i="15"/>
  <c r="T424" i="2"/>
  <c r="I3" i="2" s="1"/>
  <c r="G19" i="1" s="1"/>
  <c r="T159" i="2"/>
  <c r="Q100" i="2" l="1"/>
  <c r="R100" i="2" s="1"/>
  <c r="T87" i="2" s="1"/>
  <c r="G2" i="2"/>
  <c r="G15" i="1" s="1"/>
  <c r="G4" i="2"/>
  <c r="G17" i="1" s="1"/>
  <c r="I2" i="2"/>
  <c r="G18" i="1" s="1"/>
  <c r="D48" i="6"/>
  <c r="U12" i="2" l="1"/>
  <c r="M2" i="2" s="1"/>
  <c r="G3" i="2"/>
  <c r="G16" i="1" s="1"/>
  <c r="F23" i="1" s="1"/>
  <c r="F100" i="2"/>
  <c r="F110" i="15" s="1"/>
  <c r="F110" i="14" l="1"/>
  <c r="E40" i="8"/>
  <c r="G21" i="1"/>
  <c r="F2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<sst xmlns="http://schemas.openxmlformats.org/spreadsheetml/2006/main" count="6049" uniqueCount="1859">
  <si>
    <t>Nutzungsprofil</t>
  </si>
  <si>
    <t>Vertragsnummer</t>
  </si>
  <si>
    <t>Bauvorhaben</t>
  </si>
  <si>
    <t>Antragsteller</t>
  </si>
  <si>
    <t>DGNB Auditor</t>
  </si>
  <si>
    <t>Datum</t>
  </si>
  <si>
    <t>Hauptkriteriengruppe</t>
  </si>
  <si>
    <t>Ökologische Qualität</t>
  </si>
  <si>
    <t>Ökonomische Qualität</t>
  </si>
  <si>
    <t>Soziokulturelle und Funktionale Qualität</t>
  </si>
  <si>
    <t>Technische Qualität</t>
  </si>
  <si>
    <t>Prozessqualität</t>
  </si>
  <si>
    <t>Gesamterfüllungsgrad</t>
  </si>
  <si>
    <t>Nebenanforderungen</t>
  </si>
  <si>
    <t>Plakette</t>
  </si>
  <si>
    <t>DGNB Nebenanforderung</t>
  </si>
  <si>
    <t>Nebenanforderung Qualitäten *</t>
  </si>
  <si>
    <t>DGNB Mindestanforderungen</t>
  </si>
  <si>
    <t>Vorzertifizierung</t>
  </si>
  <si>
    <t>Zertifizierung</t>
  </si>
  <si>
    <t>Name</t>
  </si>
  <si>
    <t>Unterschrift / Stempel</t>
  </si>
  <si>
    <t>Ich versichere, dass die oben gemachten Angaben der bisherigen Planung entsprechen.</t>
  </si>
  <si>
    <t>Ich versichere, dass alle eingetragenen Bewertungen auf Plausibilität überprüft wurden und gemäß den DGNB Anforderungen vorgenommen wurden.</t>
  </si>
  <si>
    <t>Erfüllungsgrad</t>
  </si>
  <si>
    <t>DGNB Gewichtungstabelle</t>
  </si>
  <si>
    <t>© DGNB GmbH 2019</t>
  </si>
  <si>
    <t>Anteil an Gesamt-erfüllungsgrad</t>
  </si>
  <si>
    <t>Gesamtbewertung</t>
  </si>
  <si>
    <t>Gesamt-erfüllungsgrad</t>
  </si>
  <si>
    <t>Nr</t>
  </si>
  <si>
    <t>Kriterium</t>
  </si>
  <si>
    <t>Indikator</t>
  </si>
  <si>
    <t>IST-Punkte (Kriterium)</t>
  </si>
  <si>
    <t>IST-Punkte (Indikator)</t>
  </si>
  <si>
    <t>Max. Punkte</t>
  </si>
  <si>
    <t>spezifischer
Bedeutungsfaktor</t>
  </si>
  <si>
    <t>Ökologie</t>
  </si>
  <si>
    <t>Ökonomie</t>
  </si>
  <si>
    <t>Technik</t>
  </si>
  <si>
    <t>Prozess</t>
  </si>
  <si>
    <t>Gesamt-erfüllungs-grad</t>
  </si>
  <si>
    <t>Soziokult. &amp; Funktional</t>
  </si>
  <si>
    <t>BERECHNUNGSBLOCK</t>
  </si>
  <si>
    <t>Gewicht Kriteriengruppe</t>
  </si>
  <si>
    <t>Erfüllungsgrad Kriterium</t>
  </si>
  <si>
    <t>Erfüllungsgrad Kriteriengruppe</t>
  </si>
  <si>
    <t>ist einzutragen</t>
  </si>
  <si>
    <t>Systemvorgaben</t>
  </si>
  <si>
    <t>Zelle ohne Inhalt</t>
  </si>
  <si>
    <t>wird autom. berechnet</t>
  </si>
  <si>
    <t>Legende:</t>
  </si>
  <si>
    <t>ENV1.1</t>
  </si>
  <si>
    <t>Ökobilanz</t>
  </si>
  <si>
    <t>1.</t>
  </si>
  <si>
    <t>Ökobilanz in der Planung</t>
  </si>
  <si>
    <t>1.1</t>
  </si>
  <si>
    <t>Integration von Ökobilanzen in den Planungsprozess</t>
  </si>
  <si>
    <t>1.1.</t>
  </si>
  <si>
    <t>Punkte
(Auditor)</t>
  </si>
  <si>
    <t>Kommentar / Bemerkung
AUDITOR</t>
  </si>
  <si>
    <t>2.</t>
  </si>
  <si>
    <t>Ökobilanz-Optimierung</t>
  </si>
  <si>
    <t>2.1.</t>
  </si>
  <si>
    <t>3.</t>
  </si>
  <si>
    <t>Ökobilanz Vergleichsrechnung</t>
  </si>
  <si>
    <t>3.1.</t>
  </si>
  <si>
    <t>4.</t>
  </si>
  <si>
    <t>AGENDA 2030 BONUS - KLIMASCHUTZZIELE</t>
  </si>
  <si>
    <t>4.1.</t>
  </si>
  <si>
    <t xml:space="preserve">Ein Ökobilanz-Modell wird in einer frühen Planungsphase für das Projekt erstellt. Die in der Planungsphase vorliegenden Varianten werden hinsichtlich ihrer potenziellen ökologischen Herstell- und relevanter Nutzungsauswirkungen gegenübergestellt. Dabei fließen Informationen von mindestens drei verschiedenen Fachplanern bzw. Fachdisziplinen in die Ermittlung ein. Zumindest werden typischerweise zu erwartende Ökobilanz-Kennwerte (z. B. abgeleitet aus Studien oder Benchmarks) und spezifische Werte für die energiebedingten Wirkungen ermittelt und im Planungsteam differenziert nach Betrieb und Konstruktion kommuniziert.
</t>
  </si>
  <si>
    <t xml:space="preserve">Ökobilanzergebnisse werden für das Quartier planungsbegleitend regelmäßig (an den jeweiligen Planungsstand angepasst) ermittelt und im Planungsteam entsprechend den konkreten Planungsfragen erörtert und (differenziert nach Betrieb und Konstruktion) kommuniziert. Spätestens in der Leistungsphase 4 werden die Konstruktion und alle relevanten Nutzungsauswirkungen mindestens gemäß vereinfachtem Verfahren in die Berechnungen integriert.
</t>
  </si>
  <si>
    <t xml:space="preserve">Ökobilanzergebnisse werden für die Betriebsphase des Quartiers über den gesetzlich festgelegten Rahmen der Energieberechnung hinaus  ermittelt. Dies umfasst z. B. eine differenzierte Betrachtung des für die Nutzung des Quartiers relevanten Energiebedarfs (KIT, Versorgung, Produktion, (Effekt-) Beleuchtung, ...),  oder ähnliches. Die Ergebnisse werden im Planungsteam kommuniziert.
</t>
  </si>
  <si>
    <r>
      <t xml:space="preserve">Planungsbegleitende Ökobilanz-Optimierung
</t>
    </r>
    <r>
      <rPr>
        <sz val="10"/>
        <color theme="1"/>
        <rFont val="Arial"/>
        <family val="2"/>
      </rPr>
      <t xml:space="preserve">Für das Quartier werden die Auswirkungen maßgeblicher alternativer Entscheidungen auf die zu erwartenden Ökobilanzergebnisse ermittelt. Die Wahl der Alternativen ist nachvollziehbar und birgt Verbesserungspotential. Die Entscheidung für die schlussendlich umgesetzte Lösung wird erläutert.
</t>
    </r>
  </si>
  <si>
    <r>
      <rPr>
        <b/>
        <sz val="10"/>
        <color rgb="FF3C4981"/>
        <rFont val="Arial"/>
        <family val="2"/>
      </rPr>
      <t>Gewichtete Umweltwirkungen: gesamtes Quartier</t>
    </r>
    <r>
      <rPr>
        <b/>
        <sz val="10"/>
        <color theme="1"/>
        <rFont val="Arial"/>
        <family val="2"/>
      </rPr>
      <t xml:space="preserve">
</t>
    </r>
    <r>
      <rPr>
        <sz val="10"/>
        <color theme="1"/>
        <rFont val="Arial"/>
        <family val="2"/>
      </rPr>
      <t xml:space="preserve">Bewertung der Ökobilanz-Ergebnisse
</t>
    </r>
  </si>
  <si>
    <t xml:space="preserve">Klimaneutraler Energiebedarf:
Die CO2-Emissionen des gebäudebedingten Energiebedarfs (gesetzlich festgelegter Rahmen der Energieeinsparverordnung) werden gemäß der DGNB Definition für die Ermittlung von Klimaneutralität mindestens klimaneutral gedeckt.
</t>
  </si>
  <si>
    <t>Ambitionen zum Erreichen von Klimaneutralität</t>
  </si>
  <si>
    <t xml:space="preserve">Klimaneutraler Energiebedarf Nutzer:
Die CO2-Emissionen der energieverbrauchsrelevanten Aktivitäten der Nutzer im Quartier werden gemäß der DGNB Definition für die Ermittlung von Klimaneutralität mindestens klimaneutral gedeckt.
</t>
  </si>
  <si>
    <t>4.2.</t>
  </si>
  <si>
    <r>
      <t xml:space="preserve">Halogenierte Kohlenwasserstoffe in Kältemitteln
</t>
    </r>
    <r>
      <rPr>
        <sz val="10"/>
        <color theme="1"/>
        <rFont val="Arial"/>
        <family val="2"/>
      </rPr>
      <t xml:space="preserve">Keine Nutzung von Kältemitteln mit einem GWP-Faktor ≥ 150 kg CO2-Äq.
</t>
    </r>
  </si>
  <si>
    <t>Eingegebene Indikator-Punkte prüfen</t>
  </si>
  <si>
    <t>ENV1.5</t>
  </si>
  <si>
    <t>Stadtklima</t>
  </si>
  <si>
    <t>Stadtklimatische Analyse des Quartiers</t>
  </si>
  <si>
    <t xml:space="preserve">Berücksichtigung der großräumigen stadtklimatischen Lage
</t>
  </si>
  <si>
    <t xml:space="preserve">Berücksichtigung der Windrichtung
</t>
  </si>
  <si>
    <t xml:space="preserve">Berücksichtigung von orografisch / topographisch stark gegliederten Bereichen
</t>
  </si>
  <si>
    <t xml:space="preserve">Berücksichtigung der kleinräumigen stadtklimatischen Lage
</t>
  </si>
  <si>
    <t>1.2</t>
  </si>
  <si>
    <t>1.3</t>
  </si>
  <si>
    <t>1.4</t>
  </si>
  <si>
    <t>Thermische Qualität der Quartiersoberflächen / Werksoberflächen</t>
  </si>
  <si>
    <t xml:space="preserve">Stadtklimafaktor Stadtquartiere
</t>
  </si>
  <si>
    <t xml:space="preserve">ALTERNATIVE zu 2.1.: Es kann ein Gutachten mit Modellierung der mittleren  Strahlungstemperatur eingesetzt werden.
</t>
  </si>
  <si>
    <t>2.1</t>
  </si>
  <si>
    <t>2.3</t>
  </si>
  <si>
    <t>Belüftung</t>
  </si>
  <si>
    <t>3.2</t>
  </si>
  <si>
    <t>4.1</t>
  </si>
  <si>
    <t>ENV1.6</t>
  </si>
  <si>
    <t>Umweltrisiken</t>
  </si>
  <si>
    <t>A.</t>
  </si>
  <si>
    <t>Umweltrisiko mit der höchsten Relevanz</t>
  </si>
  <si>
    <t>B.</t>
  </si>
  <si>
    <t>Umweltrisiko mit der zweithochsten Relevanz</t>
  </si>
  <si>
    <t>1.-11.</t>
  </si>
  <si>
    <t>C.</t>
  </si>
  <si>
    <t>12.</t>
  </si>
  <si>
    <t>Radon</t>
  </si>
  <si>
    <t xml:space="preserve">Tragen Sie hier die Punkte für das relevanteste Umweltrisiko ein (mögliche Risiken sind in den Indikatoren 1 bis 11 im Kriterium beschrieben)
</t>
  </si>
  <si>
    <t>12.1.</t>
  </si>
  <si>
    <t xml:space="preserve">Radon-Bodenluftkonzentration wird in einer Risikoabschätzung parzellengenau ermittelt
</t>
  </si>
  <si>
    <t xml:space="preserve">Im Quartier werden geeignete Maßnahmen getroffen, um den Zutritt von Radon aus dem Baugrund zu verhindern oder erheblich zu erschweren (s. §123 StrlSchG)
</t>
  </si>
  <si>
    <t>ENV2.2</t>
  </si>
  <si>
    <t>Wasserkreislaufsysteme</t>
  </si>
  <si>
    <t>Reduzierung des Trinkwasserverbrauchs</t>
  </si>
  <si>
    <t>Maßnahmen zur Reduktion des Trinkwasserverbrauchs</t>
  </si>
  <si>
    <t xml:space="preserve">Maßnahme die den Trinkwasserbedarf im Quartier (Gebäude + Freiraum) reduzieren sind umgesetzt und in einem übergeordneten Konzept dargestellt. 
</t>
  </si>
  <si>
    <t xml:space="preserve">Regelmäßige Information an die Nutzer des Quartiers, wie Trinkwasser im Alltag eingespart werden kann.
</t>
  </si>
  <si>
    <t xml:space="preserve">Max. 20% des Wasserbedarfs der WCs im Quartier werden über Trinkwasser versorgt. 
</t>
  </si>
  <si>
    <t xml:space="preserve">Nutzung von Regen- bzw. Betriebswasser* bei 100 % der öffentlichen Freiflächen (z. B. Bewässerung, Reinigungsmaßnahmen, Löschwasser, einschließlich natürliche Bewässerung durch Niederschlag).
</t>
  </si>
  <si>
    <t>1.5.</t>
  </si>
  <si>
    <t>Quartierswasserbilanz</t>
  </si>
  <si>
    <t xml:space="preserve">Prozentuale Anteil des Niederschlags am Abfluss (A) im Verhältnis zur Referenzfläche
</t>
  </si>
  <si>
    <t>Rückhaltung bzw. Drosselung von Regenwasser</t>
  </si>
  <si>
    <t>Rückhaltung Regenwasser</t>
  </si>
  <si>
    <t xml:space="preserve">Regenwasserretention im Quartier. 
</t>
  </si>
  <si>
    <t xml:space="preserve">Regenwasserretention außerhalb des Quartiers.
</t>
  </si>
  <si>
    <t>Gestalterische Integration der Wasserinfrastruktur in das Freiraumkonzept</t>
  </si>
  <si>
    <t>Gestalterische Integration</t>
  </si>
  <si>
    <t xml:space="preserve">Die Regenwasserinfrastruktur ist gestalterisch in das Freiraumkonzept integriert und das Wasserversorgungs- und Entsorgungskonzept wird für die Nutzer und Besucher des Quartiers anhand von Informationselementen mindestens punktuell dargestellt und sichtbar gemacht.
</t>
  </si>
  <si>
    <t xml:space="preserve">Zusätzlich zur Regenwasserinfrastruktur ist eine weitere Wasserinfrastruktur gestalterisch in das Freiraumkonzept integriert.
</t>
  </si>
  <si>
    <r>
      <rPr>
        <b/>
        <sz val="10"/>
        <color rgb="FF3C4981"/>
        <rFont val="Arial"/>
        <family val="2"/>
      </rPr>
      <t>Wassernutzungskonzept</t>
    </r>
    <r>
      <rPr>
        <sz val="10"/>
        <color theme="1"/>
        <rFont val="Arial"/>
        <family val="2"/>
      </rPr>
      <t xml:space="preserve">
Es gibt ein übergeordnetes Konzept, in dem die Wassernutzungsbilanz und Möglichkeiten der Trinkwassereinsparung untersucht wurden. 
</t>
    </r>
  </si>
  <si>
    <t>Selbst geringe Bodenluftkonzentration kann ausreichen, in einem Haus eine erhöhte Innenraumkonzentration zu bewirken</t>
  </si>
  <si>
    <t>ENV2.3</t>
  </si>
  <si>
    <t>Flächeninanspruchnahme</t>
  </si>
  <si>
    <t>Brachflächenanteil</t>
  </si>
  <si>
    <t>Flächeneinbindung</t>
  </si>
  <si>
    <t xml:space="preserve">Brachflächenanteil in Prozent
</t>
  </si>
  <si>
    <t xml:space="preserve">Flächeneinbindung in Prozent
</t>
  </si>
  <si>
    <t>Flächenbelastung</t>
  </si>
  <si>
    <t>Versiegelungsgrad</t>
  </si>
  <si>
    <t xml:space="preserve">Versiegelungsgrad
</t>
  </si>
  <si>
    <t>ENV2.4</t>
  </si>
  <si>
    <t>Biodiversität</t>
  </si>
  <si>
    <t>Biodiversitätsstategie</t>
  </si>
  <si>
    <t xml:space="preserve">Erstellung und Umsetzung einer umfassenden und langfristigen Biodiversitätsstrategie für das Quartier und seiner unmittelbaren Umgebung, die über die im Bebauungsplan oder der Baugenehmigung vorgeschriebenen Maßnahmen hinausgeht und die zukünftige Standortentwicklung berücksichtigt. 
</t>
  </si>
  <si>
    <t>Gezielte Maßnahmen zur aktiven Ansiedlung neuer und heimischer Tierarten</t>
  </si>
  <si>
    <t xml:space="preserve">Aktive Ansiedlung neuer heimischer Arten
</t>
  </si>
  <si>
    <t>Biotopflächenfaktor</t>
  </si>
  <si>
    <t>3.3.</t>
  </si>
  <si>
    <t>Vernetzung der Biotoptypen</t>
  </si>
  <si>
    <t xml:space="preserve">Vernetzung mit Umgebung: Größere Freiflächen, die an das Quartier angrenzen, werden durch das Quartier miteinander vernetzt (Green Infrastructure).
</t>
  </si>
  <si>
    <t xml:space="preserve">Interne Vernetzung: Alle ökologisch relevanten Freiflächen innerhalb des Quartiers, die größer als 1.000 m² sind, werden miteinander vernetzt. Dazu zählen Grün- und Wasserflächen sowie Flächen, deren ökologische Relevanz durch einen qualifizierten Gutachter (oder in der UVP oder SUP) nachgewiesen wurde.
</t>
  </si>
  <si>
    <t>5.</t>
  </si>
  <si>
    <t>Vermeidung invasiver Pflanzenarten</t>
  </si>
  <si>
    <t>5.1.</t>
  </si>
  <si>
    <t>6.</t>
  </si>
  <si>
    <t>Entwicklungs- und Unterhaltungspflege</t>
  </si>
  <si>
    <t>6.1.</t>
  </si>
  <si>
    <t>6.2.</t>
  </si>
  <si>
    <r>
      <rPr>
        <b/>
        <sz val="10"/>
        <color rgb="FF3C4981"/>
        <rFont val="Arial"/>
        <family val="2"/>
      </rPr>
      <t>Entwicklungspflege-Vertrag</t>
    </r>
    <r>
      <rPr>
        <sz val="10"/>
        <color theme="1"/>
        <rFont val="Arial"/>
        <family val="2"/>
      </rPr>
      <t xml:space="preserve">
Die Außenfläche wird nach Abschluss der Fertigstellungspflege über einen begrenzten Zeitraum zur Förderung der Vegetation weiter gepflegt (in der Regel 1 bis 2 Jahre).
</t>
    </r>
  </si>
  <si>
    <r>
      <rPr>
        <b/>
        <sz val="10"/>
        <color rgb="FF3C4981"/>
        <rFont val="Arial"/>
        <family val="2"/>
      </rPr>
      <t>Unterhaltungspflege-Vertrag</t>
    </r>
    <r>
      <rPr>
        <sz val="10"/>
        <color theme="1"/>
        <rFont val="Arial"/>
        <family val="2"/>
      </rPr>
      <t xml:space="preserve">
Die Außenfläche wird zur Erhaltung des funktionsfähigen Zustandes und der ökologischen Qualität im Rahmen einer Unterhaltungs- und Wartungs-pflege gepflegt. Eine vertraglich vereinbarte Kontrolle findet jährlich statt.
</t>
    </r>
  </si>
  <si>
    <t>ECO1.1</t>
  </si>
  <si>
    <t>Lebenszykluskosten</t>
  </si>
  <si>
    <t>Lebenszykluskostenrechnungen in der Planung</t>
  </si>
  <si>
    <t>Integration von Lebenszykluskostenrechnungen in den Planungsprozess</t>
  </si>
  <si>
    <t xml:space="preserve">Eine Lebenszykluskosten-Systematik / ein LCC-Modell wird in einer frühen Planungsphase für das Projekt aufgesetzt. Die in der Planungsphase vorliegenden Quartiersvariantenvarianten werden hinsichtlich ihrer Herstell- und relevanter Folgekosten, zumindest der zu erwartenden Energiekosten, gegenübergestellt.
</t>
  </si>
  <si>
    <t xml:space="preserve">Die Lebenszykluskosten werden planungsbegleitend regelmäßig (an den jeweiligen Planungsstand angepasst) ermittelt und im Planungsteam kommuniziert.
Spätestens in der Leistungsphase 4 werden alle relevanten quartiersbedingten Folgekosten vollständig in die Berechnungen integriert.
</t>
  </si>
  <si>
    <t>Lebenszykluskostenoptimierung</t>
  </si>
  <si>
    <t>Planungsbegleitende Lebenszykluskostenoptimierung</t>
  </si>
  <si>
    <t xml:space="preserve">Für das Quartier werden die Auswirkungen maßgeblicher alternativen Entscheidungen auf die zu erwartenden Lebenszykluskosten ermittelt. Dies wird in Form einer umfänglichen Vollbetrachtung des gesamten Quartiers durchgeführt.
</t>
  </si>
  <si>
    <t xml:space="preserve">Für das Quartier werden die Auswirkungen maßgeblicher Entscheidungen auf die zu erwartenden Lebenszykluskosten ermittelt. Dies wird in Form einer Teilbetrachtung (Ausschnitt) für die relevanten Kostengruppen und Folgekosten durchgeführt.
</t>
  </si>
  <si>
    <t>zu 2.1.</t>
  </si>
  <si>
    <r>
      <rPr>
        <b/>
        <sz val="10"/>
        <color rgb="FF00ACE9"/>
        <rFont val="Arial"/>
        <family val="2"/>
      </rPr>
      <t>INNOVATIONSRAUM</t>
    </r>
    <r>
      <rPr>
        <sz val="10"/>
        <color theme="1"/>
        <rFont val="Arial"/>
        <family val="2"/>
      </rPr>
      <t xml:space="preserve">
Erläuterung: Es können auch alternative Ansätze gewählt und angerechnet werden, die eine Optimierung der Lebenszykluskosten erreichen. 
</t>
    </r>
  </si>
  <si>
    <t>Benchmarkberechnung</t>
  </si>
  <si>
    <t xml:space="preserve">Öffentliche Flächen und Erschließung
</t>
  </si>
  <si>
    <t xml:space="preserve">Gebäude und private Freiflächen
</t>
  </si>
  <si>
    <t>ECO2.1</t>
  </si>
  <si>
    <t>Resilienz und Wandlungsfähigkeit</t>
  </si>
  <si>
    <t>Klima</t>
  </si>
  <si>
    <t>1.2.</t>
  </si>
  <si>
    <t xml:space="preserve">Umweltrisiken (PUNKTE aus ENV1.6/ 100) * 6,5
</t>
  </si>
  <si>
    <t xml:space="preserve">Stadtklima (PUNKTE aus ENV1.5/ 100) * 6,5
</t>
  </si>
  <si>
    <t xml:space="preserve">Wasserkreislaufsysteme (PUNKTE aus ENV 2.4/ 100) * 6,5
</t>
  </si>
  <si>
    <t>Anpassungsfähigkeit</t>
  </si>
  <si>
    <t>2.2.</t>
  </si>
  <si>
    <t>Versorgung und Erschließung</t>
  </si>
  <si>
    <t>3.2.</t>
  </si>
  <si>
    <t>3.5.</t>
  </si>
  <si>
    <t>3.6.</t>
  </si>
  <si>
    <t>Redundanz der Verkehrssysteme</t>
  </si>
  <si>
    <t xml:space="preserve">Haltestelle(n) für zwei oder mehr verschiedene ÖPNV Systeme
</t>
  </si>
  <si>
    <t xml:space="preserve">zwei oder mehr Anbieter von Car-Sharing
</t>
  </si>
  <si>
    <t xml:space="preserve">zwei oder mehr verschiedene Sharing-Anbieter für Nichtmotorisierten Verkehr
</t>
  </si>
  <si>
    <t xml:space="preserve">zwei oder mehr verschiedene Systeme für Logistik-/Lieferverkehr
</t>
  </si>
  <si>
    <t>Städtebau und Architektur</t>
  </si>
  <si>
    <t>Städtebau</t>
  </si>
  <si>
    <t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t>
  </si>
  <si>
    <t xml:space="preserve">Die Planungen und Festsetzungen lassen unterschiedliche Bauweisen, Gebäudetypologien und/oder Trauf- und Geschosshöhen auf den Baufeldern zu.
</t>
  </si>
  <si>
    <t xml:space="preserve">Die Gestaltung des öffentlichen Raums lässt zukünftige Anpassungen der Straßenbreite zu.
</t>
  </si>
  <si>
    <t>ECO2.3</t>
  </si>
  <si>
    <t>Flächeneffizienz</t>
  </si>
  <si>
    <t>Erschließungseffizienz des Quartiers</t>
  </si>
  <si>
    <t>Baudichte</t>
  </si>
  <si>
    <t xml:space="preserve">Erschließungskoeffizient (ErK)
</t>
  </si>
  <si>
    <t xml:space="preserve">Geschossflächenanzahl (GFZ)
</t>
  </si>
  <si>
    <t>ECO2.4</t>
  </si>
  <si>
    <t>Wertstabilität</t>
  </si>
  <si>
    <t>Diversifikation</t>
  </si>
  <si>
    <t xml:space="preserve">Diversifikationsgrad
</t>
  </si>
  <si>
    <t>Kaufkraftkennziffer</t>
  </si>
  <si>
    <t xml:space="preserve">Kaufkraftkennziffer
</t>
  </si>
  <si>
    <t>Markt- und Standortnalyse</t>
  </si>
  <si>
    <t>4.3.</t>
  </si>
  <si>
    <t>4.4.</t>
  </si>
  <si>
    <t>Vermarktung</t>
  </si>
  <si>
    <r>
      <rPr>
        <b/>
        <sz val="10"/>
        <color rgb="FF3C4981"/>
        <rFont val="Arial"/>
        <family val="2"/>
      </rPr>
      <t>Medienarbeit/Broschüren</t>
    </r>
    <r>
      <rPr>
        <sz val="10"/>
        <color theme="1"/>
        <rFont val="Arial"/>
        <family val="2"/>
      </rPr>
      <t xml:space="preserve">
Ist erfüllt, wenn das Projekt mit min. zwei verschiedenen Medien (Broschüren/Zeitungen/Internet/Fernsehen/Radio/Plakate usw.) beworben wird (Artikel und Meldungen zum Projekt reichen nicht aus).
</t>
    </r>
  </si>
  <si>
    <t>5.2.</t>
  </si>
  <si>
    <t>5.3.</t>
  </si>
  <si>
    <t>5.4.</t>
  </si>
  <si>
    <t>5.5.</t>
  </si>
  <si>
    <r>
      <rPr>
        <b/>
        <sz val="10"/>
        <color rgb="FF3C4981"/>
        <rFont val="Arial"/>
        <family val="2"/>
      </rPr>
      <t>Öffentlichkeitsarbeit</t>
    </r>
    <r>
      <rPr>
        <sz val="10"/>
        <color theme="1"/>
        <rFont val="Arial"/>
        <family val="2"/>
      </rPr>
      <t xml:space="preserve">
Ist gegeben, wenn mehr als eine öffentliche Veranstaltung mit Informations- und/oder Werbecharakter im Zuge der Planung / der Bauphase oder der Vermarktungsphase durchgeführt wurde (es reicht auch eine beschränkt öffentliche Veranstaltung, soweit nicht nur Fachpersonen, sondern auch Anwohner oder spätere Nutzer mit einbezogen sind).
</t>
    </r>
  </si>
  <si>
    <r>
      <rPr>
        <b/>
        <sz val="10"/>
        <color rgb="FF3C4981"/>
        <rFont val="Arial"/>
        <family val="2"/>
      </rPr>
      <t>Festivalisierung/Events</t>
    </r>
    <r>
      <rPr>
        <sz val="10"/>
        <color theme="1"/>
        <rFont val="Arial"/>
        <family val="2"/>
      </rPr>
      <t xml:space="preserve">
Ist erfüllt, wenn Konzerte, Jahrmärkte, Feste oder Ähnliches im Quartier im öffentlichen Raum durchgeführt wurden und dabei das Quartier als Veranstaltungsort in Erscheinung tritt (Konzerte in einer Konzerthalle ohne Quartierserlebnis reichen nicht aus). 
</t>
    </r>
  </si>
  <si>
    <r>
      <rPr>
        <b/>
        <sz val="10"/>
        <color rgb="FF3C4981"/>
        <rFont val="Arial"/>
        <family val="2"/>
      </rPr>
      <t>Vor-Ort-Information</t>
    </r>
    <r>
      <rPr>
        <sz val="10"/>
        <color theme="1"/>
        <rFont val="Arial"/>
        <family val="2"/>
      </rPr>
      <t xml:space="preserve">
sind Ausstellungen und Informationen zum Projekt direkt am Entstehungsort (z. B. Infobox, QR-Codes zum Internetauftritt,…).
</t>
    </r>
  </si>
  <si>
    <r>
      <rPr>
        <b/>
        <sz val="10"/>
        <color rgb="FF3C4981"/>
        <rFont val="Arial"/>
        <family val="2"/>
      </rPr>
      <t>Direkte Vermarktung</t>
    </r>
    <r>
      <rPr>
        <sz val="10"/>
        <color theme="1"/>
        <rFont val="Arial"/>
        <family val="2"/>
      </rPr>
      <t xml:space="preserve">
ist erfüllt, wenn min. zwei Investorenveranstaltungen, Expertenrunden oder Projektvorstellungen auf Messen (z. B. Expo Real, MIPIM) durchgeführt wurden
</t>
    </r>
  </si>
  <si>
    <t>Auszeichnungen</t>
  </si>
  <si>
    <r>
      <rPr>
        <b/>
        <sz val="10"/>
        <color rgb="FF3C4981"/>
        <rFont val="Arial"/>
        <family val="2"/>
      </rPr>
      <t>Flexibilität und Ausbaureserven der  technischen Quartiersinfrastruktur / Gebäude</t>
    </r>
    <r>
      <rPr>
        <sz val="10"/>
        <color theme="1"/>
        <rFont val="Arial"/>
        <family val="2"/>
      </rPr>
      <t xml:space="preserve">
Im Quartier sind Ausbaureserven und flexible Systeme für die technische Infrastruktur (z. B.  Infrastrukturkanal) vorhanden oder geplant  und/oder es ist vorgesehen Gebäude (z. B. Parkhäuser) bei geänderten Rahmenbedingungen umzunutzen, und / oder der Anteil der in flexibler Bauweise errichteten Gebäude, bezogen auf Gesamt-BGF liegt über 70 %.
</t>
    </r>
  </si>
  <si>
    <r>
      <rPr>
        <b/>
        <sz val="10"/>
        <color rgb="FF3C4981"/>
        <rFont val="Arial"/>
        <family val="2"/>
      </rPr>
      <t>Energieinfrastruktur</t>
    </r>
    <r>
      <rPr>
        <sz val="10"/>
        <color theme="1"/>
        <rFont val="Arial"/>
        <family val="2"/>
      </rPr>
      <t xml:space="preserve">
Es wird im Quartier selbst Energie produziert (mind. 10 % des Endenergieverbrauchs für Wärme und Strom).
</t>
    </r>
  </si>
  <si>
    <r>
      <rPr>
        <b/>
        <sz val="10"/>
        <color rgb="FF3C4981"/>
        <rFont val="Arial"/>
        <family val="2"/>
      </rPr>
      <t>Versorgungssicherheit Abwasser</t>
    </r>
    <r>
      <rPr>
        <sz val="10"/>
        <color theme="1"/>
        <rFont val="Arial"/>
        <family val="2"/>
      </rPr>
      <t xml:space="preserve">
Um bei Starkregenereignissen eine möglichst schadlose Ableitung zu gewährleisten wird eine Fließweganalyse durchgeführt und bei der Planung berücksichtigt. Sollten die Regenwasserableitung auf Retentionsflächen/Rückhaltebecken nicht möglich sein, können die Punkte auch angerechnet werden, wenn die Ableitung auch über eine Trennkanalisation erfolgen.
</t>
    </r>
  </si>
  <si>
    <r>
      <rPr>
        <b/>
        <sz val="10"/>
        <color rgb="FF3C4981"/>
        <rFont val="Arial"/>
        <family val="2"/>
      </rPr>
      <t>Versorgungssicherheit Trinkwasser</t>
    </r>
    <r>
      <rPr>
        <sz val="10"/>
        <color theme="1"/>
        <rFont val="Arial"/>
        <family val="2"/>
      </rPr>
      <t xml:space="preserve">
</t>
    </r>
  </si>
  <si>
    <r>
      <rPr>
        <b/>
        <sz val="10"/>
        <color rgb="FF3C4981"/>
        <rFont val="Arial"/>
        <family val="2"/>
      </rPr>
      <t>Innovationsmanagement</t>
    </r>
    <r>
      <rPr>
        <sz val="10"/>
        <color theme="1"/>
        <rFont val="Arial"/>
        <family val="2"/>
      </rPr>
      <t xml:space="preserve">
Bei der Planung des Quartiers wurde darauf geachtet, dass zukünftige technische und soziale Innovationen intergiert werden können. 
</t>
    </r>
  </si>
  <si>
    <r>
      <rPr>
        <b/>
        <sz val="10"/>
        <color rgb="FF3C4981"/>
        <rFont val="Arial"/>
        <family val="2"/>
      </rPr>
      <t>Trendforschung</t>
    </r>
    <r>
      <rPr>
        <sz val="10"/>
        <color theme="1"/>
        <rFont val="Arial"/>
        <family val="2"/>
      </rPr>
      <t xml:space="preserve">
Bei der Planung wurde ein Trendbarometer für die Region/Stadt berücksichtigt. 
</t>
    </r>
  </si>
  <si>
    <r>
      <rPr>
        <b/>
        <sz val="10"/>
        <color rgb="FF3C4981"/>
        <rFont val="Arial"/>
        <family val="2"/>
      </rPr>
      <t>Klimaanpassungsplan</t>
    </r>
    <r>
      <rPr>
        <sz val="10"/>
        <color theme="1"/>
        <rFont val="Arial"/>
        <family val="2"/>
      </rPr>
      <t xml:space="preserve">
Die Kommune hat einen Klimaanpassungsplan
</t>
    </r>
  </si>
  <si>
    <t xml:space="preserve">Im Quartier befinden sich keine invasiven Pflanzenarten gemäß
Anlage 1
</t>
  </si>
  <si>
    <r>
      <rPr>
        <b/>
        <sz val="10"/>
        <color rgb="FF3C4981"/>
        <rFont val="Arial"/>
        <family val="2"/>
      </rPr>
      <t>Flächenbelastung durch Altlasten</t>
    </r>
    <r>
      <rPr>
        <sz val="10"/>
        <color theme="1"/>
        <rFont val="Arial"/>
        <family val="2"/>
      </rPr>
      <t xml:space="preserve">
(Wenn es keine Flächenbelastung durch Altlasten im Quartier gibt (Z0 Natürliche Böden, uneingeschränkter Einbau), können die maximalen Bewertungspunkte vergeben werden.)
</t>
    </r>
  </si>
  <si>
    <r>
      <rPr>
        <b/>
        <sz val="10"/>
        <color rgb="FF3C4981"/>
        <rFont val="Arial"/>
        <family val="2"/>
      </rPr>
      <t>Gebäudezertifikat</t>
    </r>
    <r>
      <rPr>
        <sz val="10"/>
        <color theme="1"/>
        <rFont val="Arial"/>
        <family val="2"/>
      </rPr>
      <t xml:space="preserve">
ist gegeben, wenn mehr als eine öffentliche Veranstaltung mit Informations- und/oder Werbecharakter im Zuge der Planung / der Bauphase oder der Vermarktungsphase durchgeführt wurde (es reicht auch eine beschränkt öffentliche Veranstaltung, soweit nicht nur Fachpersonen, sondern auch Anwohner oder spätere Nutzer mit einbezogen sind).
</t>
    </r>
  </si>
  <si>
    <t>SOC1.6</t>
  </si>
  <si>
    <t>Freiraum</t>
  </si>
  <si>
    <t>Einbindung in den landschaftlichen Kontext</t>
  </si>
  <si>
    <t>Berücksichtigung landschaftlicher Aspekte</t>
  </si>
  <si>
    <t xml:space="preserve">Es liegt eine Analyse/Bestandsuntersuchung des landschaftlichen Kontextes vor.
</t>
  </si>
  <si>
    <t xml:space="preserve">Die Einbindung des Projekts in den landschaftlichen Kontext wird im Freiraumkonzept nachvollziehbar aus den Erkenntnissen der Analyse/Bestandsuntersuchung hergeleitet (Erläuterung).
</t>
  </si>
  <si>
    <t>Einbindung in den städtebaulichen Kontext</t>
  </si>
  <si>
    <t xml:space="preserve">Es liegt eine Analyse/Bestandsuntersuchung des städtebaulichen Kontextes vor.
</t>
  </si>
  <si>
    <t xml:space="preserve">Die Einbindung des Projekts in den städtebaulichen Kontext wird im Freiraumkonzept nachvollziehbar aus den Erkenntnissen der Analyse/Bestandsuntersuchung hergeleitet (Erläuterung).
</t>
  </si>
  <si>
    <t>1.3.</t>
  </si>
  <si>
    <t>Einbindung in die übergeordnete Planung</t>
  </si>
  <si>
    <t xml:space="preserve">Es liegt eine Analyse/Bestandsuntersuchung der übergeordneten Planung vor. 
</t>
  </si>
  <si>
    <t xml:space="preserve">Die Einbindung des Projekts in die übergeordnete Planung wird im Freiraumkonzept nachvollziehbar aus den Erkenntnissen der Analyse/Bestandsuntersuchung hergeleitet (Erläuterung). 
</t>
  </si>
  <si>
    <t>1.4.</t>
  </si>
  <si>
    <t>Einbindung bestehender und identitätsstiftender Landschafts- und Freiraumelemente</t>
  </si>
  <si>
    <t xml:space="preserve">Es liegt eine Analyse/Bestandsuntersuchung der bestehenden und identitätsstiftenden Landschafts- und Freiraumelemente vor. 
</t>
  </si>
  <si>
    <t xml:space="preserve">Die Einbindung der bestehenden und identitätsstiftenden Landschafts- und Freiraumelemente wird im Freiraumkonzept nachvollziehbar aus den Erkenntnissen der Analyse/Bestandsuntersuchung hergeleitet (Erläuterung). 
</t>
  </si>
  <si>
    <t>Qualifizierung der Freiräume</t>
  </si>
  <si>
    <t>2.3.</t>
  </si>
  <si>
    <t>2.4.</t>
  </si>
  <si>
    <t>2.5.</t>
  </si>
  <si>
    <t>2.6.</t>
  </si>
  <si>
    <t>2.7.</t>
  </si>
  <si>
    <t>Freiraumangebot - Erreichbarkeit öffentlicher Freiräume / Standortfreiräume (außerhalb des Projektgebietes)</t>
  </si>
  <si>
    <r>
      <rPr>
        <b/>
        <sz val="10"/>
        <color rgb="FF3C4981"/>
        <rFont val="Arial"/>
        <family val="2"/>
      </rPr>
      <t>Freiraumstruktur</t>
    </r>
    <r>
      <rPr>
        <sz val="10"/>
        <color theme="1"/>
        <rFont val="Arial"/>
        <family val="2"/>
      </rPr>
      <t xml:space="preserve">
Gestalterische Vorgaben zur Schaffung einer identitätsstiftenden Freiraumstruktur mit hoher Lesbarkeit
</t>
    </r>
  </si>
  <si>
    <r>
      <rPr>
        <b/>
        <sz val="10"/>
        <color rgb="FF3C4981"/>
        <rFont val="Arial"/>
        <family val="2"/>
      </rPr>
      <t>Freiraumtypen</t>
    </r>
    <r>
      <rPr>
        <sz val="10"/>
        <color theme="1"/>
        <rFont val="Arial"/>
        <family val="2"/>
      </rPr>
      <t xml:space="preserve">
Vorgaben zur Ausbildung unterschiedlicher Freiraumtypen (Spielplatz, Platz, Landschaftspark …)
</t>
    </r>
  </si>
  <si>
    <r>
      <rPr>
        <b/>
        <sz val="10"/>
        <color rgb="FF3C4981"/>
        <rFont val="Arial"/>
        <family val="2"/>
      </rPr>
      <t>Materialität</t>
    </r>
    <r>
      <rPr>
        <sz val="10"/>
        <color theme="1"/>
        <rFont val="Arial"/>
        <family val="2"/>
      </rPr>
      <t xml:space="preserve">
Gestalterische Vorgaben für die zu verwendenden Materialien im Freiraum
</t>
    </r>
  </si>
  <si>
    <r>
      <rPr>
        <b/>
        <sz val="10"/>
        <color rgb="FF3C4981"/>
        <rFont val="Arial"/>
        <family val="2"/>
      </rPr>
      <t>Vegetation</t>
    </r>
    <r>
      <rPr>
        <sz val="10"/>
        <color theme="1"/>
        <rFont val="Arial"/>
        <family val="2"/>
      </rPr>
      <t xml:space="preserve">
Gestalterische Vorgaben zur Bepflanzung
</t>
    </r>
  </si>
  <si>
    <r>
      <rPr>
        <b/>
        <sz val="10"/>
        <color rgb="FF3C4981"/>
        <rFont val="Arial"/>
        <family val="2"/>
      </rPr>
      <t>Ausstattung</t>
    </r>
    <r>
      <rPr>
        <sz val="10"/>
        <color theme="1"/>
        <rFont val="Arial"/>
        <family val="2"/>
      </rPr>
      <t xml:space="preserve">
Gestalterische Vorgaben zum Umgang mit Stadtmobiliar (Sitzgelegenheiten, Fahrradabstellmöglichkeiten, Haltestellen …)
</t>
    </r>
  </si>
  <si>
    <r>
      <rPr>
        <b/>
        <sz val="10"/>
        <color rgb="FF3C4981"/>
        <rFont val="Arial"/>
        <family val="2"/>
      </rPr>
      <t>Beleuchtung</t>
    </r>
    <r>
      <rPr>
        <sz val="10"/>
        <color theme="1"/>
        <rFont val="Arial"/>
        <family val="2"/>
      </rPr>
      <t xml:space="preserve">
Gestalterische Vorgaben zur Außenraumbeleuchtung über die funktionale Beleuchtung und die energetische Betrachtung hinaus
</t>
    </r>
  </si>
  <si>
    <r>
      <rPr>
        <b/>
        <sz val="10"/>
        <color rgb="FF3C4981"/>
        <rFont val="Arial"/>
        <family val="2"/>
      </rPr>
      <t>Verkehrsflächen</t>
    </r>
    <r>
      <rPr>
        <sz val="10"/>
        <color theme="1"/>
        <rFont val="Arial"/>
        <family val="2"/>
      </rPr>
      <t xml:space="preserve">
Gestalterische Vorgaben an das Erscheinungsbild von vorrangig dem fließenden und ruhenden Verkehr gewidmeten Flächen und Räumen
</t>
    </r>
  </si>
  <si>
    <t xml:space="preserve">Freiraumfaktor
</t>
  </si>
  <si>
    <r>
      <t>Freiraumangebot - öffentlicher Freiräume BGF</t>
    </r>
    <r>
      <rPr>
        <b/>
        <vertAlign val="subscript"/>
        <sz val="10"/>
        <color theme="1"/>
        <rFont val="Arial"/>
        <family val="2"/>
      </rPr>
      <t>DGNB</t>
    </r>
    <r>
      <rPr>
        <b/>
        <sz val="10"/>
        <color theme="1"/>
        <rFont val="Arial"/>
        <family val="2"/>
      </rPr>
      <t xml:space="preserve"> (innerhalb des Projektgebietes)</t>
    </r>
  </si>
  <si>
    <t>SOC1.9</t>
  </si>
  <si>
    <t>Emissionen / Immissionen</t>
  </si>
  <si>
    <t>Luftqualität</t>
  </si>
  <si>
    <t>Einhaltung der gesetzlichen Grenzwerte für Luftqualitätsmerkmale</t>
  </si>
  <si>
    <r>
      <t>NO</t>
    </r>
    <r>
      <rPr>
        <vertAlign val="subscript"/>
        <sz val="10"/>
        <color theme="1"/>
        <rFont val="Arial"/>
        <family val="2"/>
      </rPr>
      <t>2</t>
    </r>
    <r>
      <rPr>
        <sz val="10"/>
        <color theme="1"/>
        <rFont val="Arial"/>
        <family val="2"/>
      </rPr>
      <t xml:space="preserve"> Überschreitung
</t>
    </r>
  </si>
  <si>
    <t xml:space="preserve">PM10 Überschreitung
</t>
  </si>
  <si>
    <t>Veränderung der Immissionssituation / Lufthygienischen Gutachten</t>
  </si>
  <si>
    <t xml:space="preserve">Durchführung eines qualifizierten lufthygienisches Gutachtens
</t>
  </si>
  <si>
    <t>Straßenverkehrslärm (innerhalb)</t>
  </si>
  <si>
    <t xml:space="preserve">Bewertung des durchschnittlich vorhandenen Straßenverkehrslärm-pegels (Tag / Nacht)
</t>
  </si>
  <si>
    <t>Lärm auf dem zentralen öffentlich zugänglichen Freiraum</t>
  </si>
  <si>
    <t xml:space="preserve">Lärmwert Freiraum (Tag)
</t>
  </si>
  <si>
    <t>7.</t>
  </si>
  <si>
    <t>Lärm aus Schienen- und Flugverkehr, Industrie und Gewerbe sowie Sport und Freizeit (Reduzierungsfaktor)</t>
  </si>
  <si>
    <t>7.1.</t>
  </si>
  <si>
    <t>8.</t>
  </si>
  <si>
    <t>Maßnahmen zur Reduzierung der Lichtverschmutzung</t>
  </si>
  <si>
    <t>8.1.</t>
  </si>
  <si>
    <t xml:space="preserve">Es gibt ein (umgesetztes) Beleuchtungskonzept, das explizit auf das Thema Lichtverschmutzung und deren Vermeidung eingeht und v. a. eine möglichst geringe Raumaufhellung angrenzender Nutzungen berücksichtigt.
</t>
  </si>
  <si>
    <t xml:space="preserve">Mindestens 80 % aller Leuchtmittel im Außenbereich sind derart gestaltet, das keine Lichtstreuung nach oben und zur Seite stattfindet.
</t>
  </si>
  <si>
    <t xml:space="preserve">Mindestens 80 % aller Leuchtmittel im Außenbereich verfügen über eine automatische Dimmung oder Bewegungsmelder.
</t>
  </si>
  <si>
    <t xml:space="preserve">Bei allen Leuchtmittel treten keine unerwünschten Blendeffekte auf
</t>
  </si>
  <si>
    <t>9.</t>
  </si>
  <si>
    <t>9.1.</t>
  </si>
  <si>
    <t>SOC2.1</t>
  </si>
  <si>
    <t>Barrierefreiheit</t>
  </si>
  <si>
    <t>Barrierefreie Fläche</t>
  </si>
  <si>
    <t xml:space="preserve">Index Barrierefreiheit
</t>
  </si>
  <si>
    <t>Erreichbarkeit der notwendigen Infrastruktur</t>
  </si>
  <si>
    <t>Lokale Einrichtungen</t>
  </si>
  <si>
    <t xml:space="preserve">Bildung: Kinderbetreuung und Grundschule max. Gehdistanz 200m Luftlinie
</t>
  </si>
  <si>
    <t xml:space="preserve">Spielplätze max. Gehdistanz 200m Luftlinie
</t>
  </si>
  <si>
    <t xml:space="preserve">Nahversorgung 1: Vollsortimenter (Angebot von Gütern des täglichen Bedarfs) max. Gehdistanz 400m Luftlinie
</t>
  </si>
  <si>
    <t xml:space="preserve">Nahversorgung 2: Kleinteiliger Einzelhandel (Bäckerei, Metzgerei, Drogerie,…) max. Gehdistanz 400m Luftlinie
</t>
  </si>
  <si>
    <t xml:space="preserve">Medizinische Versorgung: Allgemeinmediziner max. Gehdistanz 400m Luftlinie
</t>
  </si>
  <si>
    <t xml:space="preserve">Bus- oder Straßenbahnhaltestelle: max. Gehdistanz 200m Luftlinie
</t>
  </si>
  <si>
    <t xml:space="preserve">Gastronomie: Restaurant, Café, Bäckerei etc. max. Gehdistanz 400m Luftlinie
</t>
  </si>
  <si>
    <t>Barrierefreiheit der Verkehrsflächen</t>
  </si>
  <si>
    <t>Barrierefreie Bewegungsflächen</t>
  </si>
  <si>
    <t xml:space="preserve">Breite der Bewegungsfläche auf Gehwegen im Umfeld von Schulen, Kinderbetreuungseinrichtungen, Freizeit- und Pflegeeinrichtungen, Einkaufszentren, bei Fußgängerüberwegen und Furten: 3 m
</t>
  </si>
  <si>
    <t xml:space="preserve">Breite der Bewegungsfläche von Gehwegen an der schmalsten Stelle (im Straßenraum und in Freiflächen): 1,5 m
</t>
  </si>
  <si>
    <t xml:space="preserve">Breite der Bewegungsfläche auf Nebengehwegen, in Durchgängen an Kassen und Kontrollen: 0,9 m
</t>
  </si>
  <si>
    <t xml:space="preserve">Verweilplätze vor öffentlichen Einrichtungen: 1,5x1,5 m
(z.B. als Wendemöglichkeit, als Ruhe- oder Verweilfläche, am Anfang und Ende einer Rampe, vor Haus- und Gebäudeeingängen etc.)
</t>
  </si>
  <si>
    <t xml:space="preserve">Bewegungsfläche innerhalb der Gehwege: 2,0 x 2,5 m (nach max. 18m, innerhalb der Sichtweite)
</t>
  </si>
  <si>
    <t xml:space="preserve">Gehwege mit Längsgefälle von 0-3% ausführen, wenn nötig bei 3-6 % Gefälle nur Verweilplätzen spätestens alle 10 m
</t>
  </si>
  <si>
    <t xml:space="preserve">Verkehrsberuhigter Straßenraum: Orientierung schaffen mittels taktil und optisch kontrastierendem Leitsystem
</t>
  </si>
  <si>
    <t xml:space="preserve">Zugang, Fußgängerüberweg und Furt mit abgesenktem Bürgersteig, senkrecht zur Straße, ohne Sichthindernisse
</t>
  </si>
  <si>
    <t xml:space="preserve">Unterschiedliche Ebenen sind mittels DIN-konformen Rampen oder Aufzügen zugängig zu machen (evtl. auch Fahrtreppe oder Fahrsteig).
</t>
  </si>
  <si>
    <t xml:space="preserve">Barrierefreie Haltestellen ÖPNV (zu überwindende Höhenunterschiede und Abstände ≤ 3 cm, Einstiegstellen markiert, Witterungsschutz, Bewegungsflächen nicht von Radwegen gequert)
</t>
  </si>
  <si>
    <t xml:space="preserve">Ausreichend behindertengerechte Pkw-Stellplätze (3 % der Pkw-Stellplätze, mindestens jedoch 1 Stellplatz; 1,5 m tiefe Bewegungsfläche neben der Längsseite bei Querparkern, bei Längsparkern 7,5 m Länge und 2,5 m Breite)
</t>
  </si>
  <si>
    <t>Visuelle Informationen im öffentlichen Raum</t>
  </si>
  <si>
    <t>Visuelle Informationselemente</t>
  </si>
  <si>
    <t xml:space="preserve">Einhaltung der vorgeschriebenen Kontraste bei Schrift- und Bildzeichen, besonders mit Notfall- und Warnfunktionen sowie bei Informationsträgern (Besondere Vorsicht bei Sonderlösungen!)
</t>
  </si>
  <si>
    <t xml:space="preserve">Realisierung einer gleichmäßigen, blendfreien Grundbeleuchtung mit akzentuierter Beleuchtung wichtiger Bereiche (z. B. Treppen) und möglicher Ziele (z. B. Informationstafeln)
</t>
  </si>
  <si>
    <t xml:space="preserve">Wahl hilfreicher Farbkombinationen von Sehobjekt und Umfeld
</t>
  </si>
  <si>
    <t xml:space="preserve">Einhaltung der Mindestzeichengröße in Abhängigkeit von der Beobachterentfernung
</t>
  </si>
  <si>
    <t xml:space="preserve">Anbringung und Beständigkeit visueller Informationen
</t>
  </si>
  <si>
    <t xml:space="preserve">Leichte Verständlichkeit und Eindeutigkeit (Verwendung leichter
Sprache)
</t>
  </si>
  <si>
    <t xml:space="preserve">Semantische Gruppierung (Informationselemente mit verwandten Inhalten sollten zu Gruppen räumlich zusammengefasst werden)
</t>
  </si>
  <si>
    <t xml:space="preserve">Informationselemente, die einen Fortbewegungsprozess steuern und begleiten, sollen eine kontinuierliche Informationskette bilden
</t>
  </si>
  <si>
    <t>Bodenindikatoren im öffentlichen Raum</t>
  </si>
  <si>
    <t>Oberflächenschutzmaßnahmen</t>
  </si>
  <si>
    <t xml:space="preserve">Eine einheitliche Orientierung der Oberflächenstruktur z. B. an Querungsstellen
</t>
  </si>
  <si>
    <t xml:space="preserve">Systematische Wiederkehrbarkeit
</t>
  </si>
  <si>
    <t xml:space="preserve">Rutschhemmende Eigenschaften
</t>
  </si>
  <si>
    <t xml:space="preserve">Kontrastierende Begleitstreifen mit Leuchtdichtekontrast (K&gt; 0,4)
</t>
  </si>
  <si>
    <t xml:space="preserve">Sicherheitsabstand zur Bordsteinkante
</t>
  </si>
  <si>
    <t>Zusatzeinrichtung für Blinde</t>
  </si>
  <si>
    <t>Signalanlagen im Straßenverkehr</t>
  </si>
  <si>
    <t xml:space="preserve">Erleichtertes Auffinden der Fußgängerfurt sowie des Signalgebermastes mittels Anforderungstaster und taktiler Zeichen
</t>
  </si>
  <si>
    <t xml:space="preserve">Erkennbarkeit des Freigabesignals für die Fußgängerfurt
</t>
  </si>
  <si>
    <t xml:space="preserve">Sicheres und gradliniges Überqueren der Straße möglich
</t>
  </si>
  <si>
    <t>Planungsgrundlagen</t>
  </si>
  <si>
    <t>Leuchtdichtekontrast &amp; Zwei-Sinne-Prinzip</t>
  </si>
  <si>
    <t xml:space="preserve">Leuchtdichtekontrast (relativer Leuchtdichteunterschied benachbarter Flächen; kann durch Farbgebung unterstützt werden) Systematische Wiederkehrbarkeit
</t>
  </si>
  <si>
    <t xml:space="preserve">Zwei-Sinne-Prinzip: gleichzeitige Vermittlung von Informationen für zwei Sinne (visuell, taktil und auditiv)
</t>
  </si>
  <si>
    <t>SOC3.1</t>
  </si>
  <si>
    <t>Städtebauliche Einbindung</t>
  </si>
  <si>
    <t>Einbindung in die Stadtgestalt und Stadtstruktur</t>
  </si>
  <si>
    <t xml:space="preserve">Es liegt eine Analyse/Bestandsuntersuchung von Stadtgestalt und Stadtstrukturen vor
</t>
  </si>
  <si>
    <t xml:space="preserve">Die Einbindung des Projekts in die Stadtgestalt und Stadtstruktur wird im städtebaulichen Konzept nachvollziehbar aus den Erkenntnissen der Analyse/Bestandsuntersuchung hergeleitet
</t>
  </si>
  <si>
    <t>Einbindung in das Erschließungsnetz</t>
  </si>
  <si>
    <t xml:space="preserve">Es liegt eine Analyse/Bestandsuntersuchung des Erschließungsnetzes vor
</t>
  </si>
  <si>
    <t xml:space="preserve">Die Einbindung des Projekts in das Erschließungsnetz wird im Verkehrskonzept nachvollziehbar aus den Erkenntnissen der Analyse/Bestandsuntersuchung hergeleitet (Erläuterung)
</t>
  </si>
  <si>
    <t>Einbindung in die übergeordnete Planung/Werksrahmenplanung</t>
  </si>
  <si>
    <t xml:space="preserve">Es liegt eine Analyse/Bestandsuntersuchung der formelle und informelle übergeordneten Planung vor
</t>
  </si>
  <si>
    <t xml:space="preserve">Die Einbindung des Projekts in die formelle und  informelle übergeordnete Planung wird in dem städtebaulichen Konzept nachvollziehbar aus den Erkenntnissen der Analyse/Bestandsuntersuchung hergeleitet (Erläuterung)
</t>
  </si>
  <si>
    <t>Einbindung von baulichen Bestand</t>
  </si>
  <si>
    <t xml:space="preserve">Es liegt eine Analyse/Bestandsuntersuchung der bestehenden und identitätsstiftenden Gebäude vor.
</t>
  </si>
  <si>
    <t xml:space="preserve">Die Einbindung der bestehenden und identitätsstiftenden Gebäude wird im städtebaulichen Konzept nachvollziehbar aus den Erkenntnissen der Analyse/Bestandsuntersuchung hergeleitet (Erläuterung).
</t>
  </si>
  <si>
    <t>Städtebauliche Qualifizierung</t>
  </si>
  <si>
    <t>2.4</t>
  </si>
  <si>
    <t>SOC3.2</t>
  </si>
  <si>
    <t>Soziale und Funktionale Mischung</t>
  </si>
  <si>
    <t>Soziale und funktionale Einbindung</t>
  </si>
  <si>
    <t>Qualifizierung der sozialen Mischung</t>
  </si>
  <si>
    <t>2.8.</t>
  </si>
  <si>
    <t>Nutzungsanteil</t>
  </si>
  <si>
    <t xml:space="preserve">Es gibt ein übergreifendes Konzept, die lokale Ökonomie zu stärken – sowohl im Projektgebiet als auch im Umfeld.
</t>
  </si>
  <si>
    <t xml:space="preserve">Maßnahmen aus dem Konzept wurden umgesetzt.
</t>
  </si>
  <si>
    <r>
      <rPr>
        <b/>
        <sz val="10"/>
        <color rgb="FF3C4981"/>
        <rFont val="Arial"/>
        <family val="2"/>
      </rPr>
      <t>Grundstücksangebot</t>
    </r>
    <r>
      <rPr>
        <sz val="10"/>
        <color theme="1"/>
        <rFont val="Arial"/>
        <family val="2"/>
      </rPr>
      <t xml:space="preserve">
Sieht der Entwurf eine Unterteilung des Projektgebietes in unterschiedliche Baufelder (Körnung, Größe, Modellierbarkeit) vor, die selbstständig erschlossen (TG etc.) und versorgt werden können?
</t>
    </r>
  </si>
  <si>
    <r>
      <rPr>
        <b/>
        <sz val="10"/>
        <color rgb="FF3C4981"/>
        <rFont val="Arial"/>
        <family val="2"/>
      </rPr>
      <t>Stärkung der lokalen Ökonomie</t>
    </r>
    <r>
      <rPr>
        <sz val="10"/>
        <color theme="1"/>
        <rFont val="Arial"/>
        <family val="2"/>
      </rPr>
      <t xml:space="preserve">
</t>
    </r>
  </si>
  <si>
    <t>SOC3.3.</t>
  </si>
  <si>
    <t>Soziale und Erwerbswirtschaftliche Infrastruktur</t>
  </si>
  <si>
    <t>Soziale Infrastruktur</t>
  </si>
  <si>
    <t>Erwerbswirtschaftliche Infrastruktur</t>
  </si>
  <si>
    <t xml:space="preserve">Nahversorgung 1: Es gibt ein Handels-/Zentrenkonzept in welches das Quartier/der Standort eingebunden ist
</t>
  </si>
  <si>
    <t>3.4.</t>
  </si>
  <si>
    <t>TEC2.1</t>
  </si>
  <si>
    <t>Energieinfrastruktur</t>
  </si>
  <si>
    <t>Integrales Energiekonzept</t>
  </si>
  <si>
    <t>Kohärente Versorgungsstruktur</t>
  </si>
  <si>
    <t>Nutzung von Synergien</t>
  </si>
  <si>
    <t>AGENDA 2030 BONUS – KLIMASCHUTZZIELE</t>
  </si>
  <si>
    <t xml:space="preserve">Vehicle to Grid: 
Vorrüstungen für bidirektionales Be- und Entladen der Elektrofahrzeuge vorhanden
</t>
  </si>
  <si>
    <t>Energiegewinnung auf Dachflächen</t>
  </si>
  <si>
    <r>
      <rPr>
        <b/>
        <sz val="10"/>
        <color rgb="FF3C4981"/>
        <rFont val="Arial"/>
        <family val="2"/>
      </rPr>
      <t>Energiebedarf</t>
    </r>
    <r>
      <rPr>
        <sz val="10"/>
        <color theme="1"/>
        <rFont val="Arial"/>
        <family val="2"/>
      </rPr>
      <t xml:space="preserve">
Ein Energiekonzept ist vorhanden (bzw. beauftragt), in dem die Reduktion des Energiebedarfs des Quartiers sowie die regenerative Energiegewinnung im Quartier/Standort und Umgebung evaluiert wird inklusive Energiebedarfsanalyse (Wärme, Kälte, Strom).
</t>
    </r>
  </si>
  <si>
    <r>
      <rPr>
        <b/>
        <sz val="10"/>
        <color rgb="FF3C4981"/>
        <rFont val="Arial"/>
        <family val="2"/>
      </rPr>
      <t>Energiebilanz</t>
    </r>
    <r>
      <rPr>
        <sz val="10"/>
        <color theme="1"/>
        <rFont val="Arial"/>
        <family val="2"/>
      </rPr>
      <t xml:space="preserve">
In dem Energiekonzept werden Energiebilanzen für Wärme, Kälte und Strom erstellt.
</t>
    </r>
  </si>
  <si>
    <r>
      <rPr>
        <b/>
        <sz val="10"/>
        <color rgb="FF3C4981"/>
        <rFont val="Arial"/>
        <family val="2"/>
      </rPr>
      <t>Energieversorgungsvarianten</t>
    </r>
    <r>
      <rPr>
        <sz val="10"/>
        <color theme="1"/>
        <rFont val="Arial"/>
        <family val="2"/>
      </rPr>
      <t xml:space="preserve">
In dem Energiekonzept werden mindestens drei dezentrale und/oder zentrale Strom-/Wärmeversorgungsvarianten gegenübergestellt und ökologisch bewertet (Emissionen).
</t>
    </r>
  </si>
  <si>
    <r>
      <rPr>
        <b/>
        <sz val="10"/>
        <color rgb="FF3C4981"/>
        <rFont val="Arial"/>
        <family val="2"/>
      </rPr>
      <t>Investitionen und Betriebskosten</t>
    </r>
    <r>
      <rPr>
        <sz val="10"/>
        <color theme="1"/>
        <rFont val="Arial"/>
        <family val="2"/>
      </rPr>
      <t xml:space="preserve">
In dem Energiekonzept werden die unterschiedlichen Energieversorgungsvarianten wirtschaftlich bewertet (Investitionen und Betriebskosten).
</t>
    </r>
  </si>
  <si>
    <r>
      <rPr>
        <b/>
        <sz val="10"/>
        <color rgb="FF3C4981"/>
        <rFont val="Arial"/>
        <family val="2"/>
      </rPr>
      <t>Nutzung der Dachflächen zur Energiegewinnung</t>
    </r>
    <r>
      <rPr>
        <sz val="10"/>
        <color theme="1"/>
        <rFont val="Arial"/>
        <family val="2"/>
      </rPr>
      <t xml:space="preserve">
Prozentualer Anteil der Dachflächen die zur regenerative Energieerzeugung genutzt werden
</t>
    </r>
  </si>
  <si>
    <t>TEC2.2</t>
  </si>
  <si>
    <t>Wertstoffmanagement</t>
  </si>
  <si>
    <t>Konzept für Wertstoffnutzung</t>
  </si>
  <si>
    <t>Abfallmanagement</t>
  </si>
  <si>
    <t>Abfallvermeidung</t>
  </si>
  <si>
    <t>3.7.</t>
  </si>
  <si>
    <t>Wiederverwendung</t>
  </si>
  <si>
    <t>Wertstoffrecycling</t>
  </si>
  <si>
    <t>CIRCULAR ECONOMY BONUS – URBAN MINING</t>
  </si>
  <si>
    <t xml:space="preserve">Es gibt ein Urban Mining Konzept für das Quartier
</t>
  </si>
  <si>
    <t xml:space="preserve">Es gibt ein Urban Mining Kataster/BIM Model in dem einige der verbauten Rohstoffe im Quartier erfasst sind (Teile der Gebäudemassen und der Freiräume)
</t>
  </si>
  <si>
    <t>Technik und Logistik</t>
  </si>
  <si>
    <r>
      <rPr>
        <b/>
        <sz val="10"/>
        <color rgb="FF3C4981"/>
        <rFont val="Arial"/>
        <family val="2"/>
      </rPr>
      <t>Konzept Wertstoffnutzung</t>
    </r>
    <r>
      <rPr>
        <sz val="10"/>
        <color theme="1"/>
        <rFont val="Arial"/>
        <family val="2"/>
      </rPr>
      <t xml:space="preserve">
Es gibt ein quartiersbezogenes Konzept für die Wertstoffnutzung und eine Wertstoffbilanz als internes Planungsinstrument.
</t>
    </r>
  </si>
  <si>
    <r>
      <rPr>
        <b/>
        <sz val="10"/>
        <color rgb="FF3C4981"/>
        <rFont val="Arial"/>
        <family val="2"/>
      </rPr>
      <t>Zentrales Abfallmanagement</t>
    </r>
    <r>
      <rPr>
        <sz val="10"/>
        <color theme="1"/>
        <rFont val="Arial"/>
        <family val="2"/>
      </rPr>
      <t xml:space="preserve">
Es gibt ein quartiersbezogenes zentrales Abfallmanagement
</t>
    </r>
  </si>
  <si>
    <r>
      <rPr>
        <b/>
        <sz val="10"/>
        <color rgb="FF3C4981"/>
        <rFont val="Arial"/>
        <family val="2"/>
      </rPr>
      <t>Quartiersbezogenes Wertstofferfassungssystem</t>
    </r>
    <r>
      <rPr>
        <sz val="10"/>
        <color theme="1"/>
        <rFont val="Arial"/>
        <family val="2"/>
      </rPr>
      <t xml:space="preserve">
Es gibt ein quartiersbezogenes Wertstofferfassungssystem, dessen Daten den einzelnen Abfallverursachern mindestens jährlich übermittelt werden. Die im Wertstoffmanagementkonzept beschriebenen Ziele und Maßnahmen zur Abfallvermeidung sind verpflichtend für Dritte (z.B. Catering).
</t>
    </r>
  </si>
  <si>
    <r>
      <rPr>
        <b/>
        <sz val="10"/>
        <color rgb="FFA5D867"/>
        <rFont val="Arial"/>
        <family val="2"/>
      </rPr>
      <t>CIRCULAR ECONOMY BONUS – WIEDERVERWENDUNG ODER WERKSTOFFLICHE VERWERTUNG</t>
    </r>
    <r>
      <rPr>
        <sz val="10"/>
        <color theme="1"/>
        <rFont val="Arial"/>
        <family val="2"/>
      </rPr>
      <t xml:space="preserve">
Es wurden besondere Maßnahmen zur Abfallvermeidung/ zur Reduktion nicht recyclingfähigen Abfällen umgesetzt, die nachweisliche Wirkung gezeigt haben (z.B. Substitution Gefährlicher durch ungefährliche Stoffe, Prozess zur Förderung von Vereinheitlichung von Verpackungen, Keine Deponierung von Produktionsabfällen, neue Entsorgungswege, Entsorgerauditierung für relevante Abfallströme)
</t>
    </r>
  </si>
  <si>
    <r>
      <rPr>
        <b/>
        <sz val="10"/>
        <color rgb="FF3C4981"/>
        <rFont val="Arial"/>
        <family val="2"/>
      </rPr>
      <t>Wiederverwendungs- und Reparaturservices</t>
    </r>
    <r>
      <rPr>
        <sz val="10"/>
        <color theme="1"/>
        <rFont val="Arial"/>
        <family val="2"/>
      </rPr>
      <t xml:space="preserve">
Einrichtung von Wiederverwendungs- und Reparaturservices
</t>
    </r>
  </si>
  <si>
    <r>
      <rPr>
        <b/>
        <sz val="10"/>
        <color rgb="FF3C4981"/>
        <rFont val="Arial"/>
        <family val="2"/>
      </rPr>
      <t>Förderung Sharing Economy</t>
    </r>
    <r>
      <rPr>
        <sz val="10"/>
        <color theme="1"/>
        <rFont val="Arial"/>
        <family val="2"/>
      </rPr>
      <t xml:space="preserve">
Im Areal werden besondere Maßnahmen zur Förderung der Kreislauf-wirtschaft umgesetzt (z.B. Rücknahme-/Pfand-, Leasing oder 
Cradle-to-Cradle®-Systeme für Cateringprodukte, Möbel, etc., Sharing Economy-Konzepte).
</t>
    </r>
  </si>
  <si>
    <r>
      <rPr>
        <b/>
        <sz val="10"/>
        <color rgb="FF3C4981"/>
        <rFont val="Arial"/>
        <family val="2"/>
      </rPr>
      <t>Abfalllogistik</t>
    </r>
    <r>
      <rPr>
        <sz val="10"/>
        <color theme="1"/>
        <rFont val="Arial"/>
        <family val="2"/>
      </rPr>
      <t xml:space="preserve">
Innovative Abfalllogistikkonzepte im Quartier (z. B. Abfallzentrale, die mit Rohrleitungssystemen, Unterflursystemen, Förderbändern oder Elektrosammelfahrzeugen beliefert wird)
- Es ist ein Abfalllogistikkonzept erstellt worden (10 Punkte)
- Das Abfalllogistikkonzept wurde umgesetzt (10 Punkte)
</t>
    </r>
  </si>
  <si>
    <r>
      <rPr>
        <b/>
        <sz val="10"/>
        <color rgb="FF00ACE9"/>
        <rFont val="Arial"/>
        <family val="2"/>
      </rPr>
      <t>INNOVATIONSRAUM</t>
    </r>
    <r>
      <rPr>
        <sz val="10"/>
        <color theme="1"/>
        <rFont val="Arial"/>
        <family val="2"/>
      </rPr>
      <t xml:space="preserve">
Innovative Abfalltechnik im Quartier:
- z. B. Müllpressen zur Gewinnung von Wasser aus den Abfällen
- z. B. neue Techniken wie Phosphorrückgewinnung usw.
- z. B. .Energiegewinnung aus Biomasse
</t>
    </r>
  </si>
  <si>
    <t>TEC2.4</t>
  </si>
  <si>
    <t>Smart Infrastructure</t>
  </si>
  <si>
    <t>Integration des Themas Digitalisierung in die Quartiersplanung</t>
  </si>
  <si>
    <t>Infrastruktur Datenerfassung</t>
  </si>
  <si>
    <t>Sensoren in Gebäuden und baulichen Infrastrukturen</t>
  </si>
  <si>
    <t xml:space="preserve">Es ist ein Konzept zur Echtzeiterfassung von Daten aus mehreren Teilbereichen (Ressourcenverbräuche, Umwelt, Gesundheit, für weitere Beispiele siehe Methode)  in den Gebäuden und der gebauten Infrastruktur vorhanden. 
</t>
  </si>
  <si>
    <t xml:space="preserve">Maßnahmen die nachweislich einen Beitrag zur Nachhaltigkeit leisten wurden aus dem Konzept abgeleitet und umgesetzt.
</t>
  </si>
  <si>
    <t>Infrastruktur Datenauswertung/Information</t>
  </si>
  <si>
    <t>Infrastruktur Steuerung/Optimierung</t>
  </si>
  <si>
    <t>Quartiersbezogene digitale Angebote</t>
  </si>
  <si>
    <t>TEC3.1</t>
  </si>
  <si>
    <t>Mobilitätsinfrastruktur– Motorisierter Verkehr</t>
  </si>
  <si>
    <t>Verkehrsmodell</t>
  </si>
  <si>
    <r>
      <rPr>
        <b/>
        <sz val="10"/>
        <color rgb="FF3C4981"/>
        <rFont val="Arial"/>
        <family val="2"/>
      </rPr>
      <t>Sensoren im Freiraum (siehe Definition Systemgrundlagen)</t>
    </r>
    <r>
      <rPr>
        <sz val="10"/>
        <color theme="1"/>
        <rFont val="Arial"/>
        <family val="2"/>
      </rPr>
      <t xml:space="preserve">
Wie viele Bereiche (siehe Methode) werden im Freiraum durch Sensoren in Echtzeit erfasst?
</t>
    </r>
  </si>
  <si>
    <r>
      <rPr>
        <b/>
        <sz val="10"/>
        <color rgb="FF3C4981"/>
        <rFont val="Arial"/>
        <family val="2"/>
      </rPr>
      <t>Telekommunikationsinfrastruktur/Verteilung</t>
    </r>
    <r>
      <rPr>
        <sz val="10"/>
        <color theme="1"/>
        <rFont val="Arial"/>
        <family val="2"/>
      </rPr>
      <t xml:space="preserve">
Es gibt ein leistungsfähiges Breitbandnetz 
</t>
    </r>
  </si>
  <si>
    <r>
      <rPr>
        <b/>
        <sz val="10"/>
        <color rgb="FF3C4981"/>
        <rFont val="Arial"/>
        <family val="2"/>
      </rPr>
      <t>Freies WLAN im öffentlichen Raum</t>
    </r>
    <r>
      <rPr>
        <sz val="10"/>
        <color theme="1"/>
        <rFont val="Arial"/>
        <family val="2"/>
      </rPr>
      <t xml:space="preserve">
Im gesamten öffentlichen Raum des  Quartiers/Standorts ist ein freies WLAN verfügbar.
</t>
    </r>
  </si>
  <si>
    <r>
      <rPr>
        <b/>
        <sz val="10"/>
        <color rgb="FF3C4981"/>
        <rFont val="Arial"/>
        <family val="2"/>
      </rPr>
      <t>Kontinuierliche Verfügbarkeit von Informationen</t>
    </r>
    <r>
      <rPr>
        <sz val="10"/>
        <color theme="1"/>
        <rFont val="Arial"/>
        <family val="2"/>
      </rPr>
      <t xml:space="preserve">
Daten, die während Planung, Bau und Nutzung des Quartiers/Standorts erhoben werden, stehen an einem zentralen Ort unter Berücksichtigung des Datenschutzes zur Verfügung und werden kontinuierlich gepflegt. 
</t>
    </r>
  </si>
  <si>
    <r>
      <rPr>
        <b/>
        <sz val="10"/>
        <color rgb="FF3C4981"/>
        <rFont val="Arial"/>
        <family val="2"/>
      </rPr>
      <t>Möglichkeit der Steuerung und Regelung von Gebäuden und baulichen Infrastrukturen</t>
    </r>
    <r>
      <rPr>
        <sz val="10"/>
        <color theme="1"/>
        <rFont val="Arial"/>
        <family val="2"/>
      </rPr>
      <t xml:space="preserve">
Gebäude und baulichen Infrastrukturen, die über Smart Meter / Sensoren verfügen, können zusätzlich manuell und automatisch gesteuert werden (z.B. Gebäudeautomation, Smart Home, Waschmaschine oder Gefrierschrank, die einschalten, wenn Strom günstig ist).
</t>
    </r>
  </si>
  <si>
    <r>
      <rPr>
        <b/>
        <sz val="10"/>
        <color rgb="FF3C4981"/>
        <rFont val="Arial"/>
        <family val="2"/>
      </rPr>
      <t>Möglichkeit der Steuerung und Regelung von Elementen im Freiraum</t>
    </r>
    <r>
      <rPr>
        <sz val="10"/>
        <color theme="1"/>
        <rFont val="Arial"/>
        <family val="2"/>
      </rPr>
      <t xml:space="preserve">
Bereiche (Strom, Mobilität … siehe Methode), die über Smart Meter / Sensoren verfügen, können zusätzlich manuell und automatisch gesteuert werden (z. B. intelligente Straßenbeleuchtung, Mehrfachnutzung von Straßen je nach Bedarf, Verkehrslenkung, Parkraum-Management).
</t>
    </r>
  </si>
  <si>
    <r>
      <rPr>
        <b/>
        <sz val="10"/>
        <color rgb="FF3C4981"/>
        <rFont val="Arial"/>
        <family val="2"/>
      </rPr>
      <t>Steuerungs-/Tarifmodelle für Gebäude und Freiräume</t>
    </r>
    <r>
      <rPr>
        <sz val="10"/>
        <color theme="1"/>
        <rFont val="Arial"/>
        <family val="2"/>
      </rPr>
      <t xml:space="preserve">
An die smarte Quartierssystematik angepasstes Steuerungs-/ und Tarifmodelle.
</t>
    </r>
  </si>
  <si>
    <r>
      <rPr>
        <b/>
        <sz val="10"/>
        <color rgb="FF3C4981"/>
        <rFont val="Arial"/>
        <family val="2"/>
      </rPr>
      <t>Information zu quartiersbezogenen digitalen Angeboten</t>
    </r>
    <r>
      <rPr>
        <sz val="10"/>
        <color theme="1"/>
        <rFont val="Arial"/>
        <family val="2"/>
      </rPr>
      <t xml:space="preserve">
Bei Einzug und bei Änderungen des Angebotes werden die Bewohner/Nutzer des Quartiers über die digitalen Angebote informiert (z. B. Infoveranstaltung, Flyer, Internet, Applikationen …)
</t>
    </r>
  </si>
  <si>
    <r>
      <rPr>
        <b/>
        <sz val="10"/>
        <color rgb="FF3C4981"/>
        <rFont val="Arial"/>
        <family val="2"/>
      </rPr>
      <t>Quartiersbezogene Online-Plattform(en)</t>
    </r>
    <r>
      <rPr>
        <sz val="10"/>
        <color theme="1"/>
        <rFont val="Arial"/>
        <family val="2"/>
      </rPr>
      <t xml:space="preserve">
Es gibt eine oder mehrere online Plattform(en), über die sich die Bewohner/Nutzer eines Quartiers miteinander vernetzen können. Für jede Funktion, die diese Online-Plattform(en) bietet(en) (z.B. Kommunikation, Tauschbörse, Einkaufsgemeinschaft, Solarkataster, E-Partizipation, Kita-Navigator, Car-Sharing, Sportprogramme wie Lauf- Schwimm-, Fahrradgruppen,  freie Ehrenämter, Möglichkeit der Bewohner, die Verwaltung online auf Missstände aufmerksam zu machen …), können 2 PUNKTE vergeben werden (max. 10 PUNKTE). Als Plattform können auch bestehende Online-Netzwerke genutzt werden.
</t>
    </r>
  </si>
  <si>
    <r>
      <rPr>
        <b/>
        <sz val="10"/>
        <color rgb="FF3C4981"/>
        <rFont val="Arial"/>
        <family val="2"/>
      </rPr>
      <t>Abstimmung zum Thema Digitalisierung mit der Stadt</t>
    </r>
    <r>
      <rPr>
        <sz val="10"/>
        <color theme="1"/>
        <rFont val="Arial"/>
        <family val="2"/>
      </rPr>
      <t xml:space="preserve">
Die infrastrukturellen Maßnahmen und digitalen Angebote, die im Quartier umgesetzt werden sollen, sind mit der Stadt oder am Standort abgestimmt und ergänzen sich bestmöglich wechselseitig
</t>
    </r>
  </si>
  <si>
    <r>
      <rPr>
        <b/>
        <sz val="10"/>
        <color rgb="FF3C4981"/>
        <rFont val="Arial"/>
        <family val="2"/>
      </rPr>
      <t>Integration der Digitalisierung in die Quartiersplanung</t>
    </r>
    <r>
      <rPr>
        <sz val="10"/>
        <color theme="1"/>
        <rFont val="Arial"/>
        <family val="2"/>
      </rPr>
      <t xml:space="preserve">
Es gibt ein gemeinsames digitales Modell (mindestens Grobmodell mit Infrastruktur und  Gebäude z.B. GIS) welches allen Prozessbeteiligten zur Verfügung steht. 
- Es gibt ein digitales Modell der Infrastruktur (3 Punkte)
- Es gibt ein digitales Modell der Infrastruktur und Gebäude (7 Punkte)
</t>
    </r>
  </si>
  <si>
    <t xml:space="preserve">Aktualität Verkehrsmodell
</t>
  </si>
  <si>
    <t>Modal Split</t>
  </si>
  <si>
    <t>zu 2.</t>
  </si>
  <si>
    <t>Förderung alternativer Antriebstechnologien</t>
  </si>
  <si>
    <t>Ladeinfrastruktur im Außenraum</t>
  </si>
  <si>
    <t xml:space="preserve">Ladestationen für E-Mobilität flächendeckend direkt im Quartier / am Standort 
</t>
  </si>
  <si>
    <t xml:space="preserve">Tankstellen für Wasserstoff-, Erdgasfahrzeuge, etc. im direkten Umfeld des Quartiers / des Standorts (max. 5 Minuten Fahrzeit)
</t>
  </si>
  <si>
    <t>Fahrzeugsharing</t>
  </si>
  <si>
    <t>ÖPNV-Erschließungsqualität</t>
  </si>
  <si>
    <t>Intermodale Plattformen</t>
  </si>
  <si>
    <t>Zugang zum nächstgelegenen Bahnhof</t>
  </si>
  <si>
    <t>Takt des ÖPNV</t>
  </si>
  <si>
    <t>Besondere Maßnahmen zur Förderung des ÖPNV</t>
  </si>
  <si>
    <t>10.</t>
  </si>
  <si>
    <t>Konzept Wirtschaftsverkehr</t>
  </si>
  <si>
    <t xml:space="preserve">Konzept Wirtschaftsverkehr
</t>
  </si>
  <si>
    <t>11.</t>
  </si>
  <si>
    <t>Quartiersverträgliche Lieferzeiten</t>
  </si>
  <si>
    <t xml:space="preserve">Quartiersverträgliche Lieferzeiten
</t>
  </si>
  <si>
    <t>TEC3.2</t>
  </si>
  <si>
    <t>Mobilitätsinfrastruktur– Nicht Motorisierter Verkehr</t>
  </si>
  <si>
    <t>Mobilitätselemente für Rad- und Fußgänger/innen</t>
  </si>
  <si>
    <t>11.1.</t>
  </si>
  <si>
    <t>10.2.</t>
  </si>
  <si>
    <t>10.1.</t>
  </si>
  <si>
    <t>9.2.</t>
  </si>
  <si>
    <t>Mobilitätsinfrastruktur für den Radverkehr</t>
  </si>
  <si>
    <t>Qualität der Abstellanlagen für Fahrräder</t>
  </si>
  <si>
    <t>Wegweisungssysteme für Radverkehr</t>
  </si>
  <si>
    <t>Wegweisungssysteme</t>
  </si>
  <si>
    <t xml:space="preserve">Wegweisungssysteme
</t>
  </si>
  <si>
    <t>Fußwegenetz</t>
  </si>
  <si>
    <t xml:space="preserve">Fußgängerinfrastruktur
</t>
  </si>
  <si>
    <t xml:space="preserve">6. </t>
  </si>
  <si>
    <t>Lage der Querungsmöglichkeiten für Fußgänger/-innen</t>
  </si>
  <si>
    <t xml:space="preserve">Kreuzen der Wege
</t>
  </si>
  <si>
    <t>Wegweisungssysteme für Fußgänger/-innen</t>
  </si>
  <si>
    <t xml:space="preserve">Flächendeckende Beschilderung (Ziele, Entfernungen, ggf. Gehminuten) ist vorhanden, die wichtigsten Ziele sind ausgeschildert.≤ 30 Minuten
</t>
  </si>
  <si>
    <t xml:space="preserve">Flächendeckende Orientierungspläne (z. B. an zentralen Einrichtungen, Plätzen etc.) unterstützen die Orientierung und erhöhen die Sicherheit.
</t>
  </si>
  <si>
    <t>PRO1.2</t>
  </si>
  <si>
    <t>Integrale Planung</t>
  </si>
  <si>
    <t>Integrales Planungsteam</t>
  </si>
  <si>
    <t>Kernplanungsteam</t>
  </si>
  <si>
    <t xml:space="preserve">Für jede Disziplin des Kern- Planungsteams (max. 4 Disziplinen / max. 24 PUNKTE) 
</t>
  </si>
  <si>
    <t xml:space="preserve">Für jede Disziplin der zusätzlich wünschenswerten Disziplinen (max. 6 Disziplinen / max. 12 PUNKTE) 
</t>
  </si>
  <si>
    <t>Integraler Planungsprozess</t>
  </si>
  <si>
    <t xml:space="preserve">Zeitpunkt der Integration von DGNB Zertifizierungskriterien in den Planungsprozess
</t>
  </si>
  <si>
    <t xml:space="preserve">Zusammenarbeit des Planungsteam
</t>
  </si>
  <si>
    <t>Bausteine des integralen Planungsprozesses</t>
  </si>
  <si>
    <t xml:space="preserve">PRE-Design: Durchführen von Workshops oder vergleichbaren Methoden der Informationssammlung zur Ausformulierung der Bedarfe der Bauherren und planerischen Aufgabenstellungen zum Zeitpunkt der Grundlagenermittlung
</t>
  </si>
  <si>
    <t xml:space="preserve">Aufbaustufen: Darstellung von wichtigen Aufbaustufen für das Projekt („Points of  no Return“), bedeutende Entscheidungen und abgeschlossene (Teil-)Aufgaben als Grundlage für eine qualifizierte Weiterbearbeitung
</t>
  </si>
  <si>
    <t xml:space="preserve">3-D-Datenmodell: Zusammenarbeit des Planungsteams mit einem 3-D-Datenmodell (GIS, CIM, BIM)
</t>
  </si>
  <si>
    <t>Planungsszenarien und -varianten</t>
  </si>
  <si>
    <t>Verfahren zur gestalterischen und funktionalen Konzeptfindung</t>
  </si>
  <si>
    <t xml:space="preserve">Verfahren zur Konzeptfindung: Es wurden konkurrierende und/oder kooperative Verfahren für den städtebaulichen Entwurf durchgeführt (Investorenauswahlverfahren, Mehrfachbeauftragungen, Charrette/Perspektivenwerkstatt …)
</t>
  </si>
  <si>
    <t xml:space="preserve">Beteiligung von Nutzern, Anliegern oder Interessenvertretern: An der Entscheidungsfindung wurden Repräsentanten der Nutzer, Anlieger oder Interessenvertreter beteiligt (z. B. als Mitglieder einer Wettbewerbsjury).
</t>
  </si>
  <si>
    <t xml:space="preserve">Vorprüfung nach DGNB-Kriterien: Die Vorprüfung des städtebaulichen und landschaftsplanerischen Wettbewerbs erfolgt nach DGNB-Kriterien (für diejenigen Kriterien, die in einer frühen Planungsphase beurteilbar sind).
</t>
  </si>
  <si>
    <t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t>
  </si>
  <si>
    <r>
      <rPr>
        <b/>
        <sz val="10"/>
        <color rgb="FF3C4981"/>
        <rFont val="Arial"/>
        <family val="2"/>
      </rPr>
      <t>Planungsszenarien</t>
    </r>
    <r>
      <rPr>
        <sz val="10"/>
        <color theme="1"/>
        <rFont val="Arial"/>
        <family val="2"/>
      </rPr>
      <t xml:space="preserve">
Entwicklungsszenarien/Nachhaltigkeitsbewertung: Die ausgewählte Planung wurde unter Berücksichtigung von mindestens 3 Entwicklungsszenarien hin untersucht (z. B. Expansion, Rückbau, Temporäre Nutzung, Synergien, Cluster, …) und zusätzlich mit Kriterien zur Beurteilung der Nachhaltigkeit des Projektes überschlägig bewertet.
</t>
    </r>
  </si>
  <si>
    <r>
      <rPr>
        <b/>
        <sz val="10"/>
        <color rgb="FF3C4981"/>
        <rFont val="Arial"/>
        <family val="2"/>
      </rPr>
      <t xml:space="preserve">Planungsvarianten </t>
    </r>
    <r>
      <rPr>
        <sz val="10"/>
        <color theme="1"/>
        <rFont val="Arial"/>
        <family val="2"/>
      </rPr>
      <t xml:space="preserve">
Planungsvarianten/Nachhaltigkeitsbewertung: Es wurden mindestens drei alternative Planungsvarianten untersucht. Diese wurden auch mit Kriterien (selbstgesetzte Benchmarks) zur Beurteilung der Nachhaltigkeit des Projektes überschlägig bewertet.
</t>
    </r>
  </si>
  <si>
    <t>PRO1.7</t>
  </si>
  <si>
    <t>Partizipation</t>
  </si>
  <si>
    <t>PRO1.8</t>
  </si>
  <si>
    <t>Projektmanagement</t>
  </si>
  <si>
    <t>Projektsteuerung</t>
  </si>
  <si>
    <t xml:space="preserve">Durchführung einer Projektsteuerung
</t>
  </si>
  <si>
    <t>Risikomanagement</t>
  </si>
  <si>
    <t>Risiko-Controlling</t>
  </si>
  <si>
    <t xml:space="preserve">Ein vorbeugendes Risikomanagement wurde durchgeführt.
</t>
  </si>
  <si>
    <t xml:space="preserve">Die Risikoidentifizierung wurde mithilfe von Stakeholder- und/oder Projektbeteiligtenworkshops durchgeführt.
</t>
  </si>
  <si>
    <t xml:space="preserve">Zusätzlich wurde projektbegleitend ein regelmäßiges Risiko-Controlling durchgeführt.
</t>
  </si>
  <si>
    <t>Qualitätssicherheit</t>
  </si>
  <si>
    <t>Projektziele, Dokumentation, Durchführung Qualitätsüberprüfung</t>
  </si>
  <si>
    <t xml:space="preserve">Definition konkreter ökologischer, ökonomischer und soziokultureller Projektziele (inkl. Gestaltung) vor Beginn der Vergabe von Bauleistungen
</t>
  </si>
  <si>
    <t xml:space="preserve">Dokumentation der vertraglichen Vereinbarung (verbindlich) der konkreten ökologischen, ökonomischen und soziokulturellen Projektzielen (Gestaltungshandbuch, Verträge, Qualitätsstandards)
</t>
  </si>
  <si>
    <t xml:space="preserve">Die Projektziele werden allen Planungsbeteiligten (inkl. Auftragnehmer) klar kommuniziert und bei Änderungen aktualisiert.
</t>
  </si>
  <si>
    <t xml:space="preserve">Es wird eine regelmäßige Qualitätsüberprüfung durchgeführt und dokumentiert.
</t>
  </si>
  <si>
    <t xml:space="preserve">Es wird nach Projektabschluss eine Qualitätsüberprüfung durchgeführt, die die Projektziele und das Ergebnis vergleichend betrachtet.
</t>
  </si>
  <si>
    <t>Terminplanung</t>
  </si>
  <si>
    <t xml:space="preserve">Rahmenterminplan
</t>
  </si>
  <si>
    <t>Kostenkontrolle</t>
  </si>
  <si>
    <t>Wirtschaftlichkeitsberechnung, Beratung und Optimierung</t>
  </si>
  <si>
    <t xml:space="preserve">Vorhandensein einer Kosten- und Einnahmenbetrachtung als statische Projektentwicklerkalkulation, ständige Überprüfung des aufgestellten Kostenrahmens
</t>
  </si>
  <si>
    <t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t>
  </si>
  <si>
    <t xml:space="preserve">Es ist eine verbindliche Kostenstruktur festgelegt, die eine nutzungsgerechte Kostenzuordnung und eine Aggregation auf einer übergeordneten Ebene zulässt (z. B. Struktur nach DIN 276 mit zusätzlicher projektbezogener Untergliederung).
</t>
  </si>
  <si>
    <t xml:space="preserve">Es wurde eine Folgekostenberatung bzw. -betrachtung durchgeführt.
</t>
  </si>
  <si>
    <t xml:space="preserve">Es wurde eine Folgekostenoptimierung mittels Lebenszykluskostenanalyse auf Quartiersebene durchgeführt.
</t>
  </si>
  <si>
    <t>PRO1.9</t>
  </si>
  <si>
    <t>Governance</t>
  </si>
  <si>
    <t>Rahmenbedingungen</t>
  </si>
  <si>
    <t>Projektbeteiligung der Kommune und Rechenschaftspflicht</t>
  </si>
  <si>
    <t>Offenheit und Transparenz von Strukturen und Prozessen</t>
  </si>
  <si>
    <r>
      <rPr>
        <b/>
        <sz val="10"/>
        <color rgb="FF3C4981"/>
        <rFont val="Arial"/>
        <family val="2"/>
      </rPr>
      <t>Quartier-bzw. Gebietsmanagement</t>
    </r>
    <r>
      <rPr>
        <sz val="10"/>
        <color theme="1"/>
        <rFont val="Arial"/>
        <family val="2"/>
      </rPr>
      <t xml:space="preserve">
Es gibt ein oder mehrere hauptberuflich tätige Personen, die das Quartiers- bzw. Gebietsmanagement verantworten. 
</t>
    </r>
  </si>
  <si>
    <r>
      <rPr>
        <b/>
        <sz val="10"/>
        <color rgb="FF3C4981"/>
        <rFont val="Arial"/>
        <family val="2"/>
      </rPr>
      <t>Beratung von (zukünftigen) Bewohnern und Nutzern</t>
    </r>
    <r>
      <rPr>
        <sz val="10"/>
        <color theme="1"/>
        <rFont val="Arial"/>
        <family val="2"/>
      </rPr>
      <t xml:space="preserve">
(z. B. Baugruppenbetreuung, Schulungen und Fortbildungen zu Förderprogrammen, Erstellung von Handbüchern und Leitfäden, Standortmarketing bei Gewerbe)
</t>
    </r>
  </si>
  <si>
    <r>
      <rPr>
        <b/>
        <sz val="10"/>
        <color rgb="FF3C4981"/>
        <rFont val="Arial"/>
        <family val="2"/>
      </rPr>
      <t>Selbstverwaltung</t>
    </r>
    <r>
      <rPr>
        <sz val="10"/>
        <color theme="1"/>
        <rFont val="Arial"/>
        <family val="2"/>
      </rPr>
      <t xml:space="preserve">
Im Quartier werden Rahmenbedingungen geschaffen, die eine Selbstverwaltung einzelner Bereiche durch die Bewohner und Nutzer des Quartiers ermöglichen (z. B. Pflege der Grünflächen durch Bewohner, Bereitstellung von finanziellen Mitteln durch die Kommune, Initiierung von Erfahrungsaustauschnetzwerken, Einkaufsgemeinschaften bei Gewerbe). Die Partnerschaften sollten in der Lage sein, die Probleme im Quartier zu erkennen, angemessene Problemlösungsstrategien zu entwickeln und diese auch umzusetzen.
</t>
    </r>
  </si>
  <si>
    <r>
      <rPr>
        <b/>
        <sz val="10"/>
        <color rgb="FF3C4981"/>
        <rFont val="Arial"/>
        <family val="2"/>
      </rPr>
      <t>Stärkung bzw. Aufbau sozialer Initiativen</t>
    </r>
    <r>
      <rPr>
        <sz val="10"/>
        <color theme="1"/>
        <rFont val="Arial"/>
        <family val="2"/>
      </rPr>
      <t xml:space="preserve">
Die Kommune und/oder die ansässigen Unternehmen beteiligen sich an Maßnahmen, die das soziale Miteinander stärken (z. B. Förderung/ Bereitstellung Gemeinschaftsraum, Initiativen, Budget für die Umsetzung von Bürgervorschlägen, Bürgerzeitung, gemeinsame Quartiersfeste …).
- Finanzielle Unterstützung (5 Punkte)
- Organisatorische Unterstützung (5 Punkte)
</t>
    </r>
  </si>
  <si>
    <r>
      <rPr>
        <b/>
        <sz val="10"/>
        <color rgb="FF3C4981"/>
        <rFont val="Arial"/>
        <family val="2"/>
      </rPr>
      <t>Finanzielle Anreizsysteme</t>
    </r>
    <r>
      <rPr>
        <sz val="10"/>
        <color theme="1"/>
        <rFont val="Arial"/>
        <family val="2"/>
      </rPr>
      <t xml:space="preserve">
Um soziale und ökologische Projekte im Quartier (z. B. sozialer Wohnungsbau, Solaranlagen) umzusetzen, werden für die Bauherren im Quartier Förderprogramme und/oder vergünstigte Kredite angeboten, die über eine staatliche Förderung hinausgehen. Hierbei können nur Anreizsysteme berücksichtigt werden, die spezifisch für das Quartier entwickelt wurden.
</t>
    </r>
  </si>
  <si>
    <r>
      <rPr>
        <b/>
        <sz val="10"/>
        <color rgb="FF3C4981"/>
        <rFont val="Arial"/>
        <family val="2"/>
      </rPr>
      <t>Projektorganisation</t>
    </r>
    <r>
      <rPr>
        <sz val="10"/>
        <color theme="1"/>
        <rFont val="Arial"/>
        <family val="2"/>
      </rPr>
      <t xml:space="preserve">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t>
    </r>
  </si>
  <si>
    <r>
      <rPr>
        <b/>
        <sz val="10"/>
        <color rgb="FF3C4981"/>
        <rFont val="Arial"/>
        <family val="2"/>
      </rPr>
      <t>Kommunale Projekte / Dienstleistungen</t>
    </r>
    <r>
      <rPr>
        <sz val="10"/>
        <color theme="1"/>
        <rFont val="Arial"/>
        <family val="2"/>
      </rPr>
      <t xml:space="preserve">
Es gibt seitens der Kommune eine oder mehrere Projekte/Dienstleistungen, die die Entwicklung des Quartiers unterstützen.
</t>
    </r>
  </si>
  <si>
    <r>
      <rPr>
        <b/>
        <sz val="10"/>
        <color rgb="FF3C4981"/>
        <rFont val="Arial"/>
        <family val="2"/>
      </rPr>
      <t>Transparente Vergabe von Bauplätzen</t>
    </r>
    <r>
      <rPr>
        <sz val="10"/>
        <color theme="1"/>
        <rFont val="Arial"/>
        <family val="2"/>
      </rPr>
      <t xml:space="preserve">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t>
    </r>
  </si>
  <si>
    <r>
      <rPr>
        <b/>
        <sz val="10"/>
        <color rgb="FF3C4981"/>
        <rFont val="Arial"/>
        <family val="2"/>
      </rPr>
      <t>Verteilungsgerechtigkeit</t>
    </r>
    <r>
      <rPr>
        <sz val="10"/>
        <color theme="1"/>
        <rFont val="Arial"/>
        <family val="2"/>
      </rPr>
      <t xml:space="preserve">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t>
    </r>
  </si>
  <si>
    <t>PRO2.1</t>
  </si>
  <si>
    <t>Baustelle, Bauprozesse</t>
  </si>
  <si>
    <t>Logistik</t>
  </si>
  <si>
    <t>Abfall</t>
  </si>
  <si>
    <t>Lärm</t>
  </si>
  <si>
    <t>Staub</t>
  </si>
  <si>
    <t>zu 4.</t>
  </si>
  <si>
    <t>Umwelt- und Naturschutz</t>
  </si>
  <si>
    <r>
      <rPr>
        <b/>
        <sz val="10"/>
        <color rgb="FFA5D867"/>
        <rFont val="Arial"/>
        <family val="2"/>
      </rPr>
      <t>CIRCULAR ECONOMY BONUS – ABFALLVERMEIDUNG AUF DER BAUSTELLE</t>
    </r>
    <r>
      <rPr>
        <sz val="10"/>
        <color theme="1"/>
        <rFont val="Arial"/>
        <family val="2"/>
      </rPr>
      <t xml:space="preserve">
Auf der Baustelle werden neuartige und in wesentlichem Umfang abfallvermeidende Konzepte, Bauweisen oder Technologien umgesetzt.
</t>
    </r>
  </si>
  <si>
    <t>PRO3.5</t>
  </si>
  <si>
    <t>Qualitätssicherung &amp; Monitoring</t>
  </si>
  <si>
    <t>Nachhaltigkeitsmanagement</t>
  </si>
  <si>
    <t>Energiemonitoring/-management</t>
  </si>
  <si>
    <t>Energiemonitoring</t>
  </si>
  <si>
    <t xml:space="preserve">Es gibt eine Überprüfung der energetischen Qualität der Gebäude während der Planung, Bauausführung und nach Fertigstellung.
</t>
  </si>
  <si>
    <t xml:space="preserve">Es gibt ein Energiemonitoring für Wärme* auf Quartiersebene, an dem alle Gebäudenutzer teilnehmen können.
</t>
  </si>
  <si>
    <t xml:space="preserve">Es gibt ein Energiemonitoring für Strom* auf Quartiersebene, an dem alle Gebäudenutzer teilnehmen können.
</t>
  </si>
  <si>
    <t>Wassermonitoring /-management</t>
  </si>
  <si>
    <t>Umsetzung von Gestaltungszielen</t>
  </si>
  <si>
    <t>Datenmodelle</t>
  </si>
  <si>
    <r>
      <rPr>
        <b/>
        <sz val="10"/>
        <color rgb="FF3C4981"/>
        <rFont val="Arial"/>
        <family val="2"/>
      </rPr>
      <t>Standortmanagement</t>
    </r>
    <r>
      <rPr>
        <sz val="10"/>
        <color theme="1"/>
        <rFont val="Arial"/>
        <family val="2"/>
      </rPr>
      <t xml:space="preserve">
Es ist ein Standortmanagement mit Nachhaltigkeitsmanagement am Standort vorhanden und als Ansprechpartner für Bewohner und Nutzer bekannt gegeben worden.
</t>
    </r>
  </si>
  <si>
    <r>
      <rPr>
        <b/>
        <sz val="10"/>
        <color rgb="FF3C4981"/>
        <rFont val="Arial"/>
        <family val="2"/>
      </rPr>
      <t>Berichterstattung zu Nachhaltigkeitsthemen</t>
    </r>
    <r>
      <rPr>
        <sz val="10"/>
        <color theme="1"/>
        <rFont val="Arial"/>
        <family val="2"/>
      </rPr>
      <t xml:space="preserve">
Es findet eine regelmäßige öffentlich zugängliche Berichterstattung zu verschiedenen Nachhaltigkeitsthemen des Quartiers statt.
</t>
    </r>
  </si>
  <si>
    <r>
      <rPr>
        <b/>
        <sz val="10"/>
        <color rgb="FF3C4981"/>
        <rFont val="Arial"/>
        <family val="2"/>
      </rPr>
      <t xml:space="preserve">Inhalte der Nachhaltigkeitsberichterstattung </t>
    </r>
    <r>
      <rPr>
        <sz val="10"/>
        <color theme="1"/>
        <rFont val="Arial"/>
        <family val="2"/>
      </rPr>
      <t xml:space="preserve">
Inhalte der regelmäßigen Nachhaltigkeitsberichterstattung in der Nutzungsphase (pro Thema können 5 Punkte vergeben werden):
CO2-Bilanzierung, Abfall (Bilanzierung, Verbleib etc.), Biodiversität, Baumaß-nahmen, verbaute Materialien, Aspekte der sozialen Nachhaltigkeit (z. B. Zufriedenheit (Befragung), Aufenthaltsfrequenz im öffentlichen Raum, Diversität, Energie (Verbrauch, Erzeugung, etc.), Wasser (Verbrauch, Rückgewinnung, etc.)
Alternativ: Es wird eine Umwelterklärung gemäß EMAS III veröffentlicht (Die maximalen Punkte können in diesem Fall angerechnet werden.
</t>
    </r>
  </si>
  <si>
    <r>
      <rPr>
        <b/>
        <sz val="10"/>
        <color rgb="FF3C4981"/>
        <rFont val="Arial"/>
        <family val="2"/>
      </rPr>
      <t>Wassermonitoring</t>
    </r>
    <r>
      <rPr>
        <sz val="10"/>
        <color theme="1"/>
        <rFont val="Arial"/>
        <family val="2"/>
      </rPr>
      <t xml:space="preserve">
Es gibt ein Verbrauchsmonitoring für Wasser auf Quartiersebene, an dem alle Gebäudenutzer teilnehmen können.
</t>
    </r>
  </si>
  <si>
    <r>
      <rPr>
        <b/>
        <sz val="10"/>
        <color rgb="FF3C4981"/>
        <rFont val="Arial"/>
        <family val="2"/>
      </rPr>
      <t>3-D-Datenmodelle</t>
    </r>
    <r>
      <rPr>
        <sz val="10"/>
        <color theme="1"/>
        <rFont val="Arial"/>
        <family val="2"/>
      </rPr>
      <t xml:space="preserve">
Es gibt eine weiterführende Zusammenarbeit auf der Basis von 3-D-Datenmodellen (GIS, CIM, BIM).
</t>
    </r>
  </si>
  <si>
    <r>
      <rPr>
        <b/>
        <sz val="10"/>
        <color rgb="FF3C4981"/>
        <rFont val="Arial"/>
        <family val="2"/>
      </rPr>
      <t>Übergeordnetes Gestaltungskonzept</t>
    </r>
    <r>
      <rPr>
        <sz val="10"/>
        <color theme="1"/>
        <rFont val="Arial"/>
        <family val="2"/>
      </rPr>
      <t xml:space="preserve">
Leitfaden für die Gestaltung der Architektur, der für den Entwurf wichtige Elemente definiert, dabei aber genug Gestaltungsspielraum für den einzelnen Architekten lässt (z. B. Fassadengliederung etc.)
</t>
    </r>
  </si>
  <si>
    <r>
      <rPr>
        <b/>
        <sz val="10"/>
        <color rgb="FF3C4981"/>
        <rFont val="Arial"/>
        <family val="2"/>
      </rPr>
      <t>Material, Farbe, Textur</t>
    </r>
    <r>
      <rPr>
        <sz val="10"/>
        <color theme="1"/>
        <rFont val="Arial"/>
        <family val="2"/>
      </rPr>
      <t xml:space="preserve">
Materialkonzept für die Architektur, das dem Quartier einen gestalterischen Mehrwert verschafft (Kohärenz, lokale Materialien, regionale Besonderheiten/Baukultur, Charakteristik allgemein, Stahl, Glas, Putz, Stein, Mindest- und/oder Maximal-Verhältnisse etc.).
</t>
    </r>
  </si>
  <si>
    <r>
      <rPr>
        <b/>
        <sz val="10"/>
        <color rgb="FF3C4981"/>
        <rFont val="Arial"/>
        <family val="2"/>
      </rPr>
      <t>Gestaltung von städtebaulich prägnanten Gebäuden</t>
    </r>
    <r>
      <rPr>
        <sz val="10"/>
        <color theme="1"/>
        <rFont val="Arial"/>
        <family val="2"/>
      </rPr>
      <t xml:space="preserve">
Materialkonzept für die Architektur, das dem Quartier einen gestalterischen Mehrwert verschafft (Kohärenz, lokale Materialien, Charakteristik allgemein, Stahl, Glas, Putz, Stein, Mindest- und/oder Maximal-Verhältnisse etc.).
</t>
    </r>
  </si>
  <si>
    <r>
      <rPr>
        <b/>
        <sz val="10"/>
        <color rgb="FF3C4981"/>
        <rFont val="Arial"/>
        <family val="2"/>
      </rPr>
      <t>Gestaltung von privaten Stellplätzen und Nebenanlagen</t>
    </r>
    <r>
      <rPr>
        <sz val="10"/>
        <color theme="1"/>
        <rFont val="Arial"/>
        <family val="2"/>
      </rPr>
      <t xml:space="preserve">
Materialkonzept für die Architektur, das dem Quartier einen gestalterischen Mehrwert verschafft (Kohärenz, lokale Materialien, Charakteristik allgemein, Stahl, Glas, Putz, Stein, Mindest- und/oder Maximal-Verhältnisse etc.).
</t>
    </r>
  </si>
  <si>
    <r>
      <rPr>
        <b/>
        <sz val="10"/>
        <color rgb="FF3C4981"/>
        <rFont val="Arial"/>
        <family val="2"/>
      </rPr>
      <t>Umweltverbund</t>
    </r>
    <r>
      <rPr>
        <sz val="10"/>
        <color theme="1"/>
        <rFont val="Arial"/>
        <family val="2"/>
      </rPr>
      <t xml:space="preserve">
Anteil am Umweltverbund 
</t>
    </r>
  </si>
  <si>
    <r>
      <rPr>
        <b/>
        <sz val="10"/>
        <color rgb="FF00ACE9"/>
        <rFont val="Arial"/>
        <family val="2"/>
      </rPr>
      <t>INNOVATIONSRAUM</t>
    </r>
    <r>
      <rPr>
        <sz val="10"/>
        <color theme="1"/>
        <rFont val="Arial"/>
        <family val="2"/>
      </rPr>
      <t xml:space="preserve">
</t>
    </r>
    <r>
      <rPr>
        <b/>
        <sz val="10"/>
        <color theme="1"/>
        <rFont val="Arial"/>
        <family val="2"/>
      </rPr>
      <t>Nachhaltige Mobilität</t>
    </r>
    <r>
      <rPr>
        <sz val="10"/>
        <color theme="1"/>
        <rFont val="Arial"/>
        <family val="2"/>
      </rPr>
      <t xml:space="preserve">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t>
    </r>
  </si>
  <si>
    <r>
      <rPr>
        <b/>
        <sz val="10"/>
        <color rgb="FF3C4981"/>
        <rFont val="Arial"/>
        <family val="2"/>
      </rPr>
      <t>Eigenversorgung der Ladeinfrastruktur</t>
    </r>
    <r>
      <rPr>
        <sz val="10"/>
        <color theme="1"/>
        <rFont val="Arial"/>
        <family val="2"/>
      </rPr>
      <t xml:space="preserve">
Die Ladestationen im Außenraum die einem Gebäude zugeordnet sind (Private Stellplätze) am Standort/im Quartier werden durch am Standort gewonnen Strom gespeist.
</t>
    </r>
  </si>
  <si>
    <r>
      <rPr>
        <b/>
        <sz val="10"/>
        <color rgb="FF3C4981"/>
        <rFont val="Arial"/>
        <family val="2"/>
      </rPr>
      <t>Fahrzeugsharing Angebote</t>
    </r>
    <r>
      <rPr>
        <sz val="10"/>
        <color theme="1"/>
        <rFont val="Arial"/>
        <family val="2"/>
      </rPr>
      <t xml:space="preserve">
Es gibt ein Sharing-Angebot für motorisierte Fahrzeuge (Kommerzielles/Privates Sharing, Werksfahrzeuge, etc) im Quartier/am Standort oder im direkten Umfeld (max. 5 Gehminuten). 
- Fahrzeugsharingangebot 1 (5 Punkte)
- Fahrzeugsharingangebot 2 (5 Punkte)
</t>
    </r>
  </si>
  <si>
    <r>
      <rPr>
        <b/>
        <sz val="10"/>
        <color rgb="FF3C4981"/>
        <rFont val="Arial"/>
        <family val="2"/>
      </rPr>
      <t>ÖPNV-Erschließungsqualität</t>
    </r>
    <r>
      <rPr>
        <sz val="10"/>
        <color theme="1"/>
        <rFont val="Arial"/>
        <family val="2"/>
      </rPr>
      <t xml:space="preserve">
Prozentualer Anteil der Gebäude (Gemessen an BGF) die innerhalb von 350 m Luftlinie eine ÖPNV-Haltestelle erreichen können (Bus, S-Bahn, Tram)
</t>
    </r>
  </si>
  <si>
    <r>
      <rPr>
        <b/>
        <sz val="10"/>
        <color rgb="FF3C4981"/>
        <rFont val="Arial"/>
        <family val="2"/>
      </rPr>
      <t>Angebot Bus- und Bahnlinien</t>
    </r>
    <r>
      <rPr>
        <sz val="10"/>
        <color theme="1"/>
        <rFont val="Arial"/>
        <family val="2"/>
      </rPr>
      <t xml:space="preserve">
Anzahl der Bus- und Bahnlinien im Quartier bzw. auf den direkt das Quartier / den Standort begrenzenden Verkehrsflächen.
</t>
    </r>
  </si>
  <si>
    <r>
      <rPr>
        <b/>
        <sz val="10"/>
        <color rgb="FF3C4981"/>
        <rFont val="Arial"/>
        <family val="2"/>
      </rPr>
      <t>Erreichbarkeit von intermodalen Plattformen vom Quartier aus</t>
    </r>
    <r>
      <rPr>
        <sz val="10"/>
        <color theme="1"/>
        <rFont val="Arial"/>
        <family val="2"/>
      </rPr>
      <t xml:space="preserve">
Prozentualer Anteil der Gebäude (Gemessen an BGF) / Prozentualer Anteil der Werkstore/-zugänge  die innerhalb von 350 m Luftlinie eine Intermodale Plattform erreichen können (mind. 3 unterschiedliche Verkehrsmittel, z. B. S-Bahn, Stadt-/Straßenbahn, Bus, Fahrradverleih)
</t>
    </r>
  </si>
  <si>
    <r>
      <rPr>
        <b/>
        <sz val="10"/>
        <color rgb="FF3C4981"/>
        <rFont val="Arial"/>
        <family val="2"/>
      </rPr>
      <t>Öffentliche Verkehrsmittel</t>
    </r>
    <r>
      <rPr>
        <sz val="10"/>
        <color theme="1"/>
        <rFont val="Arial"/>
        <family val="2"/>
      </rPr>
      <t xml:space="preserve">
Zugang zum nächstgelegenen Bahnhof (S-Bahn, Regional-und/oder Fernverkehr) mit öffentlichen Verkehrsmitteln, mit dem Fahrrad oder zu Fuß.
</t>
    </r>
  </si>
  <si>
    <r>
      <rPr>
        <b/>
        <sz val="10"/>
        <color rgb="FF3C4981"/>
        <rFont val="Arial"/>
        <family val="2"/>
      </rPr>
      <t>Takt ÖPNV</t>
    </r>
    <r>
      <rPr>
        <sz val="10"/>
        <color theme="1"/>
        <rFont val="Arial"/>
        <family val="2"/>
      </rPr>
      <t xml:space="preserve">
Durchschnittlicher Takt aller ÖPNV-Linien werktags zwischen 6 und 19 Uhr. Beziehungsweise an die Schichtwechsel angepasste ÖPNV Taktung.
</t>
    </r>
  </si>
  <si>
    <r>
      <rPr>
        <b/>
        <sz val="10"/>
        <color rgb="FF3C4981"/>
        <rFont val="Arial"/>
        <family val="2"/>
      </rPr>
      <t>Bauliche oder Betriebliche Maßnahmen</t>
    </r>
    <r>
      <rPr>
        <sz val="10"/>
        <color theme="1"/>
        <rFont val="Arial"/>
        <family val="2"/>
      </rPr>
      <t xml:space="preserve">
- Maßnahme 1 (Siehe Methode für Beispielemaßnahmen) (4 Punkte)
- Maßnahme 2 (Siehe Methode für Beispielemaßnahmen) (4 Punkte)
</t>
    </r>
  </si>
  <si>
    <r>
      <rPr>
        <b/>
        <sz val="10"/>
        <color rgb="FF3C4981"/>
        <rFont val="Arial"/>
        <family val="2"/>
      </rPr>
      <t>Gestaltung der ÖPNV-Haltestellen</t>
    </r>
    <r>
      <rPr>
        <sz val="10"/>
        <color theme="1"/>
        <rFont val="Arial"/>
        <family val="2"/>
      </rPr>
      <t xml:space="preserve">
Umsetzung von Inhalten aus der nutzungsspezifischen Beschreibung der Methode
- Haltestelle verfügt über Überdachung, Beleuchtung, Barrierefreiheit, Sitzgelegenheiten und dynamische Haltestelleninformationen (2 Punkte)
- Zusätzliches (gestalterisches) Haltestellenelement (3 Punkte)
- Zusätzliches (gestalterisches) Haltestellenelement (3 Punkte)
</t>
    </r>
  </si>
  <si>
    <r>
      <rPr>
        <b/>
        <sz val="10"/>
        <color rgb="FF4DAA50"/>
        <rFont val="Arial"/>
        <family val="2"/>
      </rPr>
      <t>AGENDA 2030 BONUS – KLIMASCHUTZZIELE</t>
    </r>
    <r>
      <rPr>
        <sz val="10"/>
        <color theme="1"/>
        <rFont val="Arial"/>
        <family val="2"/>
      </rPr>
      <t xml:space="preserve">
</t>
    </r>
    <r>
      <rPr>
        <b/>
        <sz val="10"/>
        <color theme="1"/>
        <rFont val="Arial"/>
        <family val="2"/>
      </rPr>
      <t>Ambition zum Erreichen klimaneutraler  Logistik</t>
    </r>
    <r>
      <rPr>
        <sz val="10"/>
        <color theme="1"/>
        <rFont val="Arial"/>
        <family val="2"/>
      </rPr>
      <t xml:space="preserve">
Es gibt ein Konzept zur Reduktion der Logistik bedingten CO2-Emissionen und es wurden Maßnahmen für die quartiers-/standortinterne Logistik umgesetzt.
</t>
    </r>
  </si>
  <si>
    <r>
      <rPr>
        <b/>
        <sz val="10"/>
        <color rgb="FF3C4981"/>
        <rFont val="Arial"/>
        <family val="2"/>
      </rPr>
      <t>Rad-/Fußgängerverkehr fördernde Mobilitätselemente</t>
    </r>
    <r>
      <rPr>
        <sz val="10"/>
        <color theme="1"/>
        <rFont val="Arial"/>
        <family val="2"/>
      </rPr>
      <t xml:space="preserve">
Pro (innovativem) Mobilitätselement können 10 Punkte angerechnet werden. Beispiele sind unter Methode Indikator 1 aufgeführt.
</t>
    </r>
  </si>
  <si>
    <r>
      <rPr>
        <b/>
        <sz val="10"/>
        <color rgb="FF3C4981"/>
        <rFont val="Arial"/>
        <family val="2"/>
      </rPr>
      <t>Qualität der Abstellanlagen</t>
    </r>
    <r>
      <rPr>
        <sz val="10"/>
        <color theme="1"/>
        <rFont val="Arial"/>
        <family val="2"/>
      </rPr>
      <t xml:space="preserve">
- Diebstahlsicherheit an der Fahrradabstellanlage/-stellplätze vorhanden (2 Punkte)
- Vandalismussicherheit an der Fahrradabstellanlage/-stellplätze vorhanden (2 Punkte)
- Wetterschutz der Abstellanlage / -plätze vorhanden (min. 80 %) (2 Punkte)
- Beleuchtung der Abstellanlage / -plätze vorhanden (min. 80 %) (2 Punkte)
- Stromanschluss für Pedelecs (bei mehr als 50 % der Abstellanlagen) (2 Punkte)
- Einbindung der Ladestationen in ein roamingfähiges Abrechnungssystem (2 Punkte)
- Fahrradreparatureinrichtung die mindestens in zehn Gehminuten von 70 % der Gebäude aus erreichbar ist). Punkte können entsprechend der Ausstattung vergeben werden: 
   * Wettergeschütz, gut ausgeleuchtet und ggf. beheizt (3 Punkte)
   * die für Fahrradreparaturen üblichen Werkzeuge müssen
     bereitgehalten werden (2 Punkte)
   * ein Handwaschbecken (3 Punkte)
- jede weitere Maßnahme (2 Punkte)
</t>
    </r>
  </si>
  <si>
    <t>Auswirkung partizipativer Prozesse auf Gesamtkonzept</t>
  </si>
  <si>
    <t>Beiträge partizipativer Prozesse zur Nachhaltigkeit</t>
  </si>
  <si>
    <t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(pro wesentlichem Beitrag aber max. 30 Punkte) vergeben werden, wenn sie für die Umsetzung verbindlich ausgewiesen sind. Diese Beiträge sind im Einzelnen zu belegen.
</t>
  </si>
  <si>
    <r>
      <rPr>
        <b/>
        <sz val="10"/>
        <color rgb="FF3C4981"/>
        <rFont val="Arial"/>
        <family val="2"/>
      </rPr>
      <t>Information</t>
    </r>
    <r>
      <rPr>
        <sz val="10"/>
        <color theme="1"/>
        <rFont val="Arial"/>
        <family val="2"/>
      </rPr>
      <t xml:space="preserve">
- Zielgruppen: Bürgerschaft (Bürgerschaft, Interessenvertreter, lokale Experten, öffentliche Einrichtungen), zukünftige Nutzer (Private, Unternehmen, Vereine etc.),Kommune, Lokalpolitik, Interessenvertreter, lokale Experten, Unternehmen intern (Betriebsrat, Mitarbeiter)
- Gegenstand: Information über das Projekt und Auswirkungen auf das Umfeld durch Projektpräsentationen, Projekthomepage und Newsletter o.Ä.
</t>
    </r>
  </si>
  <si>
    <r>
      <rPr>
        <b/>
        <sz val="10"/>
        <color rgb="FF3C4981"/>
        <rFont val="Arial"/>
        <family val="2"/>
      </rPr>
      <t>Konzeptuelle Integration</t>
    </r>
    <r>
      <rPr>
        <sz val="10"/>
        <color theme="1"/>
        <rFont val="Arial"/>
        <family val="2"/>
      </rPr>
      <t xml:space="preserve">
- Zielgruppen: wie 1.3
- Gegenstand: wie 1.3, aber institutionalisiert. Einbindung in die aktive Entscheidungsfindung bezüglich des Konzepts, der Rahmenbedingungen und Nachhaltigkeitsstandards nach DGNB-Kriterien durch direkte Demokratie mittels Bürgerentscheid oder Abstimmungen, durch Nutzer selbstverwaltete Budgets für Umsetzungen etc.
</t>
    </r>
  </si>
  <si>
    <r>
      <rPr>
        <b/>
        <sz val="10"/>
        <color rgb="FF3C4981"/>
        <rFont val="Arial"/>
        <family val="2"/>
      </rPr>
      <t>Information</t>
    </r>
    <r>
      <rPr>
        <sz val="10"/>
        <color theme="1"/>
        <rFont val="Arial"/>
        <family val="2"/>
      </rPr>
      <t xml:space="preserve">
- Zielgruppen und Gegenstand: wie 1.1
</t>
    </r>
  </si>
  <si>
    <r>
      <rPr>
        <b/>
        <sz val="10"/>
        <color rgb="FF3C4981"/>
        <rFont val="Arial"/>
        <family val="2"/>
      </rPr>
      <t>Konsultative Nutzerbeteiligung</t>
    </r>
    <r>
      <rPr>
        <sz val="10"/>
        <color theme="1"/>
        <rFont val="Arial"/>
        <family val="2"/>
      </rPr>
      <t xml:space="preserve">
- Zielgruppen und Gegenstand: wie 1.2
</t>
    </r>
  </si>
  <si>
    <r>
      <rPr>
        <b/>
        <sz val="10"/>
        <color rgb="FF3C4981"/>
        <rFont val="Arial"/>
        <family val="2"/>
      </rPr>
      <t>Mitbestimmung</t>
    </r>
    <r>
      <rPr>
        <sz val="10"/>
        <color theme="1"/>
        <rFont val="Arial"/>
        <family val="2"/>
      </rPr>
      <t xml:space="preserve">
- Zielgruppen und Gegenstand: wie 1.3
</t>
    </r>
  </si>
  <si>
    <r>
      <rPr>
        <b/>
        <sz val="10"/>
        <color rgb="FF3C4981"/>
        <rFont val="Arial"/>
        <family val="2"/>
      </rPr>
      <t>Konzeptuelle Integration</t>
    </r>
    <r>
      <rPr>
        <sz val="10"/>
        <color theme="1"/>
        <rFont val="Arial"/>
        <family val="2"/>
      </rPr>
      <t xml:space="preserve">
- Zielgruppen und Gegenstand: wie 1.4
</t>
    </r>
  </si>
  <si>
    <r>
      <rPr>
        <b/>
        <sz val="10"/>
        <color rgb="FF3C4981"/>
        <rFont val="Arial"/>
        <family val="2"/>
      </rPr>
      <t>Mitbestimmung</t>
    </r>
    <r>
      <rPr>
        <sz val="10"/>
        <color theme="1"/>
        <rFont val="Arial"/>
        <family val="2"/>
      </rPr>
      <t xml:space="preserve">
- Zielgruppen und Gegenstand: wie 1.3
- Gegenstand: aktive Einflussmöglichkeiten auf Konzept, Realisierung und Nachhaltigkeitsstandards nach DGNB-Kriterien des gesamten Architekturprojektes über die eigene Wohnung, das Büro etc. hinaus durch Planungswerkstätten, Beteiligung in Wettbewerbspreisgerichten etc.
- Bei zusätzlichem Tragen einer Mitverantwortung z.B. durch am Unternehmen wirtschaftlich beteilige Mitarbeiter und durch Beteiligung an der  ökonomischen Realisierung und Mitentscheidungsmöglichkeiten.
</t>
    </r>
  </si>
  <si>
    <r>
      <rPr>
        <b/>
        <sz val="10"/>
        <color rgb="FF3C4981"/>
        <rFont val="Arial"/>
        <family val="2"/>
      </rPr>
      <t>Konzeptuelle Integration</t>
    </r>
    <r>
      <rPr>
        <sz val="10"/>
        <color theme="1"/>
        <rFont val="Arial"/>
        <family val="2"/>
      </rPr>
      <t xml:space="preserve">
- Zielgruppen und Gegenstand: wie 1.4
- Gegenstand: Möglichkeit, sich an der ökonomischen Realisierung des Projekts zu beteiligen, Entscheidungsmöglichkeit zu Konzeption, Gestaltung und Nachhaltigkeitsstandards nach DGNB-Kriterien (Bauherrengemeinschaften, Genossenschaften, Bau durch Beteiligungsgesellschaften von Mitarbeitern etc.)
</t>
    </r>
  </si>
  <si>
    <r>
      <rPr>
        <b/>
        <sz val="10"/>
        <color rgb="FF3C4981"/>
        <rFont val="Arial"/>
        <family val="2"/>
      </rPr>
      <t>Information</t>
    </r>
    <r>
      <rPr>
        <sz val="10"/>
        <color theme="1"/>
        <rFont val="Arial"/>
        <family val="2"/>
      </rPr>
      <t xml:space="preserve">
- Zielgruppen: Nutzer des Quartiers
- Gegenstand: Information über Quartiersbetrieb und Quartiersmanagement inklusive Nachhaltigkeitsaspekte durch Nutzerinformationssysteme. Direkte, verständliche und gut zugängliche Informationen über technische oder organisatorische Systeme wie Internetplattformen, Infobox, Quartierszeitung etc
</t>
    </r>
  </si>
  <si>
    <r>
      <rPr>
        <b/>
        <sz val="10"/>
        <color rgb="FF3C4981"/>
        <rFont val="Arial"/>
        <family val="2"/>
      </rPr>
      <t>Konsultative Nutzerbeteiligung</t>
    </r>
    <r>
      <rPr>
        <sz val="10"/>
        <color theme="1"/>
        <rFont val="Arial"/>
        <family val="2"/>
      </rPr>
      <t xml:space="preserve">
- Zielgruppen: Nutzer des Quartiers
- Gegenstand: Möglichkeit für Anregungen und Kritik zu Quartiersbetrieb und –management, inklusive Nachhaltigkeitsaspekte zu geben (z. B. zu Unterhalt und Pflege der öffentlichen Grünflächen, Abfallmanagement, Sicherheitsaspekte, Nutzerversammlungen, Events)
</t>
    </r>
  </si>
  <si>
    <r>
      <rPr>
        <b/>
        <sz val="10"/>
        <color rgb="FF3C4981"/>
        <rFont val="Arial"/>
        <family val="2"/>
      </rPr>
      <t>Mitbestimmung</t>
    </r>
    <r>
      <rPr>
        <sz val="10"/>
        <color theme="1"/>
        <rFont val="Arial"/>
        <family val="2"/>
      </rPr>
      <t xml:space="preserve">
- Zielgruppen: Nutzer des Quartiers
- Gegenstand: Möglichkeit für Anregungen und Kritik zu Quartiersbetrieb und –management, inklusive Nachhaltigkeitsaspekte zu geben (z. B. zu Unterhalt und Pflege der öffentlichen Grünflächen, Abfallmanagement, Sicherheitsaspekte, Nutzerversammlungen, Events)
</t>
    </r>
  </si>
  <si>
    <r>
      <rPr>
        <b/>
        <sz val="10"/>
        <color rgb="FF3C4981"/>
        <rFont val="Arial"/>
        <family val="2"/>
      </rPr>
      <t>Konzeptuelle Integration</t>
    </r>
    <r>
      <rPr>
        <sz val="10"/>
        <color theme="1"/>
        <rFont val="Arial"/>
        <family val="2"/>
      </rPr>
      <t xml:space="preserve">
- Zielgruppen: Nutzer des Quartiers
- Gegenstand: Schaffung von Rahmenbedingungen, die die Möglichkeit bieten, eigene, gemeinschaftliche Initiativen zu ergreifen und selbstbestimmt Maßnahmen umzusetzen (z. B. Räumlichkeiten, Quartiersverfügungsfonds, Pflegepartnerschaften, Beteiligung in Betreibergesellschaften der 
Infrastruktur, „Community Trusts“)
</t>
    </r>
  </si>
  <si>
    <r>
      <rPr>
        <b/>
        <sz val="10"/>
        <color rgb="FF3C4981"/>
        <rFont val="Arial"/>
        <family val="2"/>
      </rPr>
      <t>Rahmenplanung und städtebauliche Konzeption</t>
    </r>
    <r>
      <rPr>
        <sz val="10"/>
        <color theme="1"/>
        <rFont val="Arial"/>
        <family val="2"/>
      </rPr>
      <t xml:space="preserve">
- Qualitätsstufe 1 – gering (3 Punkte)
Die Anregungen und Vorschläge aus der partizipativen Phase sind klar und transparent aufgelistet sowie im Planungsprozess behandelt und ggf. weitergeführt.
Der Abwägungsprozess und die Entscheidungsergebnisse für die einzelnen Vorschläge sind dokumentiert
ODER
- Qualitätsstufe 2 – mittel (6 Punkte)
Wie Qualitätsstufe 1 zzgl.: Es wurden Vorschläge umgesetzt
ODER
- Qualitätsstufe 3 – stark (16 Punkte)
Wie Qualitätsstufe 1 zzgl.: Die Umsetzung wird nachverfolgt und evaluiert. Ggf. werden Optimierungen vorgenommen.
</t>
    </r>
  </si>
  <si>
    <r>
      <rPr>
        <b/>
        <sz val="10"/>
        <color rgb="FF3C4981"/>
        <rFont val="Arial"/>
        <family val="2"/>
      </rPr>
      <t>Planung und Realisierung öffentlicher Räume</t>
    </r>
    <r>
      <rPr>
        <sz val="10"/>
        <color theme="1"/>
        <rFont val="Arial"/>
        <family val="2"/>
      </rPr>
      <t xml:space="preserve">
- Qualitätsstufe 1 – gering (2 Punkte)
Mindestens 20 % der Anregungen und Vorschläge des partizipativen Prozesses lassen sich als Einzelmaßnahmen wiederfinden.
ODER
- Qualitätsstufe 2 – mittel (5 Punkte)
Mindestens 50 % der Anregungen und Vorschläge des partizipativen Prozesses haben den Gesamtansatz beeinflusst und lassen sich als Einzelmaßnahmen wiederfinden.
ODER
- Qualitätsstufe 3 – stark (7 Punkte)
Mehr als 50 % (Erläuterung siehe Indikator 2)
</t>
    </r>
  </si>
  <si>
    <r>
      <rPr>
        <b/>
        <sz val="10"/>
        <color rgb="FF3C4981"/>
        <rFont val="Arial"/>
        <family val="2"/>
      </rPr>
      <t>Planung und Realisierung Architektur und Nutzung</t>
    </r>
    <r>
      <rPr>
        <sz val="10"/>
        <color theme="1"/>
        <rFont val="Arial"/>
        <family val="2"/>
      </rPr>
      <t xml:space="preserve">
- Qualitätsstufe 1 – gering (2 Punkte)
Mindestens 20 % (Erläuterung siehe Indikator 2)
ODER
- Qualitätsstufe 2 – mittel (5 Punkte)
Mindestens 50 % (Erläuterung siehe Indikator 2)
ODER
- Qualitätsstufe 2 – mittel (7 Punkte)
Mindestens 50 % (Erläuterung siehe Indikator 2)
</t>
    </r>
  </si>
  <si>
    <t>Punkte Gesamtkriterium</t>
  </si>
  <si>
    <r>
      <rPr>
        <b/>
        <sz val="10"/>
        <color rgb="FF00ACE9"/>
        <rFont val="Arial"/>
        <family val="2"/>
      </rPr>
      <t xml:space="preserve">INNOVATIONSRAUM </t>
    </r>
    <r>
      <rPr>
        <sz val="10"/>
        <color theme="1"/>
        <rFont val="Arial"/>
        <family val="2"/>
      </rPr>
      <t xml:space="preserve">
Neuartige Konzepte, Verfahren und Technologien zur signifikanten Reduktion der Lärm- oder Staubbelastung für die Baustellenarbeiter und die Umgebung können alternativ berechnet werden.
</t>
    </r>
  </si>
  <si>
    <t>65% bis &lt; 80%</t>
  </si>
  <si>
    <t>50% bis &lt; 65%</t>
  </si>
  <si>
    <t>PLATIN</t>
  </si>
  <si>
    <t>GOLD</t>
  </si>
  <si>
    <t>SILBR</t>
  </si>
  <si>
    <t>≥ 80%</t>
  </si>
  <si>
    <t>* gilt für alle Qualitäten (Hauptkriteriengruppen)</t>
  </si>
  <si>
    <t>≥ 65%</t>
  </si>
  <si>
    <t>≥ 50%</t>
  </si>
  <si>
    <t>≥ 35%</t>
  </si>
  <si>
    <t>Prüfungstool</t>
  </si>
  <si>
    <t>Kriterien</t>
  </si>
  <si>
    <t>1. Eingangskontrolle</t>
  </si>
  <si>
    <t xml:space="preserve">  1. Prüfer</t>
  </si>
  <si>
    <t xml:space="preserve">  2. Prüfer</t>
  </si>
  <si>
    <t>Kommentar</t>
  </si>
  <si>
    <t>2. Lebenszyklus</t>
  </si>
  <si>
    <t>3. Prozess &amp; Architektur (PA)</t>
  </si>
  <si>
    <t>4. PG9</t>
  </si>
  <si>
    <t>1. PRÜFUNG</t>
  </si>
  <si>
    <t>2. PRÜFUNG</t>
  </si>
  <si>
    <t>3. PRÜFUNG</t>
  </si>
  <si>
    <t>Datum, Name</t>
  </si>
  <si>
    <t>Gesamterfüllungsgrad eingereicht</t>
  </si>
  <si>
    <t>Gesamterfüllungsgrad nach 1. Prüfung</t>
  </si>
  <si>
    <t>Gesamterfüllungsgrad nach 2. Prüfung</t>
  </si>
  <si>
    <t>Gesamterfüllungsgrad nach 3. Prüfung</t>
  </si>
  <si>
    <t>spezifischer Bedeutungsfaktor</t>
  </si>
  <si>
    <t>Checklistenpunkte
1. Prüfung</t>
  </si>
  <si>
    <t>SOC1.1</t>
  </si>
  <si>
    <t>Gewichtung</t>
  </si>
  <si>
    <t>Ökologische Qualität (ENV)</t>
  </si>
  <si>
    <t>Ökonomische Qualität (ECO)</t>
  </si>
  <si>
    <t>Soziokulturelle und Funktionale Qualität (SOC)</t>
  </si>
  <si>
    <t>Technische Qualität (TEC)</t>
  </si>
  <si>
    <t>Prozessqualität (PRO)</t>
  </si>
  <si>
    <t>---------------------------------------------------------------------------------------------------------------------------------------------------</t>
  </si>
  <si>
    <t>Nebenanforderung</t>
  </si>
  <si>
    <t>Medaille</t>
  </si>
  <si>
    <t>© DGNB 2019</t>
  </si>
  <si>
    <t>Mikroklima – Thermischer Komfort im Freiraum</t>
  </si>
  <si>
    <t>Basiskomfort</t>
  </si>
  <si>
    <t>Windkomfort</t>
  </si>
  <si>
    <t>Gefühlte Temperatur</t>
  </si>
  <si>
    <r>
      <rPr>
        <b/>
        <sz val="10"/>
        <color rgb="FF3C4981"/>
        <rFont val="Arial"/>
        <family val="2"/>
      </rPr>
      <t>Analyse Mikroklima</t>
    </r>
    <r>
      <rPr>
        <sz val="10"/>
        <color theme="1"/>
        <rFont val="Arial"/>
        <family val="2"/>
      </rPr>
      <t xml:space="preserve">
Analyse der mikroklimatischen Bedingungen in den geplanten 
Freiräumen.
</t>
    </r>
  </si>
  <si>
    <r>
      <rPr>
        <b/>
        <sz val="10"/>
        <color rgb="FF3C4981"/>
        <rFont val="Arial"/>
        <family val="2"/>
      </rPr>
      <t>Sonneneinstrahlung am 21. Dezember in Stunden</t>
    </r>
    <r>
      <rPr>
        <sz val="10"/>
        <color theme="1"/>
        <rFont val="Arial"/>
        <family val="2"/>
      </rPr>
      <t xml:space="preserve">
- ≥ 1 h (Mindestens 80 % der Flächen im Untersuchungsgebiet erhalten am 21. Dez. 1 Stunde Sonneneinstrahlung) (5 Punkte)
ODER
- ≥ 3 h (Mindestens 80 % der Flächen im Untersuchungsgebiet erhalten am 21. Dez. 3 Stunden Sonneneinstrahlung) (10 Punkte)
</t>
    </r>
  </si>
  <si>
    <r>
      <rPr>
        <b/>
        <sz val="10"/>
        <color rgb="FF3C4981"/>
        <rFont val="Arial"/>
        <family val="2"/>
      </rPr>
      <t>Verschattung der Untersuchungsbereiche in Prozent</t>
    </r>
    <r>
      <rPr>
        <sz val="10"/>
        <color theme="1"/>
        <rFont val="Arial"/>
        <family val="2"/>
      </rPr>
      <t xml:space="preserve">
≥ 10 % der Flächen im Untersuchungsbereich haben einen sommerlichen Sonnenschutz über Bäume, starre oder adaptive/flexible Verschattungssysteme oder Gebäude. (5 Punkte)
ODER
≥ 30 % der Flächen im Untersuchungsbereich haben einen sommerlichen Sonnenschutz über Bäume, starre oder adaptive/flexible Verschattungssysteme oder Gebäude. (10 Punkte)
</t>
    </r>
  </si>
  <si>
    <r>
      <rPr>
        <b/>
        <sz val="10"/>
        <color rgb="FF3C4981"/>
        <rFont val="Arial"/>
        <family val="2"/>
      </rPr>
      <t>Windschutzmaßnahmen</t>
    </r>
    <r>
      <rPr>
        <sz val="10"/>
        <color theme="1"/>
        <rFont val="Arial"/>
        <family val="2"/>
      </rPr>
      <t xml:space="preserve">
Die Bebauungsstruktur ist stadtklimatisch optimiert, sodass negative Effekte für die Aufenthaltsbereiche (Windtunneleffekte, Umgang mit Fallwinden von Hochhäusern etc.) vermieden werden. Bei Flächen, die von Windböen betroffen sind, werden Windschutzmaßnahmen eingesetzt.
</t>
    </r>
  </si>
  <si>
    <r>
      <rPr>
        <b/>
        <sz val="10"/>
        <color rgb="FF3C4981"/>
        <rFont val="Arial"/>
        <family val="2"/>
      </rPr>
      <t>Maßnahmen Verbesserung Mikroklima</t>
    </r>
    <r>
      <rPr>
        <sz val="10"/>
        <color theme="1"/>
        <rFont val="Arial"/>
        <family val="2"/>
      </rPr>
      <t xml:space="preserve">
Die Maßnahmen aus der Analyse wurden geplant/umgesetzt und deren Wirkung gutachterlich bestätigt:
Zwischen 33 und 100% der notwendigen Maßnahmen werden umgesetzt
</t>
    </r>
  </si>
  <si>
    <r>
      <rPr>
        <b/>
        <sz val="10"/>
        <color rgb="FF3C4981"/>
        <rFont val="Arial"/>
        <family val="2"/>
      </rPr>
      <t>Untersuchung in allen Kategorien</t>
    </r>
    <r>
      <rPr>
        <sz val="10"/>
        <color theme="1"/>
        <rFont val="Arial"/>
        <family val="2"/>
      </rPr>
      <t xml:space="preserve">
- Untersuchung mit Aufteilung in alle Kategorien (A–D). Die Anforderungen werden nicht eingehalten oder sind nicht nachgewiesen. (3 Punkte)
ODER
- Untersuchung mit Aufteilung in alle Kategorien (A–D). Die Anforderungen werden im Mittelwert über alle untersuchten Aufenthaltsbereiche zu mindestens 50 % erfüllt. (5 Punkte)
ODER
- Untersuchung mit Aufteilung in alle Kategorien (A–D). Die Anforderungen werden in jedem einzelnen untersuchten Aufenthaltsbereich zu mindestens 80 % erfüllt. (10 Punkte)
</t>
    </r>
  </si>
  <si>
    <r>
      <rPr>
        <b/>
        <sz val="10"/>
        <color rgb="FF3C4981"/>
        <rFont val="Arial"/>
        <family val="2"/>
      </rPr>
      <t>Prozentuale Reduzierung zu warmen oder kalten Zeiten (Stundenzahl h) im Vergleich zur Basisvariante</t>
    </r>
    <r>
      <rPr>
        <sz val="10"/>
        <color theme="1"/>
        <rFont val="Arial"/>
        <family val="2"/>
      </rPr>
      <t xml:space="preserve">
≥ 40 % (3 Punkte)
ODER
≥ 30 % (7 Punkte)
ODER
≥ 50 % (14 Punkte)
ODER
Nachweislich keine Stresstage vorhanden oder nachweislich Reduzierung auf 0 Stresstage (20 Punkte)
</t>
    </r>
  </si>
  <si>
    <t xml:space="preserve">Die Ermittlung Bewertungspunkte die aufgrund der zusätzlichen Lärmbeeinträchtigung abgezogen werden erfolgt nach Formel 1 (vgl. Kriterium)
(Tragen Sie bitte eine postivie Zahl ein, diese wird von den bisher erreichten Punkten abgezogen)
</t>
  </si>
  <si>
    <r>
      <rPr>
        <b/>
        <sz val="10"/>
        <color rgb="FF3C4981"/>
        <rFont val="Arial"/>
        <family val="2"/>
      </rPr>
      <t>Berücksichtigung des Belüftungspotentials</t>
    </r>
    <r>
      <rPr>
        <sz val="10"/>
        <color theme="1"/>
        <rFont val="Arial"/>
        <family val="2"/>
      </rPr>
      <t xml:space="preserve">
Es ist eine nachgewiesene Planungsoptimierung mit einem Belegen des Planungsansatzes und einer entsprechenden Argumentation anhand einer Klimafunktionskarte vorhanden. (7,5 Punkte)
</t>
    </r>
    <r>
      <rPr>
        <b/>
        <sz val="10"/>
        <color theme="1"/>
        <rFont val="Arial"/>
        <family val="2"/>
      </rPr>
      <t>ODER</t>
    </r>
    <r>
      <rPr>
        <sz val="10"/>
        <color theme="1"/>
        <rFont val="Arial"/>
        <family val="2"/>
      </rPr>
      <t xml:space="preserve">
Die  kaltluftproduzierende Flächen und Abflüssen anhand eines digitalen Stadtmodells (DGM) und der Flächennutzung der Stadt identifiziert, sowie der Nachweis erbracht, dass diese Belüftung durch das neue Quartier nicht gestört wird. (15 Punkte)
</t>
    </r>
  </si>
  <si>
    <r>
      <rPr>
        <b/>
        <sz val="10"/>
        <color rgb="FF3C4981"/>
        <rFont val="Arial"/>
        <family val="2"/>
      </rPr>
      <t xml:space="preserve">Gutachten zum Belüftungspotential
</t>
    </r>
    <r>
      <rPr>
        <sz val="10"/>
        <color theme="1"/>
        <rFont val="Arial"/>
        <family val="2"/>
      </rPr>
      <t xml:space="preserve">Gutachten zur Modellierung wurde erstellt und umgesetzt. 
</t>
    </r>
  </si>
  <si>
    <t xml:space="preserve">Für das Plangebiet ist eine speziell auf das Quartier bezogene Klimaanpassungsstrategie vorhanden. 
</t>
  </si>
  <si>
    <t>AGENDA 2030 BONUS - KLIMAANPASSUNGSSTRATEGIE AUF QUARTIERSEBENE</t>
  </si>
  <si>
    <r>
      <rPr>
        <b/>
        <sz val="10"/>
        <color rgb="FFA5D867"/>
        <rFont val="Arial"/>
        <family val="2"/>
      </rPr>
      <t>CIRCULAR ECONOMY BONUS - WIEDERVERWENDUNG SCHWARZWASSER</t>
    </r>
    <r>
      <rPr>
        <sz val="10"/>
        <color theme="1"/>
        <rFont val="Arial"/>
        <family val="2"/>
      </rPr>
      <t xml:space="preserve">
Durch Kreislaufsysteme im Quartier wird Schwarzwasser separat gesammelt und dezentral aufbereitet und steht zur weiteren Verwendung im Quartier zur Verfügung z. B. für die Bewässerung von Grünanlagen und Nahrungsmittelanbauflächen, Nährstoffnutzung (Terra-Preta-Anlagen, Kompostierung), energetische Nutzung (Biogasanlage),…
</t>
    </r>
  </si>
  <si>
    <t xml:space="preserve">Aufbereitung von Schwarzwasser für Bewässerung
</t>
  </si>
  <si>
    <t xml:space="preserve">Aufbereitung von Schwarzwasser für Nutzungen die über Bewässerung hinaus gehen
</t>
  </si>
  <si>
    <r>
      <rPr>
        <b/>
        <sz val="10"/>
        <color rgb="FFA5D867"/>
        <rFont val="Arial"/>
        <family val="2"/>
      </rPr>
      <t>CIRCULAR ECONOMY BONUS – RÜCKBAUFREUNDLICHE BAUKONSTRUKTION</t>
    </r>
    <r>
      <rPr>
        <sz val="10"/>
        <color theme="1"/>
        <rFont val="Arial"/>
        <family val="2"/>
      </rPr>
      <t xml:space="preserve">
Pro DGNB zertifiziertem Gebäude im Quartier, das beim Kriterium „TEC1.6 Rückbau- und Recyclingfreundlichkeit“ (Nutzungsprofil Gebäude Neubau) mindestens 50 Prozent Erfüllungsgrad erreicht hat, können 2 Punkte angerechnet werden.
</t>
    </r>
  </si>
  <si>
    <r>
      <rPr>
        <b/>
        <sz val="10"/>
        <color rgb="FF3C4981"/>
        <rFont val="Arial"/>
        <family val="2"/>
      </rPr>
      <t>Standortanalyse</t>
    </r>
    <r>
      <rPr>
        <sz val="10"/>
        <color theme="1"/>
        <rFont val="Arial"/>
        <family val="2"/>
      </rPr>
      <t xml:space="preserv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t>
    </r>
  </si>
  <si>
    <r>
      <rPr>
        <b/>
        <sz val="10"/>
        <color rgb="FF3C4981"/>
        <rFont val="Arial"/>
        <family val="2"/>
      </rPr>
      <t>Zielgruppenanalyse</t>
    </r>
    <r>
      <rPr>
        <sz val="10"/>
        <color theme="1"/>
        <rFont val="Arial"/>
        <family val="2"/>
      </rPr>
      <t xml:space="preserve">
- Demografische und soziale Merkmale
- Lebensstil und Freizeitverhalten
- Nachfrageverhalten
- Wirtschaftsbereiche
- Größenmerkmale (gewerbliche Ansiedler)
</t>
    </r>
  </si>
  <si>
    <r>
      <rPr>
        <b/>
        <sz val="10"/>
        <color rgb="FF3C4981"/>
        <rFont val="Arial"/>
        <family val="2"/>
      </rPr>
      <t>Konkurrenzanalyse</t>
    </r>
    <r>
      <rPr>
        <sz val="10"/>
        <color theme="1"/>
        <rFont val="Arial"/>
        <family val="2"/>
      </rPr>
      <t xml:space="preserve">
liegt vor, wenn in der Analyse auf konkurrierende Projekte eingegangen wird und Folgerungen daraus abgeleitet werden.
Inhalte z. B.:
- Wettbewerbsprojekte im Einzugsgebiet der Zielgruppe(n) – Standorte, Größe, Leistungsangebot, Besonderheiten, Kundenkreis, Preispolitik, Werbepolitik, SWOT-Analyse
- Beschreibung der Positionierung des Projektes gegenüber der Konkurrenz
</t>
    </r>
  </si>
  <si>
    <r>
      <rPr>
        <b/>
        <sz val="10"/>
        <color rgb="FF3C4981"/>
        <rFont val="Arial"/>
        <family val="2"/>
      </rPr>
      <t>Marktgerechter Nutzungsmix</t>
    </r>
    <r>
      <rPr>
        <sz val="10"/>
        <color theme="1"/>
        <rFont val="Arial"/>
        <family val="2"/>
      </rPr>
      <t xml:space="preserve">
liegt vor, wenn der umgesetzte Quartiersnutzungsmix eindeutig aus der Marktanalyse ablesbar ist. Hier sind nicht nur die Nutzungen selbst, sondern auch Eigentums- und Mietstrukturen, Haushalts- und Gewerbegrößen gemeint.
</t>
    </r>
  </si>
  <si>
    <r>
      <rPr>
        <b/>
        <sz val="10"/>
        <color rgb="FF3C4981"/>
        <rFont val="Arial"/>
        <family val="2"/>
      </rPr>
      <t>Regelwerk für die Charakteristika von Baukörpern</t>
    </r>
    <r>
      <rPr>
        <sz val="10"/>
        <color theme="1"/>
        <rFont val="Arial"/>
        <family val="2"/>
      </rPr>
      <t xml:space="preserve">
Leitfaden, der über die volumetrischen Vorgaben des Bebauungsplanes hinaus Regeln zur Charakteristik der Volumen enthält (Transparenz, Durchlässigkeit, Massivität, Kanten, Linien etc.) und somit den Gesamteindruck des Gebietes wesentlich beeinflusst.
</t>
    </r>
  </si>
  <si>
    <r>
      <rPr>
        <b/>
        <sz val="10"/>
        <color rgb="FF00ACE9"/>
        <rFont val="Arial"/>
        <family val="2"/>
      </rPr>
      <t>INNOVATIONSRAUM Kunst</t>
    </r>
    <r>
      <rPr>
        <sz val="10"/>
        <color theme="1"/>
        <rFont val="Arial"/>
        <family val="2"/>
      </rPr>
      <t xml:space="preserve">
Realisierung von innovativen Kunstprojekten zur Schaffung identitätsstiftender Merkmale sowie Schaffung von Raum z.B. für Diskussion und Kommunikation, kulturellen Austausch, Förderung der lokalen Kunst- u. Kulturszene etc.
</t>
    </r>
  </si>
  <si>
    <t xml:space="preserve">Bildung 1: Kinderbetreuung und Grundschule (Max. Entfernung Luftlinie 350 m)
</t>
  </si>
  <si>
    <t xml:space="preserve">Bildung 2: Weiterführende oder Berufsbildende Schule (Max. Geh-/Fahrzeit mit ÖPNV 15 Min, Max. Entfernung Luftlinie 1300 m)
</t>
  </si>
  <si>
    <t xml:space="preserve">Freizeit: Kunst und Kultur (Kino, Theater, Galerien, (Werks-)Museen), Bücherei, Quartierszentrum, Bürgerhaus, Jugendraum, Seniorentreff etc. 
(max. Geh-/Fahrzeit mit ÖPNV 10 Min, Max. Entfernung Luftlinie 700 m. Pro Einrichtung 5 Punkte.)
</t>
  </si>
  <si>
    <t xml:space="preserve">Sportstätten: Turn- und Sporthalle, Sportfreigelände/Sportplatz mit Leichtathletik, Hallen- oder Freibad, etc. 
(Max. Geh-/Fahrzeit mit ÖPNV 10 Min, Max. Entfernung Luftlinie 700 m)
</t>
  </si>
  <si>
    <t xml:space="preserve">Nahversorgung 2: Angebot von Gütern des täglichen Bedarfs ist vor Ort vorhanden (ausgenommen Bestellungen von E-Commerce Plattformen).
(Max. Geh-/Fahrzeit mit ÖPNV 10 Min), (Max. Entfernung Luftlinie 700 m)
</t>
  </si>
  <si>
    <t xml:space="preserve">Gastronomie: Restaurant, Café, Bäckerei, Kantine, Mensa, etc. 
(max. Geh-/Fahrzeit mit ÖPNV 10 Min, Max. Entfernung Luftlinie 700 m. Pro Einrichtung 5 Punkte.)
</t>
  </si>
  <si>
    <t xml:space="preserve">Sonstige Dienstleistungen: Bank, Post, (dienstleisterunabhängige) Paketstation, Friseur, Wellness etc. 
(max. Geh-/Fahrzeit mit ÖPNV 10 Min, Max. Entfernung Luftlinie 700 m. Pro Einrichtung 5 Punkte.)
</t>
  </si>
  <si>
    <t>CIRCULAR ECONOMY BONUS – ANGEBOTE FÜR DIE TÄGLICHE VERSORGUNG UND ZUM AUSTAUSCH</t>
  </si>
  <si>
    <t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t>
  </si>
  <si>
    <t xml:space="preserve">Medizinische Versorgung 2: Facharzt, Krankenhaus, etc. (Max. Geh-/Fahrzeit mit ÖPNV 30 Min.)
</t>
  </si>
  <si>
    <t xml:space="preserve">Medizinische Versorgung 1: Allgemeinmediziner, Apotheke, (Max. Geh-/Fahrzeit mit ÖPNV 10 Min.)
- Allgemeinmediziner (7 Punkte)
- Apotheke (3 Punkte)
</t>
  </si>
  <si>
    <r>
      <t xml:space="preserve">Energiepotential
</t>
    </r>
    <r>
      <rPr>
        <sz val="10"/>
        <color theme="1"/>
        <rFont val="Arial"/>
        <family val="2"/>
      </rPr>
      <t>In dem Energiekonzept werden die vorhandenen Energiepotenziale (Abwärme, erneuerbare Energien) und möglichen Vernetzungen mit vorhandener Energieinfrastruktur in der Umgebung analysiert</t>
    </r>
    <r>
      <rPr>
        <b/>
        <sz val="10"/>
        <color rgb="FF3C4981"/>
        <rFont val="Arial"/>
        <family val="2"/>
      </rPr>
      <t xml:space="preserve">
</t>
    </r>
  </si>
  <si>
    <r>
      <rPr>
        <b/>
        <sz val="10"/>
        <color rgb="FF3C4981"/>
        <rFont val="Arial"/>
        <family val="2"/>
      </rPr>
      <t xml:space="preserve">Integraler Energiekreislauf </t>
    </r>
    <r>
      <rPr>
        <sz val="10"/>
        <color theme="1"/>
        <rFont val="Arial"/>
        <family val="2"/>
      </rPr>
      <t xml:space="preserve">
Durch die gemeinsame Planung von Gebäuden und Anlagen werden integrale Energiekreisläufe für Strom,  Wärme und Kälte in signifikantem  Umfang geschaffen. 
- Integraler Energiekreislauf 1 (15 Punkte)
- Integraler Energiekreislauf 2 (15 Punkte)
</t>
    </r>
  </si>
  <si>
    <r>
      <rPr>
        <b/>
        <sz val="10"/>
        <color rgb="FF3C4981"/>
        <rFont val="Arial"/>
        <family val="2"/>
      </rPr>
      <t>Förderung Informations- und Aufklärungskampagnen</t>
    </r>
    <r>
      <rPr>
        <b/>
        <sz val="10"/>
        <color theme="1"/>
        <rFont val="Arial"/>
        <family val="2"/>
      </rPr>
      <t xml:space="preserve">
</t>
    </r>
    <r>
      <rPr>
        <sz val="10"/>
        <color theme="1"/>
        <rFont val="Arial"/>
        <family val="2"/>
      </rPr>
      <t>Förderung von Informations- und Aufklärungskampagnen sowie Veranstaltungen für die im Quartier vorhandenen Nutzergruppen (Bewohner/-innen, Industrie und Gewerbe)</t>
    </r>
    <r>
      <rPr>
        <b/>
        <sz val="10"/>
        <color theme="1"/>
        <rFont val="Arial"/>
        <family val="2"/>
      </rPr>
      <t xml:space="preserve">
</t>
    </r>
  </si>
  <si>
    <t>5.6.</t>
  </si>
  <si>
    <r>
      <rPr>
        <b/>
        <sz val="10"/>
        <color rgb="FF3C4981"/>
        <rFont val="Arial"/>
        <family val="2"/>
      </rPr>
      <t xml:space="preserve">Kompostierung
</t>
    </r>
    <r>
      <rPr>
        <sz val="10"/>
        <color theme="1"/>
        <rFont val="Arial"/>
        <family val="2"/>
      </rPr>
      <t>Einrichten von Anlagen zur Kompostierung des im Quartier (oder im Umfeld) anfallenden kompostierfähigen Abfalls.</t>
    </r>
    <r>
      <rPr>
        <b/>
        <sz val="10"/>
        <color rgb="FF3C4981"/>
        <rFont val="Arial"/>
        <family val="2"/>
      </rPr>
      <t xml:space="preserve">
</t>
    </r>
  </si>
  <si>
    <r>
      <rPr>
        <b/>
        <sz val="10"/>
        <color rgb="FF3C4981"/>
        <rFont val="Arial"/>
        <family val="2"/>
      </rPr>
      <t>Quartiersbezogene Online-Plattform(en)*</t>
    </r>
    <r>
      <rPr>
        <sz val="10"/>
        <color theme="1"/>
        <rFont val="Arial"/>
        <family val="2"/>
      </rPr>
      <t xml:space="preserve">
Es gibt eine oder mehrere online Plattform(en), über die sich die Bewohner/Nutzer eines Quartiers miteinander vernetzen können. Für jede Funktion, die diese Online-Plattform(en) bietet(en) (z.B. Kommunikation, Tauschbörse, Einkaufsgemeinschaft, Solarkataster, E-Partizipation, Kita-Navigator, Car-Sharing, Sportprogramme wie Lauf- Schwimm-, Fahrradgruppen,  freie Ehrenämter, Möglichkeit der Bewohner, die Verwaltung online auf Missstände aufmerksam zu machen …), können 2 PUNKTE vergeben werden (max. 10 PUNKTE). Als Plattform können auch bestehende Online-Netzwerke genutzt werden.
* Voraussetzung für die Anrechnung der Bewertungspunkte ist die Berücksichtigung des Datenschutzes und die Möglichkeit, gespeicherte Daten zu löschen.
</t>
    </r>
  </si>
  <si>
    <r>
      <rPr>
        <b/>
        <sz val="10"/>
        <color rgb="FF3C4981"/>
        <rFont val="Arial"/>
        <family val="2"/>
      </rPr>
      <t xml:space="preserve">Priorisierung des Radverkehrs im Quartier 
</t>
    </r>
    <r>
      <rPr>
        <sz val="10"/>
        <color theme="1"/>
        <rFont val="Arial"/>
        <family val="2"/>
      </rPr>
      <t xml:space="preserve">- Radschnellwege / Fahrradstraßen zur direkten Erschließung (10 Punkte)
UND
- Mindestens 80 Prozent der Gebäude (oder die Werkseingänge) verfügen über öffentlich zugängliche Fahrradständer am und/oder im Gebäude (am Werkstor) (9 Punkte)
</t>
    </r>
  </si>
  <si>
    <r>
      <rPr>
        <b/>
        <sz val="10"/>
        <color rgb="FF3C4981"/>
        <rFont val="Arial"/>
        <family val="2"/>
      </rPr>
      <t>Konsultative Nutzerbeteiligung / Beratung</t>
    </r>
    <r>
      <rPr>
        <sz val="10"/>
        <color theme="1"/>
        <rFont val="Arial"/>
        <family val="2"/>
      </rPr>
      <t xml:space="preserve">
- Zielgruppen: Bürgerschaft, zukünftige Nutzer (Private, Unternehmen, Vereine etc.), Lokalpolitik, Interessenvertreter, lokale Experten
- Gegenstand: Information über das Projekt und Auswirkungen auf das Umfeld durch Projektpräsentationen, Projekthomepage und Newsletter
</t>
    </r>
  </si>
  <si>
    <r>
      <rPr>
        <b/>
        <sz val="10"/>
        <color rgb="FF3C4981"/>
        <rFont val="Arial"/>
        <family val="2"/>
      </rPr>
      <t>Mitbestimmung</t>
    </r>
    <r>
      <rPr>
        <sz val="10"/>
        <color theme="1"/>
        <rFont val="Arial"/>
        <family val="2"/>
      </rPr>
      <t xml:space="preserve">
- Zielgruppen: demokratisch legitimierte Gremien, Immobilienwirtschaft, Beteiligung von Bürgervertretern in Wettbewerbspreisgerichten; Projektkomitees aus Planern, Verwaltung, Politik
- Gegenstand: wie 1.2 zusätzlich. eines aktiven Einflusses auf Konzept, Rahmenbedingungen der Planung und Nachhaltigkeitsstandards nach DGNB-Kriterien durch Planungswerkstatt mit Workshops und Planungstischen; es wird auf intensive Beteiligung geachtet, offene Werkstätten für jedermann oder ähnliche informelle Verfahren
</t>
    </r>
  </si>
  <si>
    <r>
      <rPr>
        <b/>
        <sz val="10"/>
        <color theme="1"/>
        <rFont val="Arial"/>
        <family val="2"/>
      </rPr>
      <t>Partizipative Prozesse - Rahmenplanung und Städtebauliche Konzeptfindung / Wertentwicklungskonzept allgemein</t>
    </r>
    <r>
      <rPr>
        <sz val="10"/>
        <color theme="1"/>
        <rFont val="Arial"/>
        <family val="2"/>
      </rPr>
      <t xml:space="preserve">
(Es können nur die Bewertungspunkte eines Indikators (1.1, 1.2, 1.3 oder 1.4) angerechnet werden.)
(Tragen Sie nur bei dem Indikator einen Wert ein in welchem Sie Punkte erreichen, in alle anderen Indikatoren bitte 0 eintragen!)
</t>
    </r>
  </si>
  <si>
    <r>
      <rPr>
        <b/>
        <sz val="10"/>
        <color theme="1"/>
        <rFont val="Arial"/>
        <family val="2"/>
      </rPr>
      <t>Partizipative Prozesse - Planung und Realisierung öffentlicher Räume / sozialer Räume auf Werksgelände</t>
    </r>
    <r>
      <rPr>
        <sz val="10"/>
        <color theme="1"/>
        <rFont val="Arial"/>
        <family val="2"/>
      </rPr>
      <t xml:space="preserve">
(Es können nur die Bewertungspunkte eines Indikators (2.1, 2.2, 2.3 oder 2.4) angerechnet werden.)
(Tragen Sie nur bei dem Indikator einen Wert ein in welchem Sie Punkte erreichen, in alle anderen Indikatoren bitte 0 eintragen!)</t>
    </r>
  </si>
  <si>
    <r>
      <rPr>
        <b/>
        <sz val="10"/>
        <color theme="1"/>
        <rFont val="Arial"/>
        <family val="2"/>
      </rPr>
      <t>Partizipative Prozesse - Planung und Realisierung Architektur sowie Nutzungskonzept</t>
    </r>
    <r>
      <rPr>
        <sz val="10"/>
        <color theme="1"/>
        <rFont val="Arial"/>
        <family val="2"/>
      </rPr>
      <t xml:space="preserve">
(Es können nur die Bewertungspunkte eines Indikators (3.1, 3.2, 3.3 oder 3.4) angerechnet werden.)
(Tragen Sie nur bei dem Indikator einen Wert ein in welchem Sie Punkte erreichen, in alle anderen Indikatoren bitte 0 eintragen!)</t>
    </r>
  </si>
  <si>
    <r>
      <rPr>
        <b/>
        <sz val="10"/>
        <color theme="1"/>
        <rFont val="Arial"/>
        <family val="2"/>
      </rPr>
      <t>Partizipative Prozesse - Nutzungsphase</t>
    </r>
    <r>
      <rPr>
        <sz val="10"/>
        <color theme="1"/>
        <rFont val="Arial"/>
        <family val="2"/>
      </rPr>
      <t xml:space="preserve">
(Es können nur die Bewertungspunkte eines Indikators (4.1, 4.2, 4.3 oder 4.4) angerechnet werden.)
(Tragen Sie nur bei dem Indikator einen Wert ein in welchem Sie Punkte erreichen, in alle anderen Indikatoren bitte 0 eintragen!)</t>
    </r>
  </si>
  <si>
    <r>
      <rPr>
        <b/>
        <sz val="10"/>
        <color rgb="FF3C4981"/>
        <rFont val="Arial"/>
        <family val="2"/>
      </rPr>
      <t>Konzept und Maßnahmen</t>
    </r>
    <r>
      <rPr>
        <sz val="10"/>
        <color theme="1"/>
        <rFont val="Arial"/>
        <family val="2"/>
      </rPr>
      <t xml:space="preserve">
Stufe I (5 Punkte)
ODER
Stufe II (10 Punkte)
ODER
Stufe III (20 Punkte)
(Details siehe Kriterium)
</t>
    </r>
  </si>
  <si>
    <r>
      <rPr>
        <b/>
        <sz val="10"/>
        <color rgb="FF3C4981"/>
        <rFont val="Arial"/>
        <family val="2"/>
      </rPr>
      <t>Abfall</t>
    </r>
    <r>
      <rPr>
        <sz val="10"/>
        <color theme="1"/>
        <rFont val="Arial"/>
        <family val="2"/>
      </rPr>
      <t xml:space="preserve">
Stufe I (0 Punkte)
ODER
Stufe II (5 Punkte)
ODER
Stufe III (10 Punkte)
ODER
Stufe IV (20 Punkte)
(Details siehe Kriterium)
</t>
    </r>
  </si>
  <si>
    <r>
      <rPr>
        <b/>
        <sz val="10"/>
        <color rgb="FF3C4981"/>
        <rFont val="Arial"/>
        <family val="2"/>
      </rPr>
      <t>Lärm</t>
    </r>
    <r>
      <rPr>
        <sz val="10"/>
        <color theme="1"/>
        <rFont val="Arial"/>
        <family val="2"/>
      </rPr>
      <t xml:space="preserve">
Stufe I (0 Punkte)
ODER
Stufe II (5 Punkte)
ODER
Stufe III (10 Punkte)
ODER
Stufe IV (20 Punkte)
(Details siehe Kriterium)
</t>
    </r>
  </si>
  <si>
    <r>
      <rPr>
        <b/>
        <sz val="10"/>
        <color rgb="FF3C4981"/>
        <rFont val="Arial"/>
        <family val="2"/>
      </rPr>
      <t>Staub</t>
    </r>
    <r>
      <rPr>
        <sz val="10"/>
        <color theme="1"/>
        <rFont val="Arial"/>
        <family val="2"/>
      </rPr>
      <t xml:space="preserve">
Stufe I (0 Punkte)
ODER
Stufe II (5 Punkte)
ODER
Stufe III (10 Punkte)
ODER
Stufe IV (20 Punkte)
(Details siehe Kriterium)
</t>
    </r>
  </si>
  <si>
    <r>
      <rPr>
        <b/>
        <sz val="10"/>
        <color rgb="FF3C4981"/>
        <rFont val="Arial"/>
        <family val="2"/>
      </rPr>
      <t>Umwelt- und Naturschutz</t>
    </r>
    <r>
      <rPr>
        <sz val="10"/>
        <color theme="1"/>
        <rFont val="Arial"/>
        <family val="2"/>
      </rPr>
      <t xml:space="preserve">
Stufe I (0 Punkte)
ODER
Stufe II (10 Punkte)
ODER
Stufe III (20 Punkte)
(Details siehe Kriterium)
</t>
    </r>
  </si>
  <si>
    <t>zu 5.</t>
  </si>
  <si>
    <r>
      <rPr>
        <b/>
        <sz val="10"/>
        <color rgb="FF00ACE9"/>
        <rFont val="Arial"/>
        <family val="2"/>
      </rPr>
      <t xml:space="preserve">INNOVATIONSRAUM </t>
    </r>
    <r>
      <rPr>
        <sz val="10"/>
        <color theme="1"/>
        <rFont val="Arial"/>
        <family val="2"/>
      </rPr>
      <t xml:space="preserve">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t>
    </r>
  </si>
  <si>
    <r>
      <rPr>
        <b/>
        <sz val="10"/>
        <color rgb="FF3C4981"/>
        <rFont val="Arial"/>
        <family val="2"/>
      </rPr>
      <t>Prozessmethodik</t>
    </r>
    <r>
      <rPr>
        <b/>
        <sz val="10"/>
        <color theme="1"/>
        <rFont val="Arial"/>
        <family val="2"/>
      </rPr>
      <t xml:space="preserve">
</t>
    </r>
    <r>
      <rPr>
        <sz val="10"/>
        <color theme="1"/>
        <rFont val="Arial"/>
        <family val="2"/>
      </rPr>
      <t>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 Informelles Instrumentarium und eine Prozessmethodik für die Architektur (5 Punkte)
UND
- Informelles Instrumentarium und eine Prozessmethodik für den Freiraum (5 Punkte)</t>
    </r>
    <r>
      <rPr>
        <b/>
        <sz val="10"/>
        <color theme="1"/>
        <rFont val="Arial"/>
        <family val="2"/>
      </rPr>
      <t xml:space="preserve">
</t>
    </r>
  </si>
  <si>
    <r>
      <rPr>
        <b/>
        <sz val="10"/>
        <color rgb="FF3C4981"/>
        <rFont val="Arial"/>
        <family val="2"/>
      </rPr>
      <t>Gestalterische Vorgaben</t>
    </r>
    <r>
      <rPr>
        <sz val="10"/>
        <color theme="1"/>
        <rFont val="Arial"/>
        <family val="2"/>
      </rPr>
      <t xml:space="preserve">
Die gestalterischen Vorgaben werden zugleich formell gesichert (z. B. B-Plan, Gestaltungssatzung …).
- gestalterischen Vorgaben für die Architektur (5 Punkte)
UND
- gestalterischen Vorgaben für den Freiraum (5 Punkte)
</t>
    </r>
  </si>
  <si>
    <t>Version 2020</t>
  </si>
  <si>
    <t>Einsch. 1. Prüf.</t>
  </si>
  <si>
    <t>Punkte
(1. Prüfung)</t>
  </si>
  <si>
    <t>Punkte
(2. Prüfung)</t>
  </si>
  <si>
    <t>Einsch. 2. Prüf.</t>
  </si>
  <si>
    <t>Quartier: Stadtquartier</t>
  </si>
  <si>
    <t>Prüftool Quartier - Stadtquartier, Version 2020</t>
  </si>
  <si>
    <t xml:space="preserve">Biotopflächenfaktor Gesamt
</t>
  </si>
  <si>
    <r>
      <rPr>
        <b/>
        <sz val="10"/>
        <color rgb="FF4DAA50"/>
        <rFont val="Arial"/>
        <family val="2"/>
      </rPr>
      <t>AGENDA 2030 BONUS – KLIMA- UND ARTENSCHUTZZIELE</t>
    </r>
    <r>
      <rPr>
        <sz val="10"/>
        <color theme="1"/>
        <rFont val="Arial"/>
        <family val="2"/>
      </rPr>
      <t xml:space="preserve">
Biotopflächenfaktor  &gt; 0,35 (je 0,015 Überschreitung 1 Bonuspunkt, max. Bonuspunkte = 10)
</t>
    </r>
  </si>
  <si>
    <t>Nahrungsmittelanbauflächen</t>
  </si>
  <si>
    <t xml:space="preserve">Regionale Produkte werden im Quartier angeboten (z. B. Wochenmarkt, Bauernladen).
</t>
  </si>
  <si>
    <t xml:space="preserve">Anbauflächen für Bewohner im Quartier sind vorhanden und werden genutzt.
</t>
  </si>
  <si>
    <t xml:space="preserve">Hocheffiziente oder innovative Anbaumethode im Quartier (z. B. Urban Farming (Aquaponik), Dachgärten etc. – die Produkte/Flächen müssen den Bewohnern zur Verfügung gestellt werden)
</t>
  </si>
  <si>
    <t>Arbeitslosenquote</t>
  </si>
  <si>
    <r>
      <rPr>
        <b/>
        <sz val="10"/>
        <color rgb="FF3C4981"/>
        <rFont val="Arial"/>
        <family val="2"/>
      </rPr>
      <t>Arbeitslosenquote</t>
    </r>
    <r>
      <rPr>
        <sz val="10"/>
        <color theme="1"/>
        <rFont val="Arial"/>
        <family val="2"/>
      </rPr>
      <t xml:space="preserve">
- Die durchschnittliche Arbeitslosenquote der letzten 5 Jahre für die Stadt / den Stadtteil liegt unter dem Bundesdurchschnitt. (5 Punkte)
ODER
- Die durchschnittliche Arbeitslosenquote der letzten 5 Jahre für die Stadt / den Stadtteil ist niedriger als die durchschnittliche Arbeitslosenquote der letzten 15 Jahre für die Stadt / den Stadtteil. (10 Punkte)
</t>
    </r>
  </si>
  <si>
    <r>
      <rPr>
        <b/>
        <sz val="10"/>
        <color rgb="FF3C4981"/>
        <rFont val="Arial"/>
        <family val="2"/>
      </rPr>
      <t>Immobilienauszeichnung</t>
    </r>
    <r>
      <rPr>
        <sz val="10"/>
        <color theme="1"/>
        <rFont val="Arial"/>
        <family val="2"/>
      </rPr>
      <t xml:space="preserve">
Immobilienauszeichnung mit offiziellem Charakter (keine Auszeichnungen durch den Entwickler selbst)
</t>
    </r>
  </si>
  <si>
    <r>
      <rPr>
        <b/>
        <sz val="10"/>
        <color rgb="FF3C4981"/>
        <rFont val="Arial"/>
        <family val="2"/>
      </rPr>
      <t>Gestaltung von privaten Freiflächen</t>
    </r>
    <r>
      <rPr>
        <sz val="10"/>
        <color theme="1"/>
        <rFont val="Arial"/>
        <family val="2"/>
      </rPr>
      <t xml:space="preserve">
Neben den Festsetzungen im B-Plan gibt es einen verbindlichen Leitfaden zur Gestaltung von privaten Freiflächen, der den individuellen Gestaltungswillen der Bewohner respektiert, jedoch einen Rahmen für die kohärente Gebietsgestaltung bietet.
</t>
    </r>
  </si>
  <si>
    <t>Urban Farming</t>
  </si>
  <si>
    <r>
      <rPr>
        <b/>
        <sz val="10"/>
        <color rgb="FF3C4981"/>
        <rFont val="Arial"/>
        <family val="2"/>
      </rPr>
      <t xml:space="preserve">Nahrungsmittelanbauflächen
</t>
    </r>
    <r>
      <rPr>
        <sz val="10"/>
        <color theme="1"/>
        <rFont val="Arial"/>
        <family val="2"/>
      </rPr>
      <t>Es gibt Nahrungsmittelanbauflächen im Quartier, die von der Bevölkerung genutzt werden.</t>
    </r>
    <r>
      <rPr>
        <b/>
        <sz val="10"/>
        <color rgb="FF3C4981"/>
        <rFont val="Arial"/>
        <family val="2"/>
      </rPr>
      <t xml:space="preserve">
</t>
    </r>
  </si>
  <si>
    <t xml:space="preserve">Umsetzung der Ergebnisse des lufthygienisches Gutachtens
- mind. 50 % Umgesetzt (3 Punkt)
ODER
- vollständig umgesetzt (7 Punkte)
</t>
  </si>
  <si>
    <t xml:space="preserve">Spielplätze: max. Gehdistanz 200m Luftlinie
</t>
  </si>
  <si>
    <r>
      <rPr>
        <b/>
        <sz val="10"/>
        <color rgb="FF3C4981"/>
        <rFont val="Arial"/>
        <family val="2"/>
      </rPr>
      <t>Einbindung in die übergeordnete Planung</t>
    </r>
    <r>
      <rPr>
        <sz val="10"/>
        <color theme="1"/>
        <rFont val="Arial"/>
        <family val="2"/>
      </rPr>
      <t xml:space="preserve">
Regionalplanung, Stadtentwicklungsplanung, Landschaftsplanung, Flächennutzungsplanung, städtebauliche Rahmenplanung
</t>
    </r>
  </si>
  <si>
    <r>
      <rPr>
        <b/>
        <sz val="10"/>
        <color rgb="FF3C4981"/>
        <rFont val="Arial"/>
        <family val="2"/>
      </rPr>
      <t>Einbindung in den sozialen und funktionalen Kontext</t>
    </r>
    <r>
      <rPr>
        <sz val="10"/>
        <color theme="1"/>
        <rFont val="Arial"/>
        <family val="2"/>
      </rPr>
      <t xml:space="preserve">
- Der soziale (Bevölkerungsstruktur, Wohn- und Arbeitstypologien) und funktionale Kontext (Nutzungsstruktur, soziale und öffentliche Einrichtungen, Gewerbe und Nahversorgung) des Umfelds wird bei der Planung berücksichtigt. (5 Punkte)
ODER
- Darüber hinaus werden durch die Quartiersentwicklung nennenswerte Verbesserungen für das unmittelbare Umfeld generiert. (10 Punkte)
</t>
    </r>
  </si>
  <si>
    <r>
      <rPr>
        <b/>
        <sz val="10"/>
        <color rgb="FF3C4981"/>
        <rFont val="Arial"/>
        <family val="2"/>
      </rPr>
      <t>Einbindung bestehender sozialer Strukturen oder Nutzungen</t>
    </r>
    <r>
      <rPr>
        <sz val="10"/>
        <color theme="1"/>
        <rFont val="Arial"/>
        <family val="2"/>
      </rPr>
      <t xml:space="preserve">
Schutz, Erhalt von vorher vorhandenen Strukturen. Z.B. Kleingärtner.
</t>
    </r>
  </si>
  <si>
    <r>
      <rPr>
        <b/>
        <sz val="10"/>
        <color rgb="FF3C4981"/>
        <rFont val="Arial"/>
        <family val="2"/>
      </rPr>
      <t>Demographische Mischung</t>
    </r>
    <r>
      <rPr>
        <sz val="10"/>
        <color theme="1"/>
        <rFont val="Arial"/>
        <family val="2"/>
      </rPr>
      <t xml:space="preserve">
Es gibt ein breites Angebot generationsspezifischer Angebote und Einrichtungen (betreutes Wohnen, Treffs, Kindergärten, Stadtteilbüro, Bürgerhaus, Spielplätze usw.) im Quartier.
</t>
    </r>
  </si>
  <si>
    <r>
      <rPr>
        <b/>
        <sz val="10"/>
        <color rgb="FF3C4981"/>
        <rFont val="Arial"/>
        <family val="2"/>
      </rPr>
      <t>Eigentumsformen</t>
    </r>
    <r>
      <rPr>
        <sz val="10"/>
        <color theme="1"/>
        <rFont val="Arial"/>
        <family val="2"/>
      </rPr>
      <t xml:space="preserve">
Sind im Quartier differenzierte Eigentumsformen vorhanden oder wird das Quartier von verschiedenen Bauträgern, Investoren, Baugenossenschaften, Baugruppen etc. entwickelt?
</t>
    </r>
  </si>
  <si>
    <r>
      <rPr>
        <b/>
        <sz val="10"/>
        <color rgb="FF3C4981"/>
        <rFont val="Arial"/>
        <family val="2"/>
      </rPr>
      <t>Differenzierte Bautypen/Formen von Arbeitsstätten</t>
    </r>
    <r>
      <rPr>
        <sz val="10"/>
        <color theme="1"/>
        <rFont val="Arial"/>
        <family val="2"/>
      </rPr>
      <t xml:space="preserve">
Pro Bautyp (z. B. Doppel-, Reihen-, Gartenhof-, Terrassenhaus oder Stadtvilla, Wohnzelle, Geschosswohnen, Punkt-, Scheibenhochhaus- oder Spännertypen bzw. Gebäude mit Laubengangerschließung, Loft, Sonderformen bei Stadtquartieren), der mindestens 10 % der Gesamt-BGFW erreicht, können 2 Punkte vergeben werden.
</t>
    </r>
  </si>
  <si>
    <r>
      <rPr>
        <b/>
        <sz val="10"/>
        <color rgb="FF3C4981"/>
        <rFont val="Arial"/>
        <family val="2"/>
      </rPr>
      <t>Wohnungsgrößen</t>
    </r>
    <r>
      <rPr>
        <sz val="10"/>
        <color theme="1"/>
        <rFont val="Arial"/>
        <family val="2"/>
      </rPr>
      <t xml:space="preserve">
- Sind im Projektgebiet vier Kategorien an Wohnungsgrößen vorgesehen bzw. realisiert?
- Die Kategorien sind: 1,5 – 2,0 Zimmer, 2,5 – 3,0 Zimmer, 3,5 – 4,0 Zimmer und 4 + x Zimmerwohnungen.
- Jede Kategorie muss dabei mindestens 10 % der Gesamtwohnfläche des Quartiers ausmachen.
</t>
    </r>
  </si>
  <si>
    <r>
      <rPr>
        <b/>
        <sz val="10"/>
        <color rgb="FF3C4981"/>
        <rFont val="Arial"/>
        <family val="2"/>
      </rPr>
      <t>Wohnformen</t>
    </r>
    <r>
      <rPr>
        <sz val="10"/>
        <color theme="1"/>
        <rFont val="Arial"/>
        <family val="2"/>
      </rPr>
      <t xml:space="preserve">
- Gibt es Programme, Initiativen oder Förderungen, die innovative Wohnformen im Quartier ermöglichen (Baugruppen, Generationenhäuser, geförderter Wohnungsbau)?
- Pro Programm, Förderung oder Initiative können 4 PUNKTE vergeben werden. (max. 8 Punkte)
</t>
    </r>
  </si>
  <si>
    <r>
      <t xml:space="preserve">Nutzungsanteil Stadtquartiere 
</t>
    </r>
    <r>
      <rPr>
        <sz val="10"/>
        <color theme="1"/>
        <rFont val="Arial"/>
        <family val="2"/>
      </rPr>
      <t>Der prozentuale Anteil der Wohnnutzung (BGFW) im Verhältnis zur Gesamt-BGF</t>
    </r>
    <r>
      <rPr>
        <vertAlign val="subscript"/>
        <sz val="10"/>
        <color theme="1"/>
        <rFont val="Arial"/>
        <family val="2"/>
      </rPr>
      <t>DGNB</t>
    </r>
    <r>
      <rPr>
        <sz val="10"/>
        <color theme="1"/>
        <rFont val="Arial"/>
        <family val="2"/>
      </rPr>
      <t xml:space="preserve"> im Quartier beträgt:
-   0,0 – 20,0 % =   0 Punkte
- 20,1 – 30,0 % = 10 Punkte
- 30,1 – 50,0 % = 15 Punkte
- 50,1 – 70,0 % = 20 Punkte
- 70,1 – 80,0 % = 15 Punkte
- davon Anteil sozialer Wohnungsbau ≥ 20%  = 5 Punkte
</t>
    </r>
  </si>
  <si>
    <t xml:space="preserve">Spielplätze (Max. Entfernung Luftlinie 350 m)
</t>
  </si>
  <si>
    <t xml:space="preserve">Nahversorgung 3: Kleinteiliger Einzelhandel (Bäckerei, Metzgerei, Drogerie etc.) (Max. Geh-/Fahrzeit mit ÖPNV 10 Min), (Max. Entfernung Luftlinie 700 m)
(Es kann pro Geschäft ein Punkt angerechnet werden)
</t>
  </si>
  <si>
    <t xml:space="preserve">Nahversorgung 4: Wochenmarkt (Max. Geh-/Fahrzeit mit ÖPNV 10 Min), (Max. Entfernung Luftlinie 700 m)
</t>
  </si>
  <si>
    <r>
      <rPr>
        <b/>
        <sz val="10"/>
        <color rgb="FF3C4981"/>
        <rFont val="Arial"/>
        <family val="2"/>
      </rPr>
      <t>Wärme- und Kälteversorgungsstruktur</t>
    </r>
    <r>
      <rPr>
        <sz val="10"/>
        <color theme="1"/>
        <rFont val="Arial"/>
        <family val="2"/>
      </rPr>
      <t xml:space="preserve">
Eine kohärente Wärme- bzw. Kälteversorgungsstruktur ist gegeben.
</t>
    </r>
  </si>
  <si>
    <r>
      <rPr>
        <b/>
        <sz val="10"/>
        <color rgb="FF3C4981"/>
        <rFont val="Arial"/>
        <family val="2"/>
      </rPr>
      <t>Abfallrecyclingsystem</t>
    </r>
    <r>
      <rPr>
        <b/>
        <sz val="10"/>
        <color theme="1"/>
        <rFont val="Arial"/>
        <family val="2"/>
      </rPr>
      <t xml:space="preserve">
</t>
    </r>
    <r>
      <rPr>
        <sz val="10"/>
        <color theme="1"/>
        <rFont val="Arial"/>
        <family val="2"/>
      </rPr>
      <t>Nachweis eines Abfallrecyclingsystems, das das Sammeln und Trennen der u.g. Abfälle im Quartier sichert
Dies kann an öffentlichen Sammelstellen, durch Einbindung in ein übergeordnetes Sammelsystem oder auch im privaten Haushalt geschehen, soweit dies verpflichtend gesichert ist. Die Trennung der Stoffe muss nicht zwingend im Quartier geschehen, falls der weitere Recyclingkreislauf nachgewiesen wird (z. B. Sammelsysteme nach nass und trocken oder rund und flach für spätere maschinelle Trennung).
- Trennung und Recycling sind für jeden der folgenden Wertstoffgruppen nachzuweisen: Papier, Glas, Metalle, Kunststoff, Biomüll, Problemstoffe, Elektrogeräte
- Pro Wertstoffgruppe können 3 Punkte vergeben werden.</t>
    </r>
    <r>
      <rPr>
        <b/>
        <sz val="10"/>
        <color theme="1"/>
        <rFont val="Arial"/>
        <family val="2"/>
      </rPr>
      <t xml:space="preserve">
</t>
    </r>
  </si>
  <si>
    <t xml:space="preserve">Wasserkreislaufsysteme (PUNKTE aus ENV 2.2/ 100) * 6,5
</t>
  </si>
  <si>
    <r>
      <rPr>
        <b/>
        <sz val="10"/>
        <color rgb="FF3C4981"/>
        <rFont val="Arial"/>
        <family val="2"/>
      </rPr>
      <t>Budget und Handlungsbefugnisse</t>
    </r>
    <r>
      <rPr>
        <sz val="10"/>
        <color theme="1"/>
        <rFont val="Arial"/>
        <family val="2"/>
      </rPr>
      <t xml:space="preserve">
Der Nachhaltigkeitsmanager hat ein Budget und Handlungsbefugnisse zur Förderung von Nachhaltigkeitsmaßnahmen. </t>
    </r>
  </si>
  <si>
    <t>Planungsbegleitende Ökobilanz-Optimierung</t>
  </si>
  <si>
    <t>Stadtklima – Mesoklima</t>
  </si>
  <si>
    <t xml:space="preserve">Regenwasserretention im Quartier. (und ggf. durch Maßnahmen außerhalb des Quartiers ergänzt)
</t>
  </si>
  <si>
    <t xml:space="preserve">Regenwasserretention ausschließlich außerhalb des Quartiers
</t>
  </si>
  <si>
    <t>Flächenbelastung durch Altlasten</t>
  </si>
  <si>
    <t>zu 3.1.</t>
  </si>
  <si>
    <t xml:space="preserve">Maßnahmen mit Einfluss auf die Lebenszykluskosten werden planungsbegleitend regelmäßig (an den jeweiligen Planungsstand angepasst) ermittelt und im Planungsteam kommuniziert. </t>
  </si>
  <si>
    <t>Redundanz und Resilienz der Verkehrssysteme</t>
  </si>
  <si>
    <t xml:space="preserve">Im Fall einer Krise und/oder eines Störereignisses (bei Schadensfall an Straßen/Trassen, Unfällen, witterungsbedingten Sperrungen/Einschränkungen) ist die Zufahrtsmöglichkeit und Zugänglichkeit des Quartiers sichergestellt.
</t>
  </si>
  <si>
    <t xml:space="preserve">Erschließungseffizienzzahl (EEZ)
</t>
  </si>
  <si>
    <t>8.2.</t>
  </si>
  <si>
    <t>Freiraumfaktor für Quartiere</t>
  </si>
  <si>
    <t xml:space="preserve">Alle Leuchtmittel im Außenbereich sind derart gestaltet, das keine Lichtstreuung nach oben und zur Seite stattfindet.
</t>
  </si>
  <si>
    <t xml:space="preserve">Vermeidung oder Verminderung von Emissionen </t>
  </si>
  <si>
    <t>Luftbelastung durch Heiz-/Feuerungsanlagen</t>
  </si>
  <si>
    <t xml:space="preserve">Gastronomie: Restaurant, Café, Kantine, Mensa, etc.
max. Gehdistanz 400 m Luftlinie
</t>
  </si>
  <si>
    <t xml:space="preserve">Impuls / Attraktor </t>
  </si>
  <si>
    <t>Impuls durch die Nutzung</t>
  </si>
  <si>
    <t>Impuls durch räumliche und gestalterische Aspekte</t>
  </si>
  <si>
    <r>
      <rPr>
        <b/>
        <sz val="10"/>
        <color rgb="FF00ACE9"/>
        <rFont val="Arial"/>
        <family val="2"/>
      </rPr>
      <t>INNOVATIONSRAUM</t>
    </r>
    <r>
      <rPr>
        <sz val="10"/>
        <color theme="1"/>
        <rFont val="Arial"/>
        <family val="2"/>
      </rPr>
      <t xml:space="preserve">
Erläuterung: Werden außerordentliche Impulse auf das Quartier / den Standort gegeben, die außerhalb der oben definierten Aspekte erreicht werden, so können diese ebenfalls angerechnet werden. Hierzu können zum Beispiel architektonische oder bautechnische Innovationen zählen.
</t>
    </r>
  </si>
  <si>
    <t>zu 3.</t>
  </si>
  <si>
    <t xml:space="preserve">Es gibt ein Handels-/Zentrenkonzept in welches das Quartier/der Standort eingebunden ist
</t>
  </si>
  <si>
    <t xml:space="preserve">Nahversorgung 3: Wochenmarkt (Max. Geh-/Fahrzeit mit ÖPNV 10 Min), (Max. Entfernung Luftlinie 700 m)
</t>
  </si>
  <si>
    <t>AGENDA 2030 BONUS – NUTZUNG DER FASSADENFLÄCHEN ZUR ENERGIEGEWINNUNG</t>
  </si>
  <si>
    <t>Telekommunikationsinfrastruktur</t>
  </si>
  <si>
    <t>Breitband-Internetzugang</t>
  </si>
  <si>
    <t>Datenauswertung</t>
  </si>
  <si>
    <t>Motorisierter Individualverkehr (MIV)</t>
  </si>
  <si>
    <t>Infrastruktur für alternative Antriebstechnologien</t>
  </si>
  <si>
    <r>
      <rPr>
        <b/>
        <sz val="10"/>
        <color rgb="FF4DAA50"/>
        <rFont val="Arial"/>
        <family val="2"/>
      </rPr>
      <t>AGENDA 2030 BONUS – KLIMASCHUTZZIELE</t>
    </r>
    <r>
      <rPr>
        <sz val="10"/>
        <color theme="1"/>
        <rFont val="Arial"/>
        <family val="2"/>
      </rPr>
      <t xml:space="preserve">
</t>
    </r>
    <r>
      <rPr>
        <b/>
        <sz val="10"/>
        <color theme="1"/>
        <rFont val="Arial"/>
        <family val="2"/>
      </rPr>
      <t xml:space="preserve">Keine PKW-Stellplätze </t>
    </r>
    <r>
      <rPr>
        <sz val="10"/>
        <color theme="1"/>
        <rFont val="Arial"/>
        <family val="2"/>
      </rPr>
      <t xml:space="preserve">
Eine Mobilitätsmanagement-Strategie nach Variante B wurde vollständig umgesetzt.
</t>
    </r>
  </si>
  <si>
    <t>Beschilderung und Information</t>
  </si>
  <si>
    <t xml:space="preserve">Es gibt ein Energie-Monitoring für Wärme auf Quartiersebene, an dem alle Gebäudenutzer teilnehmen können.
</t>
  </si>
  <si>
    <t xml:space="preserve">Es gibt ein Energie-Monitoring für Strom auf Quartiersebene, an dem alle Gebäudenutzer teilnehmen können.
</t>
  </si>
  <si>
    <t>Sonderbauten</t>
  </si>
  <si>
    <t>Bewertung von Sonderbauten</t>
  </si>
  <si>
    <t>Nachhaltiges Bauen / Baustoffauswahl</t>
  </si>
  <si>
    <t>Gesundheitsrelevante Aspekte der Konstruktion</t>
  </si>
  <si>
    <t>Gesundheitsrelevante Aspekte des Innenausbaus</t>
  </si>
  <si>
    <t>Vorgaben zum Austausch von Bauteilen</t>
  </si>
  <si>
    <t>Ökobilanz Studie für Sonderbauten</t>
  </si>
  <si>
    <t>Korrekturfaktor</t>
  </si>
  <si>
    <t>Das Ergebnis des Indikators 5.2 wird von dem Gesamtergebnis der Indikatoren 3 und 5.1 abgezogen. Die Berechnung ist in dem Abschnitt „Methode“ beschrieben.</t>
  </si>
  <si>
    <t>ENV1.2</t>
  </si>
  <si>
    <t>Schad- und Risikostoffe</t>
  </si>
  <si>
    <t>Umweltschadstoffe Neubau / Modernisierung</t>
  </si>
  <si>
    <t>Umweltschadstoffe Bestand / Altbausubstanz</t>
  </si>
  <si>
    <r>
      <rPr>
        <b/>
        <sz val="10"/>
        <color rgb="FFA5D867"/>
        <rFont val="Arial"/>
        <family val="2"/>
      </rPr>
      <t>CIRCULAR ECONOMY BONUS – WIEDERVERWENDUNG PROZESSWASSER</t>
    </r>
    <r>
      <rPr>
        <sz val="10"/>
        <color theme="1"/>
        <rFont val="Arial"/>
        <family val="2"/>
      </rPr>
      <t xml:space="preserve">
Wenn mehr als 50 % des in der Produktion eingesetzten Prozesswassers über Aufbereitung / Recycling im Kreislauf gehalten werden, kann pro zusätzliche 5 % im Kreislauf gehaltenes Prozesswasser 1 Punkt angerechnet werden.
</t>
    </r>
  </si>
  <si>
    <t>Maßnahmen zur Reduktion des Trinkwasserverbrauchs bei Produktionsprozessen*</t>
  </si>
  <si>
    <t xml:space="preserve">Es gibt ein Konzept, in dem untersucht wurde (ökonomisch-energetische Betrachtung), wie Prozesswasser durch Nicht-Trinkwasser substituiert und/oder wiederaufbereitet werden kann.
</t>
  </si>
  <si>
    <t xml:space="preserve">Maßnahmen zur Wiederaufbereitung von Prozesswasser und/oder Substitution von Trinkwasser (Regenwasseraufbereitung u. -nutzung) wurden in signifikantem Maße umgesetzt (mindestens 50 %. Begründung auf Basis des Wassernutzungskonzepts. 
</t>
  </si>
  <si>
    <t>Betriebskostenoptimierung</t>
  </si>
  <si>
    <t xml:space="preserve">Optimierung der Lebenszykluskosten durch optimierten Betrieb  </t>
  </si>
  <si>
    <t>Erschließungskoeffizient (ErK)</t>
  </si>
  <si>
    <t>Ausbildungsmischung</t>
  </si>
  <si>
    <t>ECO2.5</t>
  </si>
  <si>
    <t>Freiraum pro Mitarbeiter und Schicht</t>
  </si>
  <si>
    <t>Erreichbarkeit der werksinternen Freiräume</t>
  </si>
  <si>
    <t>SOC1.8</t>
  </si>
  <si>
    <t>Arbeitsplatzkomfort</t>
  </si>
  <si>
    <t>Innenraumluftqualität</t>
  </si>
  <si>
    <t xml:space="preserve">Lüftungskonzept &amp; CO2 Leitwerte
</t>
  </si>
  <si>
    <t xml:space="preserve">Planung/Erfassung/Maßnahmen
</t>
  </si>
  <si>
    <t>Visueller Komfort</t>
  </si>
  <si>
    <t xml:space="preserve">Tageslicht &amp; Sichtbezug
</t>
  </si>
  <si>
    <t>Akustischer Komfort</t>
  </si>
  <si>
    <t xml:space="preserve">Schallmindernde Maßnahmen
</t>
  </si>
  <si>
    <t>Einflussnahme des Nutzers</t>
  </si>
  <si>
    <t xml:space="preserve">Beleuchtung/Temperatur/Luftwechsel
</t>
  </si>
  <si>
    <t>Rückzugsräume</t>
  </si>
  <si>
    <t>Gestalterisches Konzept</t>
  </si>
  <si>
    <t>Ergonomie</t>
  </si>
  <si>
    <t xml:space="preserve">Ergonomische Bewertung
</t>
  </si>
  <si>
    <t xml:space="preserve">Prozessoptimierung
</t>
  </si>
  <si>
    <t xml:space="preserve">Erfassungsmethodik Arbeitsplatzkomfort
</t>
  </si>
  <si>
    <t>Gewerbelärm / Lärm aus der Event-Nutzung  außerhalb des Quartiers</t>
  </si>
  <si>
    <t xml:space="preserve">Industrie- und Gewerbelärm in benachbarten empfindlichen Nutzungsbereichen 
	</t>
  </si>
  <si>
    <t xml:space="preserve">Gewerbelärm / Lärm durch zusätzliches Verkehrsaufkommen in benachbarten empfindlichen Nutzungsbereichen
</t>
  </si>
  <si>
    <t xml:space="preserve">Einhaltung bzw. Unterschreitung der Grenzwerte
</t>
  </si>
  <si>
    <t>Barrierefreiheit des Freiraums</t>
  </si>
  <si>
    <t>9.1. - 9.4.</t>
  </si>
  <si>
    <t>10.1. - 10.3.</t>
  </si>
  <si>
    <t xml:space="preserve">Sanitäre Einrichtung: Behinderten WC max. Gehdistanz 200 m Luftlinie
</t>
  </si>
  <si>
    <t>Behindertenplätze</t>
  </si>
  <si>
    <t xml:space="preserve">Leuchtdichtekontrast &amp; Zwei-Sinne-Prinzip
</t>
  </si>
  <si>
    <t>Synergien und Angebote an die Öffentlichkeit</t>
  </si>
  <si>
    <t xml:space="preserve">Konzepte und Ideen
</t>
  </si>
  <si>
    <t>Lastmanagement</t>
  </si>
  <si>
    <t>Passive Systeme</t>
  </si>
  <si>
    <t>Energiemanagement und Energieaudits</t>
  </si>
  <si>
    <t>1.6.</t>
  </si>
  <si>
    <t>5.7.</t>
  </si>
  <si>
    <t xml:space="preserve">Abfallrecycling 
</t>
  </si>
  <si>
    <t xml:space="preserve">Priorisierung des Radverkehrs am Standort
</t>
  </si>
  <si>
    <t xml:space="preserve">Erfüllungsgrad der Quantitativen Anforderungen
</t>
  </si>
  <si>
    <t>PRO1.10</t>
  </si>
  <si>
    <t>Sicherheitskonzepte</t>
  </si>
  <si>
    <t>Flucht- und Rettungswege</t>
  </si>
  <si>
    <t>Notfallplanung</t>
  </si>
  <si>
    <t xml:space="preserve">Sicherheitskonzept Brandschutz (abhängig von Brandschutzauflagen des Landes)	</t>
  </si>
  <si>
    <t>Räumungskonzept</t>
  </si>
  <si>
    <t>Überfüllungskonzept</t>
  </si>
  <si>
    <t>Verkehrskonzept</t>
  </si>
  <si>
    <t>Kommunikationskonzept</t>
  </si>
  <si>
    <t>Antiterrorkonzept</t>
  </si>
  <si>
    <t>Konzept gegen gewaltbereite Besucher/Vandalismus-Hochrisikospiele</t>
  </si>
  <si>
    <t>Elektronische Sicherheitsanlagen</t>
  </si>
  <si>
    <t>zu 1-10.</t>
  </si>
  <si>
    <r>
      <rPr>
        <b/>
        <sz val="10"/>
        <color rgb="FF00ACE9"/>
        <rFont val="Arial"/>
        <family val="2"/>
      </rPr>
      <t xml:space="preserve">INNOVATIONSRAUM </t>
    </r>
    <r>
      <rPr>
        <sz val="10"/>
        <color theme="1"/>
        <rFont val="Arial"/>
        <family val="2"/>
      </rPr>
      <t xml:space="preserve">
Erläuterung: Sicherheitsmaßnahmen, die nicht den o.g. Kategorien oder Maßnahmen zugeordnet werden können, die jedoch nachweislich das Sicherheitsempfinden und den Schutz steigern
</t>
    </r>
  </si>
  <si>
    <t xml:space="preserve">Zertifiziert nach der aktuellen Fassung der internationalen Energiemanagementnorm  ISO 50001 (Alternativer Nachweis für kleine und mittlere Unternehmen: DIN EN 16247 -1 oder durch vergleichbare Maßnahmen).
</t>
  </si>
  <si>
    <t xml:space="preserve">Es liegt ein Konzept vor, das alle Mitarbeiter dauerhaft zur Reduzierung des Energiebedarfs auffordert (z. B. Schulungen, Fortbildungen, festgelegte Standby-Standards für mehr als 80 % der Maschinen).
</t>
  </si>
  <si>
    <t xml:space="preserve">Es gibt eine Überprüfung der energetischen Qualität während der Bauausführung.
</t>
  </si>
  <si>
    <t>Qualitätsstufe 2: Erfassung in einem zentralen Monitoring-System mit monatlicher Messung + Differenzierung in A Strom und B Wärme und ggf. andere Konditionierungen (Erfassungstiefe: Gebäude/Gebäudebereich).</t>
  </si>
  <si>
    <t>Qualitätsstufe 3: Wie Stufe 2 + weitere Differenzierung in A Strom, B Wärme, C Kühlung  (Erfassungstiefe. Gebäudebereich/Raum/Maschine).</t>
  </si>
  <si>
    <t xml:space="preserve">Qualitätsstufe 4: Wie Stufe 3 + D ggf. andere Konditionierungen, Erfassung in einem zentralen Monitoring-System mit stündlicher Echtzeitmessung (Gebäudebereich/Raum/Maschine).
</t>
  </si>
  <si>
    <t>Facility Management</t>
  </si>
  <si>
    <t>Geordnete Inbetriebnahme</t>
  </si>
  <si>
    <t>7.1. - 7.3</t>
  </si>
  <si>
    <t xml:space="preserve">Qualitätsstufe 1         max.5
Qualitätsstufe 2         max.15
Qualitätsstufe 3         max.25
</t>
  </si>
  <si>
    <r>
      <rPr>
        <b/>
        <sz val="10"/>
        <color rgb="FF92D050"/>
        <rFont val="Arial"/>
        <family val="2"/>
      </rPr>
      <t>CIRCULAR ECONOMY BONUS – ABFALLTECHNIK</t>
    </r>
    <r>
      <rPr>
        <sz val="10"/>
        <color theme="1"/>
        <rFont val="Arial"/>
        <family val="2"/>
      </rPr>
      <t xml:space="preserve">
Innovative Abfalltechnik im Quartier:
- z. B. Müllpressen zur Gewinnung von Wasser aus den Abfällen
- z. B. neue Techniken wie Phosphorrückgewinnung usw.
- z. B. .Energiegewinnung aus Biomasse
</t>
    </r>
  </si>
  <si>
    <t>Bitte wählen Sie unter die Variante für den Industriestandort</t>
  </si>
  <si>
    <t>4.1.1</t>
  </si>
  <si>
    <t>4.1.2</t>
  </si>
  <si>
    <t>4.1.3</t>
  </si>
  <si>
    <t>4.1.4</t>
  </si>
  <si>
    <t>Bestandsaufnahme Arbeitsplatzkomfort</t>
  </si>
  <si>
    <r>
      <rPr>
        <b/>
        <sz val="10"/>
        <color theme="1"/>
        <rFont val="Arial"/>
        <family val="2"/>
      </rPr>
      <t xml:space="preserve">In der frühen Planungsphase: </t>
    </r>
    <r>
      <rPr>
        <sz val="10"/>
        <color theme="1"/>
        <rFont val="Arial"/>
        <family val="2"/>
      </rPr>
      <t xml:space="preserve">Pro analysiertem Handlungsfeld können 2 Punkte vergeben werden.
</t>
    </r>
  </si>
  <si>
    <t xml:space="preserve">Ökobilanziellen Auswirkungen von Planungsänderungen planungsbegleitend
</t>
  </si>
  <si>
    <t xml:space="preserve">Klimaneutraler Energiebedarf
</t>
  </si>
  <si>
    <t xml:space="preserve">Klimaneutraler Energiebedarf Nutzer
</t>
  </si>
  <si>
    <t xml:space="preserve">Berücksichtigung des Belüftungspotentials
</t>
  </si>
  <si>
    <t xml:space="preserve">Regelmäßige Information an die Nutzer des Quartiers
</t>
  </si>
  <si>
    <r>
      <rPr>
        <b/>
        <sz val="10"/>
        <color rgb="FFA5D867"/>
        <rFont val="Arial"/>
        <family val="2"/>
      </rPr>
      <t>CIRCULAR ECONOMY BONUS - WIEDERVERWENDUNG SCHWARZWASSER</t>
    </r>
    <r>
      <rPr>
        <sz val="10"/>
        <color theme="1"/>
        <rFont val="Arial"/>
        <family val="2"/>
      </rPr>
      <t xml:space="preserve">
</t>
    </r>
  </si>
  <si>
    <t xml:space="preserve">Die Regenwasserinfrastruktur ist gestalterisch in das Freiraumkonzept integriert. </t>
  </si>
  <si>
    <t xml:space="preserve">Erstellung und Umsetzung einer Biodiversitätsstrategie
</t>
  </si>
  <si>
    <t xml:space="preserve">Vermeidung invasiver Pflanzenarten
</t>
  </si>
  <si>
    <t xml:space="preserve">Vernetzung mit Umgebung
</t>
  </si>
  <si>
    <t xml:space="preserve">Interne Vernetzung
</t>
  </si>
  <si>
    <t xml:space="preserve">Maßnahmen mit Einfluss auf die Lebenszykluskosten des Quartiers werden in einer frühen Planungsphase für das Projekt untersucht. Die in der frühen Planungsphase vorliegenden Quartiersvarianten werden hinsichtlich ihrer Herstellungs- und relevanter Folgekosten.
</t>
  </si>
  <si>
    <r>
      <rPr>
        <b/>
        <sz val="10"/>
        <color theme="1"/>
        <rFont val="Arial"/>
        <family val="2"/>
      </rPr>
      <t>Stadtklima</t>
    </r>
    <r>
      <rPr>
        <sz val="10"/>
        <color theme="1"/>
        <rFont val="Arial"/>
        <family val="2"/>
      </rPr>
      <t xml:space="preserve"> (PUNKTE aus </t>
    </r>
    <r>
      <rPr>
        <b/>
        <sz val="10"/>
        <color theme="1"/>
        <rFont val="Arial"/>
        <family val="2"/>
      </rPr>
      <t>ENV1.5</t>
    </r>
    <r>
      <rPr>
        <sz val="10"/>
        <color theme="1"/>
        <rFont val="Arial"/>
        <family val="2"/>
      </rPr>
      <t xml:space="preserve">/100) * 6,5
</t>
    </r>
  </si>
  <si>
    <r>
      <rPr>
        <b/>
        <sz val="10"/>
        <color theme="1"/>
        <rFont val="Arial"/>
        <family val="2"/>
      </rPr>
      <t>Wasserkreislaufsysteme</t>
    </r>
    <r>
      <rPr>
        <sz val="10"/>
        <color theme="1"/>
        <rFont val="Arial"/>
        <family val="2"/>
      </rPr>
      <t xml:space="preserve"> (PUNKTE aus </t>
    </r>
    <r>
      <rPr>
        <b/>
        <sz val="10"/>
        <color theme="1"/>
        <rFont val="Arial"/>
        <family val="2"/>
      </rPr>
      <t>ENV2.2</t>
    </r>
    <r>
      <rPr>
        <sz val="10"/>
        <color theme="1"/>
        <rFont val="Arial"/>
        <family val="2"/>
      </rPr>
      <t xml:space="preserve">/100) * 6,5
</t>
    </r>
  </si>
  <si>
    <r>
      <rPr>
        <b/>
        <sz val="10"/>
        <color theme="1"/>
        <rFont val="Arial"/>
        <family val="2"/>
      </rPr>
      <t>Umweltrisiken</t>
    </r>
    <r>
      <rPr>
        <sz val="10"/>
        <color theme="1"/>
        <rFont val="Arial"/>
        <family val="2"/>
      </rPr>
      <t xml:space="preserve"> (PUNKTE aus </t>
    </r>
    <r>
      <rPr>
        <b/>
        <sz val="10"/>
        <color theme="1"/>
        <rFont val="Arial"/>
        <family val="2"/>
      </rPr>
      <t>ECO2.5</t>
    </r>
    <r>
      <rPr>
        <sz val="10"/>
        <color theme="1"/>
        <rFont val="Arial"/>
        <family val="2"/>
      </rPr>
      <t xml:space="preserve">/100) * 6,5
</t>
    </r>
  </si>
  <si>
    <t xml:space="preserve">Hocheffiziente oder innovative Anbaumethode im Quartier 
</t>
  </si>
  <si>
    <r>
      <rPr>
        <b/>
        <sz val="10"/>
        <color rgb="FFA5D867"/>
        <rFont val="Arial"/>
        <family val="2"/>
      </rPr>
      <t>CIRCULAR ECONOMY BONUS – RÜCKBAUFREUNDLICHE BAUKONSTRUKTION</t>
    </r>
    <r>
      <rPr>
        <sz val="10"/>
        <color theme="1"/>
        <rFont val="Arial"/>
        <family val="2"/>
      </rPr>
      <t xml:space="preserve">
Es gibt quartiersübergreifende Rückbaukonzepte für Gebäude und / oder Infrastruktur
Gebäude: 5 Punkte
Infrastruktur: 5 Punkte
</t>
    </r>
  </si>
  <si>
    <r>
      <t>Orientierende Untersuchung der Flächenbelastung. Die Maßnahmen sind nicht nachgewiesen</t>
    </r>
    <r>
      <rPr>
        <b/>
        <sz val="10"/>
        <color theme="1"/>
        <rFont val="Arial"/>
        <family val="2"/>
      </rPr>
      <t xml:space="preserve"> (3 Punkte)</t>
    </r>
    <r>
      <rPr>
        <sz val="10"/>
        <color theme="1"/>
        <rFont val="Arial"/>
        <family val="2"/>
      </rPr>
      <t xml:space="preserve">
</t>
    </r>
    <r>
      <rPr>
        <b/>
        <sz val="10"/>
        <color theme="3"/>
        <rFont val="Arial"/>
        <family val="2"/>
      </rPr>
      <t>ODER</t>
    </r>
    <r>
      <rPr>
        <sz val="10"/>
        <color theme="1"/>
        <rFont val="Arial"/>
        <family val="2"/>
      </rPr>
      <t xml:space="preserve">
Detailuntersuchung der Flächenbelastung. Die Maßnahmen sind nicht nachgewiesen </t>
    </r>
    <r>
      <rPr>
        <b/>
        <sz val="10"/>
        <color theme="1"/>
        <rFont val="Arial"/>
        <family val="2"/>
      </rPr>
      <t>(4 Punkte)</t>
    </r>
    <r>
      <rPr>
        <sz val="10"/>
        <color theme="1"/>
        <rFont val="Arial"/>
        <family val="2"/>
      </rPr>
      <t xml:space="preserve">
</t>
    </r>
    <r>
      <rPr>
        <b/>
        <sz val="10"/>
        <color theme="3"/>
        <rFont val="Arial"/>
        <family val="2"/>
      </rPr>
      <t>ODER</t>
    </r>
    <r>
      <rPr>
        <sz val="10"/>
        <color theme="1"/>
        <rFont val="Arial"/>
        <family val="2"/>
      </rPr>
      <t xml:space="preserve">
Maßnahmenuntersuchung der Flächenbelastung. Die Maßnahmen sind nicht nachgewiesen </t>
    </r>
    <r>
      <rPr>
        <b/>
        <sz val="10"/>
        <color theme="1"/>
        <rFont val="Arial"/>
        <family val="2"/>
      </rPr>
      <t>(5 Punkte)</t>
    </r>
    <r>
      <rPr>
        <sz val="10"/>
        <color theme="1"/>
        <rFont val="Arial"/>
        <family val="2"/>
      </rPr>
      <t xml:space="preserve">
</t>
    </r>
    <r>
      <rPr>
        <b/>
        <sz val="10"/>
        <color theme="3"/>
        <rFont val="Arial"/>
        <family val="2"/>
      </rPr>
      <t>ODER</t>
    </r>
    <r>
      <rPr>
        <sz val="10"/>
        <color theme="1"/>
        <rFont val="Arial"/>
        <family val="2"/>
      </rPr>
      <t xml:space="preserve">
Eine Untersuchung bestätigt, dass es keine Flächenbelastung durch Altlasten im Quartier gibt (Z0 Natürliche Böden, uneingeschränkter Einbau) </t>
    </r>
    <r>
      <rPr>
        <b/>
        <sz val="10"/>
        <color theme="1"/>
        <rFont val="Arial"/>
        <family val="2"/>
      </rPr>
      <t>(15 Punkte)</t>
    </r>
    <r>
      <rPr>
        <sz val="10"/>
        <color theme="1"/>
        <rFont val="Arial"/>
        <family val="2"/>
      </rPr>
      <t xml:space="preserve">
</t>
    </r>
  </si>
  <si>
    <r>
      <t xml:space="preserve">Für Bodenklassen Z1 – Z5 mit Altlastenuntersuchung nachgewiesen Maßnahmen zur Verbesserung der Bodenklassen:
bei schwächerer Belastung durchgeführt </t>
    </r>
    <r>
      <rPr>
        <b/>
        <sz val="10"/>
        <color theme="1"/>
        <rFont val="Arial"/>
        <family val="2"/>
      </rPr>
      <t>+5 Punkte</t>
    </r>
    <r>
      <rPr>
        <sz val="10"/>
        <color theme="1"/>
        <rFont val="Arial"/>
        <family val="2"/>
      </rPr>
      <t xml:space="preserve">
</t>
    </r>
    <r>
      <rPr>
        <b/>
        <sz val="10"/>
        <color theme="3"/>
        <rFont val="Arial"/>
        <family val="2"/>
      </rPr>
      <t>ODER</t>
    </r>
    <r>
      <rPr>
        <sz val="10"/>
        <color theme="1"/>
        <rFont val="Arial"/>
        <family val="2"/>
      </rPr>
      <t xml:space="preserve">
bei stärkerer Belastung durchgeführt </t>
    </r>
    <r>
      <rPr>
        <b/>
        <sz val="10"/>
        <color theme="1"/>
        <rFont val="Arial"/>
        <family val="2"/>
      </rPr>
      <t>+10 Punkte</t>
    </r>
    <r>
      <rPr>
        <sz val="10"/>
        <color theme="1"/>
        <rFont val="Arial"/>
        <family val="2"/>
      </rPr>
      <t xml:space="preserve">
</t>
    </r>
  </si>
  <si>
    <r>
      <t xml:space="preserve">- Umfassende Betrachtung  (10 Punkte)
</t>
    </r>
    <r>
      <rPr>
        <b/>
        <sz val="10"/>
        <color theme="1"/>
        <rFont val="Arial"/>
        <family val="2"/>
      </rPr>
      <t>ODER</t>
    </r>
    <r>
      <rPr>
        <sz val="10"/>
        <color theme="1"/>
        <rFont val="Arial"/>
        <family val="2"/>
      </rPr>
      <t xml:space="preserve">
- Teilbetrachtung (5 Punkte)</t>
    </r>
  </si>
  <si>
    <t xml:space="preserve">Es liegt eine Analyse/Bestandsuntersuchung vor.
</t>
  </si>
  <si>
    <t xml:space="preserve">Materialität
</t>
  </si>
  <si>
    <t xml:space="preserve">Beleuchtung
</t>
  </si>
  <si>
    <t xml:space="preserve">Nahrungsmittelanbauflächen
</t>
  </si>
  <si>
    <r>
      <t xml:space="preserve">- NO2-Überschreitung an maximal 18 3-Stunden-Intervallen (über den Ein-Stunden-Tagesmaxima-Wert) </t>
    </r>
    <r>
      <rPr>
        <b/>
        <sz val="10"/>
        <color theme="1"/>
        <rFont val="Arial"/>
        <family val="2"/>
      </rPr>
      <t>(5 Punkte)</t>
    </r>
    <r>
      <rPr>
        <sz val="10"/>
        <color theme="1"/>
        <rFont val="Arial"/>
        <family val="2"/>
      </rPr>
      <t xml:space="preserve">
</t>
    </r>
    <r>
      <rPr>
        <b/>
        <sz val="10"/>
        <color theme="1"/>
        <rFont val="Arial"/>
        <family val="2"/>
      </rPr>
      <t>ODER</t>
    </r>
    <r>
      <rPr>
        <sz val="10"/>
        <color theme="1"/>
        <rFont val="Arial"/>
        <family val="2"/>
      </rPr>
      <t xml:space="preserve">
- Keine Überschreitung NO2 </t>
    </r>
    <r>
      <rPr>
        <b/>
        <sz val="10"/>
        <color theme="1"/>
        <rFont val="Arial"/>
        <family val="2"/>
      </rPr>
      <t>(10 Punkte)</t>
    </r>
    <r>
      <rPr>
        <sz val="10"/>
        <color theme="1"/>
        <rFont val="Arial"/>
        <family val="2"/>
      </rPr>
      <t xml:space="preserve">
</t>
    </r>
  </si>
  <si>
    <r>
      <t xml:space="preserve">Umsetzung der Ergebnisse des lufthygienisches Gutachtens
- mind. 50 % Umgesetzt </t>
    </r>
    <r>
      <rPr>
        <b/>
        <sz val="10"/>
        <color theme="1"/>
        <rFont val="Arial"/>
        <family val="2"/>
      </rPr>
      <t>(3 Punkte)</t>
    </r>
    <r>
      <rPr>
        <sz val="10"/>
        <color theme="1"/>
        <rFont val="Arial"/>
        <family val="2"/>
      </rPr>
      <t xml:space="preserve">
</t>
    </r>
    <r>
      <rPr>
        <b/>
        <sz val="10"/>
        <color theme="1"/>
        <rFont val="Arial"/>
        <family val="2"/>
      </rPr>
      <t>ODER</t>
    </r>
    <r>
      <rPr>
        <sz val="10"/>
        <color theme="1"/>
        <rFont val="Arial"/>
        <family val="2"/>
      </rPr>
      <t xml:space="preserve">
- vollständig umgesetzt </t>
    </r>
    <r>
      <rPr>
        <b/>
        <sz val="10"/>
        <color theme="1"/>
        <rFont val="Arial"/>
        <family val="2"/>
      </rPr>
      <t>(7 Punkte)</t>
    </r>
    <r>
      <rPr>
        <sz val="10"/>
        <color theme="1"/>
        <rFont val="Arial"/>
        <family val="2"/>
      </rPr>
      <t xml:space="preserve">
</t>
    </r>
  </si>
  <si>
    <r>
      <t>Die Ermittlung Bewertungspunkte die aufgrund der zusätzlichen Lärmbeeinträchtigung abgezogen werden erfolgt nach Formel 1 (vgl. Kriterium)
(Tragen Sie bitte</t>
    </r>
    <r>
      <rPr>
        <b/>
        <sz val="10"/>
        <color theme="1"/>
        <rFont val="Arial"/>
        <family val="2"/>
      </rPr>
      <t xml:space="preserve"> eine postivie Zahl </t>
    </r>
    <r>
      <rPr>
        <sz val="10"/>
        <color theme="1"/>
        <rFont val="Arial"/>
        <family val="2"/>
      </rPr>
      <t xml:space="preserve">ein, diese wird von den bisher erreichten Punkten abgezogen)
</t>
    </r>
  </si>
  <si>
    <t>Eine einheitliche Orientierung der Oberflächenstruktur z. B. an Querungsstellen</t>
  </si>
  <si>
    <t xml:space="preserve">Abfallvermeidung und Abfallverwertung
</t>
  </si>
  <si>
    <t xml:space="preserve">Verfahren zur Konzeptfindung: Es wurden konkurrierende und/oder kooperative Verfahren für den städtebaulichen Entwurf durchgeführt 
</t>
  </si>
  <si>
    <t xml:space="preserve">Beteiligung von Nutzern, Anliegern oder Interessenvertretern: An der Entscheidungsfindung wurden Repräsentanten der Nutzer, Anlieger oder Interessenvertreter beteiligt
</t>
  </si>
  <si>
    <t xml:space="preserve">Vorprüfung nach DGNB-Kriterien: Die Vorprüfung des städtebaulichen und landschaftsplanerischen Wettbewerbs erfolgt nach DGNB-Kriterien
</t>
  </si>
  <si>
    <r>
      <rPr>
        <b/>
        <sz val="10"/>
        <rFont val="Arial"/>
        <family val="2"/>
      </rPr>
      <t>Unterhaltungspflege-Vertrag</t>
    </r>
    <r>
      <rPr>
        <sz val="10"/>
        <color theme="1"/>
        <rFont val="Arial"/>
        <family val="2"/>
      </rPr>
      <t xml:space="preserve">
</t>
    </r>
  </si>
  <si>
    <r>
      <rPr>
        <b/>
        <sz val="10"/>
        <rFont val="Arial"/>
        <family val="2"/>
      </rPr>
      <t>Entwicklungspflege-Vertrag</t>
    </r>
    <r>
      <rPr>
        <sz val="10"/>
        <color theme="1"/>
        <rFont val="Arial"/>
        <family val="2"/>
      </rPr>
      <t xml:space="preserve">
</t>
    </r>
  </si>
  <si>
    <t xml:space="preserve">Wassernutzungskonzept
</t>
  </si>
  <si>
    <t xml:space="preserve">Nutzung von Regen- bzw. Betriebswasser* bei 100 % der öffentlichen Freiflächen 
</t>
  </si>
  <si>
    <t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t>
  </si>
  <si>
    <t xml:space="preserve">Gutachten zum Belüftungspotential
</t>
  </si>
  <si>
    <t xml:space="preserve">Gewichtete Umweltwirkungen: gesamtes Quartier
</t>
  </si>
  <si>
    <r>
      <rPr>
        <b/>
        <sz val="10"/>
        <rFont val="Arial"/>
        <family val="2"/>
      </rPr>
      <t>Gewichtete Umweltwirkungen: der Energieversorgung</t>
    </r>
    <r>
      <rPr>
        <b/>
        <sz val="10"/>
        <color theme="1"/>
        <rFont val="Arial"/>
        <family val="2"/>
      </rPr>
      <t xml:space="preserve">
</t>
    </r>
    <r>
      <rPr>
        <sz val="10"/>
        <color theme="1"/>
        <rFont val="Arial"/>
        <family val="2"/>
      </rPr>
      <t xml:space="preserve">Bewertung der Ökobilanz-Ergebnisse
</t>
    </r>
  </si>
  <si>
    <r>
      <rPr>
        <b/>
        <sz val="10"/>
        <rFont val="Arial"/>
        <family val="2"/>
      </rPr>
      <t>Gewichtete Umweltwirkungen: Gebäude</t>
    </r>
    <r>
      <rPr>
        <b/>
        <sz val="10"/>
        <color theme="1"/>
        <rFont val="Arial"/>
        <family val="2"/>
      </rPr>
      <t xml:space="preserve">
</t>
    </r>
    <r>
      <rPr>
        <sz val="10"/>
        <color theme="1"/>
        <rFont val="Arial"/>
        <family val="2"/>
      </rPr>
      <t xml:space="preserve">Bewertung der Ökobilanz-Ergebnisse des größten Gebäudes (BGF) am Standort
</t>
    </r>
  </si>
  <si>
    <t xml:space="preserve">Für die Bewertung der Subindikatoren ist in Anlage 3 eine Bewertungsmatrix bereitgestellt.
</t>
  </si>
  <si>
    <r>
      <rPr>
        <b/>
        <sz val="10"/>
        <rFont val="Arial"/>
        <family val="2"/>
      </rPr>
      <t>Trendforschung</t>
    </r>
    <r>
      <rPr>
        <sz val="10"/>
        <color theme="1"/>
        <rFont val="Arial"/>
        <family val="2"/>
      </rPr>
      <t xml:space="preserve">
Bei der Planung wurde ein Trendbarometer für die Region/Stadt berücksichtigt. 
</t>
    </r>
  </si>
  <si>
    <r>
      <rPr>
        <b/>
        <sz val="10"/>
        <rFont val="Arial"/>
        <family val="2"/>
      </rPr>
      <t>Innovationsmanagement</t>
    </r>
    <r>
      <rPr>
        <sz val="10"/>
        <color theme="1"/>
        <rFont val="Arial"/>
        <family val="2"/>
      </rPr>
      <t xml:space="preserve">
Bei der Planung des Quartiers wurde darauf geachtet, dass zukünftige technische und soziale Innovationen intergiert werden können. 
</t>
    </r>
  </si>
  <si>
    <r>
      <rPr>
        <b/>
        <sz val="10"/>
        <rFont val="Arial"/>
        <family val="2"/>
      </rPr>
      <t>Versorgungssicherheit Trinkwasser</t>
    </r>
    <r>
      <rPr>
        <sz val="10"/>
        <rFont val="Arial"/>
        <family val="2"/>
      </rPr>
      <t xml:space="preserve">
</t>
    </r>
  </si>
  <si>
    <r>
      <rPr>
        <b/>
        <sz val="10"/>
        <rFont val="Arial"/>
        <family val="2"/>
      </rPr>
      <t>Versorgungssicherheit Abwasser</t>
    </r>
    <r>
      <rPr>
        <sz val="10"/>
        <rFont val="Arial"/>
        <family val="2"/>
      </rPr>
      <t xml:space="preserve">
</t>
    </r>
  </si>
  <si>
    <r>
      <rPr>
        <b/>
        <sz val="10"/>
        <rFont val="Arial"/>
        <family val="2"/>
      </rPr>
      <t>Energieinfrastruktur</t>
    </r>
    <r>
      <rPr>
        <sz val="10"/>
        <color theme="1"/>
        <rFont val="Arial"/>
        <family val="2"/>
      </rPr>
      <t xml:space="preserve">
- Es wird im Quartier selbst Energie produziert (mind. 10 % des Endenergieverbrauchs für Wärme und Strom).   +5 Punkte
- Es sind Energiespeicherkapazitäten (Batteriespeicher, Warmwasserspeicher, Wasserstoffspeicher etc.) im Quartier vorhanden.   +10 Punkte
</t>
    </r>
  </si>
  <si>
    <r>
      <rPr>
        <b/>
        <sz val="10"/>
        <rFont val="Arial"/>
        <family val="2"/>
      </rPr>
      <t>Klimaanpassungsplan</t>
    </r>
    <r>
      <rPr>
        <sz val="10"/>
        <color theme="1"/>
        <rFont val="Arial"/>
        <family val="2"/>
      </rPr>
      <t xml:space="preserve">
Die Kommune hat einen Klimaanpassungsplan
</t>
    </r>
  </si>
  <si>
    <r>
      <rPr>
        <b/>
        <sz val="10"/>
        <rFont val="Arial"/>
        <family val="2"/>
      </rPr>
      <t>Öffentlichkeitsarbeit</t>
    </r>
    <r>
      <rPr>
        <sz val="10"/>
        <rFont val="Arial"/>
        <family val="2"/>
      </rPr>
      <t xml:space="preserve">
</t>
    </r>
  </si>
  <si>
    <r>
      <rPr>
        <b/>
        <sz val="10"/>
        <rFont val="Arial"/>
        <family val="2"/>
      </rPr>
      <t>Festivalisierung/Events</t>
    </r>
    <r>
      <rPr>
        <sz val="10"/>
        <rFont val="Arial"/>
        <family val="2"/>
      </rPr>
      <t xml:space="preserve">
</t>
    </r>
  </si>
  <si>
    <r>
      <rPr>
        <b/>
        <sz val="10"/>
        <rFont val="Arial"/>
        <family val="2"/>
      </rPr>
      <t>Vor-Ort-Information</t>
    </r>
    <r>
      <rPr>
        <sz val="10"/>
        <rFont val="Arial"/>
        <family val="2"/>
      </rPr>
      <t xml:space="preserve">
</t>
    </r>
  </si>
  <si>
    <r>
      <rPr>
        <b/>
        <sz val="10"/>
        <rFont val="Arial"/>
        <family val="2"/>
      </rPr>
      <t>Direkte Vermarktung</t>
    </r>
    <r>
      <rPr>
        <sz val="10"/>
        <rFont val="Arial"/>
        <family val="2"/>
      </rPr>
      <t xml:space="preserve">
</t>
    </r>
  </si>
  <si>
    <r>
      <rPr>
        <b/>
        <sz val="10"/>
        <rFont val="Arial"/>
        <family val="2"/>
      </rPr>
      <t>Medienarbeit/Broschüren</t>
    </r>
    <r>
      <rPr>
        <sz val="10"/>
        <rFont val="Arial"/>
        <family val="2"/>
      </rPr>
      <t xml:space="preserve">
mit</t>
    </r>
    <r>
      <rPr>
        <b/>
        <sz val="10"/>
        <rFont val="Arial"/>
        <family val="2"/>
      </rPr>
      <t xml:space="preserve"> min. zwei verschiedenen Medien</t>
    </r>
    <r>
      <rPr>
        <sz val="10"/>
        <rFont val="Arial"/>
        <family val="2"/>
      </rPr>
      <t xml:space="preserve"> beworben wird. (Broschüren/Zeitungen/Internet/Fernsehen/Radio/Plakate usw.)  
(Artikel und Meldungen zum Projekt reichen nicht aus).
</t>
    </r>
  </si>
  <si>
    <r>
      <rPr>
        <b/>
        <sz val="10"/>
        <rFont val="Arial"/>
        <family val="2"/>
      </rPr>
      <t>Immobilienauszeichnung</t>
    </r>
    <r>
      <rPr>
        <sz val="10"/>
        <rFont val="Arial"/>
        <family val="2"/>
      </rPr>
      <t xml:space="preserve">
Immobilienauszeichnung mit offiziellem Charakter (keine Auszeichnungen durch den Entwickler selbst)
</t>
    </r>
  </si>
  <si>
    <r>
      <rPr>
        <b/>
        <sz val="10"/>
        <rFont val="Arial"/>
        <family val="2"/>
      </rPr>
      <t>Gebäudezertifikat</t>
    </r>
    <r>
      <rPr>
        <sz val="10"/>
        <rFont val="Arial"/>
        <family val="2"/>
      </rPr>
      <t xml:space="preserve">
Ist erfüllt, wenn der Projektträger min. 20 % der Gebäude im Quartier nach
DGNB oder einem anderen unabhängigen Nachhaltigkeitssystem zertifiziert.
</t>
    </r>
  </si>
  <si>
    <r>
      <rPr>
        <b/>
        <sz val="10"/>
        <rFont val="Arial"/>
        <family val="2"/>
      </rPr>
      <t>Standortanalyse</t>
    </r>
    <r>
      <rPr>
        <sz val="10"/>
        <rFont val="Arial"/>
        <family val="2"/>
      </rPr>
      <t xml:space="preserv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t>
    </r>
  </si>
  <si>
    <r>
      <rPr>
        <b/>
        <sz val="10"/>
        <rFont val="Arial"/>
        <family val="2"/>
      </rPr>
      <t>Zielgruppenanalyse</t>
    </r>
    <r>
      <rPr>
        <sz val="10"/>
        <rFont val="Arial"/>
        <family val="2"/>
      </rPr>
      <t xml:space="preserve">
- Demografische und soziale Merkmale
- Lebensstil und Freizeitverhalten
- Nachfrageverhalten
- Wirtschaftsbereiche
- Größenmerkmale (gewerbliche Ansiedler)
</t>
    </r>
  </si>
  <si>
    <r>
      <rPr>
        <b/>
        <sz val="10"/>
        <rFont val="Arial"/>
        <family val="2"/>
      </rPr>
      <t>Konkurrenzanalyse</t>
    </r>
    <r>
      <rPr>
        <sz val="10"/>
        <rFont val="Arial"/>
        <family val="2"/>
      </rPr>
      <t xml:space="preserve">
liegt vor, wenn in der Analyse auf konkurrierende Projekte eingegangen wird und Folgerungen daraus abgeleitet werden.
</t>
    </r>
  </si>
  <si>
    <r>
      <rPr>
        <b/>
        <sz val="10"/>
        <rFont val="Arial"/>
        <family val="2"/>
      </rPr>
      <t>Marktgerechter Nutzungsmix</t>
    </r>
    <r>
      <rPr>
        <sz val="10"/>
        <rFont val="Arial"/>
        <family val="2"/>
      </rPr>
      <t xml:space="preserve">
liegt vor, wenn der umgesetzte Quartiersnutzungsmix eindeutig aus der Marktanalyse ablesbar ist. Hier sind nicht nur die Nutzungen selbst, sondern auch Eigentums- und Mietstrukturen, Haushalts- und Gewerbegrößen gemeint.
</t>
    </r>
  </si>
  <si>
    <r>
      <rPr>
        <b/>
        <sz val="10"/>
        <rFont val="Arial"/>
        <family val="2"/>
      </rPr>
      <t>Arbeitslosenquote</t>
    </r>
    <r>
      <rPr>
        <sz val="10"/>
        <rFont val="Arial"/>
        <family val="2"/>
      </rPr>
      <t xml:space="preserve">
- Die durchschnittliche Arbeitslosenquote der letzten 5 Jahre für die Stadt / den Stadtteil liegt unter dem Bundesdurchschnitt. (5 Punkte)
</t>
    </r>
    <r>
      <rPr>
        <b/>
        <sz val="10"/>
        <rFont val="Arial"/>
        <family val="2"/>
      </rPr>
      <t>ODER</t>
    </r>
    <r>
      <rPr>
        <sz val="10"/>
        <rFont val="Arial"/>
        <family val="2"/>
      </rPr>
      <t xml:space="preserve">
- Die durchschnittliche Arbeitslosenquote der letzten 5 Jahre für die Stadt / den Stadtteil ist niedriger als die durchschnittliche Arbeitslosenquote der letzten 15 Jahre für die Stadt / den Stadtteil. (10 Punkte)
</t>
    </r>
  </si>
  <si>
    <r>
      <rPr>
        <b/>
        <sz val="10"/>
        <rFont val="Arial"/>
        <family val="2"/>
      </rPr>
      <t>Arbeitsplätze im Betrieb</t>
    </r>
    <r>
      <rPr>
        <sz val="10"/>
        <rFont val="Arial"/>
        <family val="2"/>
      </rPr>
      <t xml:space="preserve">
- Es werden sowohl gelernte als auch ungelernte Arbeitsplätze angeboten. +5
- Das Unternehmen bildet selbst aus. +5
- Unter den Auszubildenden finden sich in der Regel sowohl Absolventen mit Hauptschulabschluss, Mittlerer Reife als auch Abiturienten. +5</t>
    </r>
  </si>
  <si>
    <r>
      <rPr>
        <b/>
        <sz val="10"/>
        <rFont val="Arial"/>
        <family val="2"/>
      </rPr>
      <t>Untersuchung in allen Kategorien</t>
    </r>
    <r>
      <rPr>
        <sz val="10"/>
        <rFont val="Arial"/>
        <family val="2"/>
      </rPr>
      <t xml:space="preserve">
Untersuchung mit Aufteilung in alle Kategorien (A–C). Die Anforderungen werden: 
- nicht eingehalten oder sind nicht nachgewiesen. </t>
    </r>
    <r>
      <rPr>
        <b/>
        <sz val="10"/>
        <rFont val="Arial"/>
        <family val="2"/>
      </rPr>
      <t xml:space="preserve">(3 Punkte)
</t>
    </r>
    <r>
      <rPr>
        <sz val="10"/>
        <rFont val="Arial"/>
        <family val="2"/>
      </rPr>
      <t xml:space="preserve">ODER
- im Mittelwert über alle untersuchten Aufenthaltsbereiche zu mindestens 50 % erfüllt. </t>
    </r>
    <r>
      <rPr>
        <b/>
        <sz val="10"/>
        <rFont val="Arial"/>
        <family val="2"/>
      </rPr>
      <t>(5 Punkte)</t>
    </r>
    <r>
      <rPr>
        <sz val="10"/>
        <rFont val="Arial"/>
        <family val="2"/>
      </rPr>
      <t xml:space="preserve">
ODER
- in jedem einzelnen untersuchten Aufenthaltsbereich zu mindestens 80 % erfüllt. </t>
    </r>
    <r>
      <rPr>
        <b/>
        <sz val="10"/>
        <rFont val="Arial"/>
        <family val="2"/>
      </rPr>
      <t>(10 Punkte)</t>
    </r>
    <r>
      <rPr>
        <sz val="10"/>
        <rFont val="Arial"/>
        <family val="2"/>
      </rPr>
      <t xml:space="preserve">
</t>
    </r>
  </si>
  <si>
    <r>
      <rPr>
        <b/>
        <sz val="10"/>
        <rFont val="Arial"/>
        <family val="2"/>
      </rPr>
      <t>Analyse Mikroklima</t>
    </r>
    <r>
      <rPr>
        <sz val="10"/>
        <rFont val="Arial"/>
        <family val="2"/>
      </rPr>
      <t xml:space="preserve">
</t>
    </r>
  </si>
  <si>
    <r>
      <rPr>
        <b/>
        <sz val="10"/>
        <rFont val="Arial"/>
        <family val="2"/>
      </rPr>
      <t>Sonneneinstrahlung am 21. Dezember in Stunden</t>
    </r>
    <r>
      <rPr>
        <sz val="10"/>
        <rFont val="Arial"/>
        <family val="2"/>
      </rPr>
      <t xml:space="preserve">
- ≥ 1 h  (5 Punkte)
ODER
- ≥ 3 h  (10 Punkte)
</t>
    </r>
  </si>
  <si>
    <r>
      <rPr>
        <b/>
        <sz val="10"/>
        <rFont val="Arial"/>
        <family val="2"/>
      </rPr>
      <t>Verschattung der Untersuchungsbereiche in Prozent</t>
    </r>
    <r>
      <rPr>
        <sz val="10"/>
        <rFont val="Arial"/>
        <family val="2"/>
      </rPr>
      <t xml:space="preserve">
≥ 10 % der Flächen haben einen sommerlichen Sonnenschutz  (5 Punkte)
ODER
≥ 30 % der Flächen haben einen sommerlichen Sonnenschutz  (10 Punkte)
</t>
    </r>
  </si>
  <si>
    <r>
      <rPr>
        <b/>
        <sz val="10"/>
        <rFont val="Arial"/>
        <family val="2"/>
      </rPr>
      <t>Windschutzmaßnahmen</t>
    </r>
    <r>
      <rPr>
        <sz val="10"/>
        <rFont val="Arial"/>
        <family val="2"/>
      </rPr>
      <t xml:space="preserve">
Die Bebauungsstruktur ist stadtklimatisch optimiert, sodass negative Effekte für die Aufenthaltsbereiche vermieden werden. Bei Flächen, die von Windböen betroffen sind, werden Windschutzmaßnahmen eingesetzt.
</t>
    </r>
  </si>
  <si>
    <r>
      <rPr>
        <b/>
        <sz val="10"/>
        <rFont val="Arial"/>
        <family val="2"/>
      </rPr>
      <t>Maßnahmen Verbesserung Mikroklima</t>
    </r>
    <r>
      <rPr>
        <sz val="10"/>
        <rFont val="Arial"/>
        <family val="2"/>
      </rPr>
      <t xml:space="preserve">
Zwischen 33 und 100% der notwendigen Maßnahmen werden umgesetzt
</t>
    </r>
  </si>
  <si>
    <r>
      <rPr>
        <b/>
        <sz val="10"/>
        <rFont val="Arial"/>
        <family val="2"/>
      </rPr>
      <t>Freiraumstruktur</t>
    </r>
    <r>
      <rPr>
        <sz val="10"/>
        <rFont val="Arial"/>
        <family val="2"/>
      </rPr>
      <t xml:space="preserve">
</t>
    </r>
  </si>
  <si>
    <r>
      <rPr>
        <b/>
        <sz val="10"/>
        <rFont val="Arial"/>
        <family val="2"/>
      </rPr>
      <t>Freiraumtypen</t>
    </r>
    <r>
      <rPr>
        <sz val="10"/>
        <rFont val="Arial"/>
        <family val="2"/>
      </rPr>
      <t xml:space="preserve">
</t>
    </r>
  </si>
  <si>
    <r>
      <rPr>
        <b/>
        <sz val="10"/>
        <rFont val="Arial"/>
        <family val="2"/>
      </rPr>
      <t>Vegetation</t>
    </r>
    <r>
      <rPr>
        <sz val="10"/>
        <rFont val="Arial"/>
        <family val="2"/>
      </rPr>
      <t xml:space="preserve">
</t>
    </r>
  </si>
  <si>
    <r>
      <rPr>
        <b/>
        <sz val="10"/>
        <rFont val="Arial"/>
        <family val="2"/>
      </rPr>
      <t>Ausstattung</t>
    </r>
    <r>
      <rPr>
        <sz val="10"/>
        <rFont val="Arial"/>
        <family val="2"/>
      </rPr>
      <t xml:space="preserve">
</t>
    </r>
  </si>
  <si>
    <r>
      <rPr>
        <b/>
        <sz val="10"/>
        <rFont val="Arial"/>
        <family val="2"/>
      </rPr>
      <t>Verkehrsflächen</t>
    </r>
    <r>
      <rPr>
        <sz val="10"/>
        <rFont val="Arial"/>
        <family val="2"/>
      </rPr>
      <t xml:space="preserve">
</t>
    </r>
  </si>
  <si>
    <r>
      <rPr>
        <b/>
        <sz val="10"/>
        <rFont val="Arial"/>
        <family val="2"/>
      </rPr>
      <t>Gestaltung von privaten Freiflächen</t>
    </r>
    <r>
      <rPr>
        <sz val="10"/>
        <rFont val="Arial"/>
        <family val="2"/>
      </rPr>
      <t xml:space="preserve">
</t>
    </r>
  </si>
  <si>
    <t>Es gibt ein (umgesetztes) Beleuchtungskonzept, das explizit auf das Thema Lichtverschmutzung und deren Vermeidung eingeht  und v. a. eine möglichst geringe Raumaufhellung angrenzender Nutzungen berücksichtigt.</t>
  </si>
  <si>
    <t>Thermischer Komfort</t>
  </si>
  <si>
    <t>Ausreichend behindertengerechte Pkw-Stellplätze in unmittelbarer Nähe der Arena (entsprechend der Gesamtkapazität der Arena: 
15.000 – 20.000 Besucher = mind. 30 Rollstuhlfahrer + mind. 10 Sehbehindert; 
20.000 – 30.000 Besucher = mind. 50 Rollstuhlfahrer + 12 Sehbehindert; 
30.000 – 50.000 = mind. 75 Rollstuhlfahrer + mind. 15 Sehbehindert; 
&gt; 50.000 Besucher = mind. 100 Rollstuhlfahrer + mind. 20 Sehbehindert)</t>
  </si>
  <si>
    <t>Qualitätsstufe 1    max.10
Qualitätsstufe 2    max.20
Qualitätsstufe 3    max.40
Qualitätsstufe 4    max.50</t>
  </si>
  <si>
    <t>Qualitätsstufe 1    max.10
Qualitätsstufe 2    max.30
Qualitätsstufe 3    max.50</t>
  </si>
  <si>
    <r>
      <rPr>
        <b/>
        <sz val="10"/>
        <rFont val="Arial"/>
        <family val="2"/>
      </rPr>
      <t>Übergeordnetes Gestaltungskonzept</t>
    </r>
    <r>
      <rPr>
        <sz val="10"/>
        <rFont val="Arial"/>
        <family val="2"/>
      </rPr>
      <t xml:space="preserve">
</t>
    </r>
  </si>
  <si>
    <r>
      <rPr>
        <b/>
        <sz val="10"/>
        <rFont val="Arial"/>
        <family val="2"/>
      </rPr>
      <t>Regelwerk für die Charakteristika von Baukörpern</t>
    </r>
    <r>
      <rPr>
        <sz val="10"/>
        <rFont val="Arial"/>
        <family val="2"/>
      </rPr>
      <t xml:space="preserve">
</t>
    </r>
  </si>
  <si>
    <r>
      <rPr>
        <b/>
        <sz val="10"/>
        <rFont val="Arial"/>
        <family val="2"/>
      </rPr>
      <t>Material, Farbe, Textur</t>
    </r>
    <r>
      <rPr>
        <sz val="10"/>
        <rFont val="Arial"/>
        <family val="2"/>
      </rPr>
      <t xml:space="preserve">
</t>
    </r>
  </si>
  <si>
    <r>
      <rPr>
        <b/>
        <sz val="10"/>
        <rFont val="Arial"/>
        <family val="2"/>
      </rPr>
      <t>Gestaltung von städtebaulich prägnanten Gebäuden</t>
    </r>
    <r>
      <rPr>
        <sz val="10"/>
        <rFont val="Arial"/>
        <family val="2"/>
      </rPr>
      <t xml:space="preserve">
</t>
    </r>
  </si>
  <si>
    <r>
      <rPr>
        <b/>
        <sz val="10"/>
        <rFont val="Arial"/>
        <family val="2"/>
      </rPr>
      <t>Gestaltung von privaten Stellplätzen und Nebenanlagen</t>
    </r>
    <r>
      <rPr>
        <sz val="10"/>
        <rFont val="Arial"/>
        <family val="2"/>
      </rPr>
      <t xml:space="preserve">
</t>
    </r>
  </si>
  <si>
    <r>
      <rPr>
        <b/>
        <sz val="10"/>
        <rFont val="Arial"/>
        <family val="2"/>
      </rPr>
      <t>Einbindung bestehender sozialer Strukturen oder Nutzungen</t>
    </r>
    <r>
      <rPr>
        <sz val="10"/>
        <rFont val="Arial"/>
        <family val="2"/>
      </rPr>
      <t xml:space="preserve">
Schutz, Erhalt von vorher vorhandenen Strukturen. z. B. Kleingärtner
</t>
    </r>
  </si>
  <si>
    <r>
      <t xml:space="preserve">Nutzungsanteil Stadtquartiere 
</t>
    </r>
    <r>
      <rPr>
        <sz val="10"/>
        <rFont val="Arial"/>
        <family val="2"/>
      </rPr>
      <t>Der prozentuale Anteil der Wohnnutzung (BGFW) im Verhältnis zur Gesamt-BGF</t>
    </r>
    <r>
      <rPr>
        <vertAlign val="subscript"/>
        <sz val="10"/>
        <rFont val="Arial"/>
        <family val="2"/>
      </rPr>
      <t>DGNB</t>
    </r>
    <r>
      <rPr>
        <sz val="10"/>
        <rFont val="Arial"/>
        <family val="2"/>
      </rPr>
      <t xml:space="preserve"> im Quartier beträgt:
-   0,0 – 20,0 % =   0 Punkte
- 20,1 – 30,0 % = 10 Punkte
- 30,1 – 50,0 % = 15 Punkte
- 50,1 – 70,0 % = 20 Punkte
- 70,1 – 80,0 % = 15 Punkte
- davon Anteil sozialer Wohnungsbau ≥ 20%  = 5 Punkte
</t>
    </r>
  </si>
  <si>
    <r>
      <rPr>
        <b/>
        <sz val="10"/>
        <rFont val="Arial"/>
        <family val="2"/>
      </rPr>
      <t>Stärkung der lokalen Ökonomie</t>
    </r>
    <r>
      <rPr>
        <sz val="10"/>
        <rFont val="Arial"/>
        <family val="2"/>
      </rPr>
      <t xml:space="preserve">
</t>
    </r>
  </si>
  <si>
    <r>
      <rPr>
        <b/>
        <sz val="10"/>
        <rFont val="Arial"/>
        <family val="2"/>
      </rPr>
      <t>Wohnformen</t>
    </r>
    <r>
      <rPr>
        <sz val="10"/>
        <rFont val="Arial"/>
        <family val="2"/>
      </rPr>
      <t xml:space="preserve">
- Gibt es Programme, Initiativen oder Förderungen, die innovative Wohnformen im Quartier ermöglichen (Baugruppen, Generationenhäuser, geförderter Wohnungsbau)?
- Pro Programm, Förderung oder Initiative können 4 PUNKTE vergeben werden. </t>
    </r>
  </si>
  <si>
    <r>
      <rPr>
        <b/>
        <sz val="10"/>
        <rFont val="Arial"/>
        <family val="2"/>
      </rPr>
      <t>Differenzierte Branchenstruktur</t>
    </r>
    <r>
      <rPr>
        <sz val="10"/>
        <rFont val="Arial"/>
        <family val="2"/>
      </rPr>
      <t xml:space="preserve">
Das Quartier besteht aus zwei oder mehreren Branchen (Beispiele siehe Methode), wovon jede mindestens 10 % der Gesamt-BGF 
</t>
    </r>
  </si>
  <si>
    <r>
      <rPr>
        <b/>
        <sz val="10"/>
        <color theme="1"/>
        <rFont val="Arial"/>
        <family val="2"/>
      </rPr>
      <t>Energiebedarf</t>
    </r>
    <r>
      <rPr>
        <sz val="10"/>
        <color theme="1"/>
        <rFont val="Arial"/>
        <family val="2"/>
      </rPr>
      <t xml:space="preserve">
</t>
    </r>
  </si>
  <si>
    <r>
      <rPr>
        <b/>
        <sz val="10"/>
        <color theme="1"/>
        <rFont val="Arial"/>
        <family val="2"/>
      </rPr>
      <t>Energiebilanz</t>
    </r>
    <r>
      <rPr>
        <sz val="10"/>
        <color theme="1"/>
        <rFont val="Arial"/>
        <family val="2"/>
      </rPr>
      <t xml:space="preserve">
</t>
    </r>
  </si>
  <si>
    <r>
      <rPr>
        <b/>
        <sz val="10"/>
        <color theme="1"/>
        <rFont val="Arial"/>
        <family val="2"/>
      </rPr>
      <t>Energieversorgungsvarianten</t>
    </r>
    <r>
      <rPr>
        <sz val="10"/>
        <color theme="1"/>
        <rFont val="Arial"/>
        <family val="2"/>
      </rPr>
      <t xml:space="preserve">
</t>
    </r>
  </si>
  <si>
    <r>
      <rPr>
        <b/>
        <sz val="10"/>
        <color theme="1"/>
        <rFont val="Arial"/>
        <family val="2"/>
      </rPr>
      <t>Investitionen und Betriebskosten</t>
    </r>
    <r>
      <rPr>
        <sz val="10"/>
        <color theme="1"/>
        <rFont val="Arial"/>
        <family val="2"/>
      </rPr>
      <t xml:space="preserve">
</t>
    </r>
  </si>
  <si>
    <r>
      <rPr>
        <b/>
        <sz val="10"/>
        <color theme="1"/>
        <rFont val="Arial"/>
        <family val="2"/>
      </rPr>
      <t>Wärme- und Kälteversorgungsstruktur</t>
    </r>
    <r>
      <rPr>
        <sz val="10"/>
        <color theme="1"/>
        <rFont val="Arial"/>
        <family val="2"/>
      </rPr>
      <t xml:space="preserve">
Eine kohärente Wärme- bzw. Kälteversorgungsstruktur ist gegeben.
</t>
    </r>
  </si>
  <si>
    <r>
      <rPr>
        <b/>
        <sz val="10"/>
        <color theme="1"/>
        <rFont val="Arial"/>
        <family val="2"/>
      </rPr>
      <t>Nutzung der Dachflächen zur Energiegewinnung</t>
    </r>
    <r>
      <rPr>
        <sz val="10"/>
        <color theme="1"/>
        <rFont val="Arial"/>
        <family val="2"/>
      </rPr>
      <t xml:space="preserve">
Prozentualer Anteil der Dachflächen die zur regenerative Energieerzeugung genutzt werden
</t>
    </r>
  </si>
  <si>
    <r>
      <rPr>
        <b/>
        <sz val="10"/>
        <color theme="1"/>
        <rFont val="Arial"/>
        <family val="2"/>
      </rPr>
      <t>Einführung Energiemanagement/-audits</t>
    </r>
    <r>
      <rPr>
        <sz val="10"/>
        <color theme="1"/>
        <rFont val="Arial"/>
        <family val="2"/>
      </rPr>
      <t xml:space="preserve">
Prozentualer Anteil der Unternehmen in Quartieren (gemessen an der BGF), die Energieberatung, Energieaudit durchgeführt haben oder über ein Energiemanagementsystem verfügen. 
</t>
    </r>
  </si>
  <si>
    <r>
      <rPr>
        <b/>
        <sz val="10"/>
        <color theme="1"/>
        <rFont val="Arial"/>
        <family val="2"/>
      </rPr>
      <t>Lastmanagement auf Quartierebene</t>
    </r>
    <r>
      <rPr>
        <sz val="10"/>
        <color theme="1"/>
        <rFont val="Arial"/>
        <family val="2"/>
      </rPr>
      <t xml:space="preserve">
Es wurde ein Lastmanagement auf Ebene des Quartiers bzw. für große Verbraucher eingeführt.
</t>
    </r>
  </si>
  <si>
    <r>
      <rPr>
        <b/>
        <sz val="10"/>
        <color theme="1"/>
        <rFont val="Arial"/>
        <family val="2"/>
      </rPr>
      <t>Konzept Wertstoffnutzung</t>
    </r>
    <r>
      <rPr>
        <sz val="10"/>
        <color theme="1"/>
        <rFont val="Arial"/>
        <family val="2"/>
      </rPr>
      <t xml:space="preserve">
</t>
    </r>
  </si>
  <si>
    <t xml:space="preserve">Förderung Informations- und Aufklärungskampagnen
</t>
  </si>
  <si>
    <r>
      <rPr>
        <b/>
        <sz val="10"/>
        <color theme="1"/>
        <rFont val="Arial"/>
        <family val="2"/>
      </rPr>
      <t>Wiederverwendungs- und Reparaturservices</t>
    </r>
    <r>
      <rPr>
        <sz val="10"/>
        <color theme="1"/>
        <rFont val="Arial"/>
        <family val="2"/>
      </rPr>
      <t xml:space="preserve">
Einrichtung von Wiederverwendungs- und Reparaturservices
</t>
    </r>
  </si>
  <si>
    <r>
      <rPr>
        <b/>
        <sz val="10"/>
        <color theme="1"/>
        <rFont val="Arial"/>
        <family val="2"/>
      </rPr>
      <t>Förderung Sharing Economy</t>
    </r>
    <r>
      <rPr>
        <sz val="10"/>
        <color theme="1"/>
        <rFont val="Arial"/>
        <family val="2"/>
      </rPr>
      <t xml:space="preserve">
Im Areal werden besondere Maßnahmen zur Förderung der Kreislauf-wirtschaft umgesetzt (z.B. Rücknahme-/Pfand-, Leasing oder Cradle-to-Cradle®-Systeme für Cateringprodukte, Möbel, etc., Sharing Economy-Konzepte).</t>
    </r>
  </si>
  <si>
    <r>
      <rPr>
        <b/>
        <sz val="10"/>
        <color theme="1"/>
        <rFont val="Arial"/>
        <family val="2"/>
      </rPr>
      <t xml:space="preserve">Kompostierung
</t>
    </r>
    <r>
      <rPr>
        <sz val="10"/>
        <color theme="1"/>
        <rFont val="Arial"/>
        <family val="2"/>
      </rPr>
      <t>Einrichten von Anlagen zur Kompostierung des im Quartier (oder im Umfeld) anfallenden kompostierfähigen Abfalls.</t>
    </r>
    <r>
      <rPr>
        <b/>
        <sz val="10"/>
        <color theme="1"/>
        <rFont val="Arial"/>
        <family val="2"/>
      </rPr>
      <t xml:space="preserve">
</t>
    </r>
  </si>
  <si>
    <r>
      <rPr>
        <b/>
        <sz val="10"/>
        <color theme="1"/>
        <rFont val="Arial"/>
        <family val="2"/>
      </rPr>
      <t>Abfalllogistik</t>
    </r>
    <r>
      <rPr>
        <sz val="10"/>
        <color theme="1"/>
        <rFont val="Arial"/>
        <family val="2"/>
      </rPr>
      <t xml:space="preserve">
Innovative Abfalllogistikkonzepte im Quartier
- Es ist ein Abfalllogistikkonzept erstellt worden (5 Punkte)
- Das Abfalllogistikkonzept wurde umgesetzt (5 Punkte)
</t>
    </r>
  </si>
  <si>
    <r>
      <rPr>
        <b/>
        <sz val="10"/>
        <color theme="1"/>
        <rFont val="Arial"/>
        <family val="2"/>
      </rPr>
      <t>Zentrales Abfallmanagement</t>
    </r>
    <r>
      <rPr>
        <sz val="10"/>
        <color theme="1"/>
        <rFont val="Arial"/>
        <family val="2"/>
      </rPr>
      <t xml:space="preserve">
Es gibt ein quartiersbezogenes zentrales Abfallmanagement.
</t>
    </r>
  </si>
  <si>
    <r>
      <rPr>
        <b/>
        <sz val="10"/>
        <color theme="1"/>
        <rFont val="Arial"/>
        <family val="2"/>
      </rPr>
      <t>Abfallvermeidung für Mieter/Gewerbetreibende</t>
    </r>
    <r>
      <rPr>
        <sz val="10"/>
        <color theme="1"/>
        <rFont val="Arial"/>
        <family val="2"/>
      </rPr>
      <t xml:space="preserve">
</t>
    </r>
  </si>
  <si>
    <r>
      <rPr>
        <b/>
        <sz val="10"/>
        <color theme="1"/>
        <rFont val="Arial"/>
        <family val="2"/>
      </rPr>
      <t>Schulung der Mitarbeiter</t>
    </r>
    <r>
      <rPr>
        <sz val="10"/>
        <color theme="1"/>
        <rFont val="Arial"/>
        <family val="2"/>
      </rPr>
      <t xml:space="preserve">
</t>
    </r>
  </si>
  <si>
    <t xml:space="preserve">Methoden, Anlagen und Einrichtungen
</t>
  </si>
  <si>
    <t xml:space="preserve">Maßnahmen, Zeitpläne, Standorte
</t>
  </si>
  <si>
    <t xml:space="preserve">Darstellung Entsorgungsträger
</t>
  </si>
  <si>
    <r>
      <rPr>
        <b/>
        <sz val="10"/>
        <color theme="1"/>
        <rFont val="Arial"/>
        <family val="2"/>
      </rPr>
      <t>Maßnahmen zur Verringerung von Verpackungsmüll</t>
    </r>
    <r>
      <rPr>
        <sz val="10"/>
        <color theme="1"/>
        <rFont val="Arial"/>
        <family val="2"/>
      </rPr>
      <t xml:space="preserve">
</t>
    </r>
  </si>
  <si>
    <r>
      <rPr>
        <b/>
        <sz val="10"/>
        <color theme="1"/>
        <rFont val="Arial"/>
        <family val="2"/>
      </rPr>
      <t>Besucher Informationskampagne</t>
    </r>
    <r>
      <rPr>
        <sz val="10"/>
        <color theme="1"/>
        <rFont val="Arial"/>
        <family val="2"/>
      </rPr>
      <t xml:space="preserve">
</t>
    </r>
  </si>
  <si>
    <r>
      <rPr>
        <b/>
        <sz val="10"/>
        <color theme="1"/>
        <rFont val="Arial"/>
        <family val="2"/>
      </rPr>
      <t xml:space="preserve">Recyclingfähige Gewerbeabfälle
</t>
    </r>
    <r>
      <rPr>
        <sz val="10"/>
        <color theme="1"/>
        <rFont val="Arial"/>
        <family val="2"/>
      </rPr>
      <t>Alle recyclingfähigen Gewerbeabfälle (oder mind. 85 %) werden nachweislich recycelt.</t>
    </r>
    <r>
      <rPr>
        <b/>
        <sz val="10"/>
        <color theme="1"/>
        <rFont val="Arial"/>
        <family val="2"/>
      </rPr>
      <t xml:space="preserve">
</t>
    </r>
  </si>
  <si>
    <r>
      <rPr>
        <b/>
        <sz val="10"/>
        <color theme="1"/>
        <rFont val="Arial"/>
        <family val="2"/>
      </rPr>
      <t xml:space="preserve">Kompostierung
</t>
    </r>
    <r>
      <rPr>
        <sz val="10"/>
        <color theme="1"/>
        <rFont val="Arial"/>
        <family val="2"/>
      </rPr>
      <t>Es findet nachweislich keine Deponierung von Gewerbe- oder Haushaltsabfällen statt.</t>
    </r>
    <r>
      <rPr>
        <b/>
        <sz val="10"/>
        <color theme="1"/>
        <rFont val="Arial"/>
        <family val="2"/>
      </rPr>
      <t xml:space="preserve">
</t>
    </r>
  </si>
  <si>
    <t xml:space="preserve">Laufzeit Abfallentsorgungsanlage
</t>
  </si>
  <si>
    <r>
      <rPr>
        <b/>
        <sz val="10"/>
        <color theme="1"/>
        <rFont val="Arial"/>
        <family val="2"/>
      </rPr>
      <t>Integration der Digitalisierung in die Quartiersplanung</t>
    </r>
    <r>
      <rPr>
        <sz val="10"/>
        <color theme="1"/>
        <rFont val="Arial"/>
        <family val="2"/>
      </rPr>
      <t xml:space="preserve">
- Pro adressiertem Handlungsfeld in der Digital Agenda / Digitalstrategie / Analyse können </t>
    </r>
    <r>
      <rPr>
        <b/>
        <sz val="10"/>
        <color theme="1"/>
        <rFont val="Arial"/>
        <family val="2"/>
      </rPr>
      <t>6 Punkte</t>
    </r>
    <r>
      <rPr>
        <sz val="10"/>
        <color theme="1"/>
        <rFont val="Arial"/>
        <family val="2"/>
      </rPr>
      <t xml:space="preserve"> angerechnet werden
</t>
    </r>
  </si>
  <si>
    <r>
      <rPr>
        <b/>
        <sz val="10"/>
        <color theme="1"/>
        <rFont val="Arial"/>
        <family val="2"/>
      </rPr>
      <t>Freies WLAN im öffentlichen Raum</t>
    </r>
    <r>
      <rPr>
        <sz val="10"/>
        <color theme="1"/>
        <rFont val="Arial"/>
        <family val="2"/>
      </rPr>
      <t xml:space="preserve">
</t>
    </r>
  </si>
  <si>
    <r>
      <rPr>
        <b/>
        <sz val="10"/>
        <color theme="1"/>
        <rFont val="Arial"/>
        <family val="2"/>
      </rPr>
      <t>Information zu quartiersbezogenen digitalen Angeboten</t>
    </r>
    <r>
      <rPr>
        <sz val="10"/>
        <color theme="1"/>
        <rFont val="Arial"/>
        <family val="2"/>
      </rPr>
      <t xml:space="preserve">
Bei Einzug und bei Änderungen des Angebotes werden die Bewohner/Nutzer des Quartiers über die digitalen Angebote informiert 
</t>
    </r>
  </si>
  <si>
    <r>
      <rPr>
        <b/>
        <sz val="10"/>
        <color theme="1"/>
        <rFont val="Arial"/>
        <family val="2"/>
      </rPr>
      <t>Quartiersbezogene Online-Plattform(en)*</t>
    </r>
    <r>
      <rPr>
        <sz val="10"/>
        <color theme="1"/>
        <rFont val="Arial"/>
        <family val="2"/>
      </rPr>
      <t xml:space="preserve">
Es gibt eine oder mehrere quartiers-/standortbezogene Vernetzung der Bewohner/Mitarbeiter 
Es können nur Punkte angerechnet werden, wenn entsprechende Räumlichkeiten oder Güter im Quartier vorhanden sind.</t>
    </r>
  </si>
  <si>
    <r>
      <rPr>
        <b/>
        <sz val="10"/>
        <color theme="1"/>
        <rFont val="Arial"/>
        <family val="2"/>
      </rPr>
      <t>Umweltverbund</t>
    </r>
    <r>
      <rPr>
        <sz val="10"/>
        <color theme="1"/>
        <rFont val="Arial"/>
        <family val="2"/>
      </rPr>
      <t xml:space="preserve">
Anteil am Umweltverbund 
</t>
    </r>
  </si>
  <si>
    <r>
      <rPr>
        <b/>
        <sz val="10"/>
        <color theme="1"/>
        <rFont val="Arial"/>
        <family val="2"/>
      </rPr>
      <t>ÖPNV-Erschließungsqualität</t>
    </r>
    <r>
      <rPr>
        <sz val="10"/>
        <color theme="1"/>
        <rFont val="Arial"/>
        <family val="2"/>
      </rPr>
      <t xml:space="preserve">
Prozentualer Anteil der Gebäude (Gemessen an BGF) die innerhalb von 350 m Luftlinie eine ÖPNV-Haltestelle erreichen können (Bus, S-Bahn, Tram)
</t>
    </r>
  </si>
  <si>
    <r>
      <rPr>
        <b/>
        <sz val="10"/>
        <color theme="1"/>
        <rFont val="Arial"/>
        <family val="2"/>
      </rPr>
      <t>Erreichbarkeit von intermodalen Plattformen vom Quartier aus</t>
    </r>
    <r>
      <rPr>
        <sz val="10"/>
        <color theme="1"/>
        <rFont val="Arial"/>
        <family val="2"/>
      </rPr>
      <t xml:space="preserve">
Prozentualer Anteil der Gebäude (Gemessen an BGF) / Prozentualer Anteil der Werkstore/-zugänge  die innerhalb von 350 m Luftlinie eine Intermodale Plattform erreichen können (mind. 3 unterschiedliche Verkehrsmittel, z. B. S-Bahn, Stadt-/Straßenbahn, Bus, Fahrradverleih)
</t>
    </r>
  </si>
  <si>
    <r>
      <rPr>
        <b/>
        <sz val="10"/>
        <color theme="1"/>
        <rFont val="Arial"/>
        <family val="2"/>
      </rPr>
      <t>Öffentliche Verkehrsmittel</t>
    </r>
    <r>
      <rPr>
        <sz val="10"/>
        <color theme="1"/>
        <rFont val="Arial"/>
        <family val="2"/>
      </rPr>
      <t xml:space="preserve">
Zugang zum nächstgelegenen Bahnhof (S-Bahn, Regional-und/oder Fernverkehr) mit öffentlichen Verkehrsmitteln, mit dem Fahrrad oder zu Fuß.
</t>
    </r>
  </si>
  <si>
    <r>
      <rPr>
        <b/>
        <sz val="10"/>
        <color theme="1"/>
        <rFont val="Arial"/>
        <family val="2"/>
      </rPr>
      <t>Takt ÖPNV</t>
    </r>
    <r>
      <rPr>
        <sz val="10"/>
        <color theme="1"/>
        <rFont val="Arial"/>
        <family val="2"/>
      </rPr>
      <t xml:space="preserve">
Durchschnittlicher Takt aller ÖPNV-Linien werktags zwischen 6 und 19 Uhr. Beziehungsweise an die Schichtwechsel angepasste ÖPNV Taktung.
</t>
    </r>
  </si>
  <si>
    <r>
      <rPr>
        <b/>
        <sz val="10"/>
        <color theme="1"/>
        <rFont val="Arial"/>
        <family val="2"/>
      </rPr>
      <t>Gestaltung der ÖPNV-Haltestellen</t>
    </r>
    <r>
      <rPr>
        <sz val="10"/>
        <color theme="1"/>
        <rFont val="Arial"/>
        <family val="2"/>
      </rPr>
      <t xml:space="preserve">
- Haltestelle verfügt über Überdachung, Beleuchtung, Sitzgelegenheiten je Element können 2 Punkte angesetzt werden (6 Punkte)
- dynamische Haltestelleninformationen oder zusätzliches (gestalterisches) Haltestellenelement (2 Punkte)
</t>
    </r>
  </si>
  <si>
    <r>
      <rPr>
        <b/>
        <sz val="10"/>
        <color theme="1"/>
        <rFont val="Arial"/>
        <family val="2"/>
      </rPr>
      <t>Rad-/Fußgängerverkehr fördernde Mobilitätselemente</t>
    </r>
    <r>
      <rPr>
        <sz val="10"/>
        <color theme="1"/>
        <rFont val="Arial"/>
        <family val="2"/>
      </rPr>
      <t xml:space="preserve">
Pro (innovativem) Mobilitätselement können 10 Punkte angerechnet werden. Beispiele sind unter Methode Indikator 1 aufgeführt.
</t>
    </r>
  </si>
  <si>
    <r>
      <rPr>
        <b/>
        <sz val="10"/>
        <color theme="1"/>
        <rFont val="Arial"/>
        <family val="2"/>
      </rPr>
      <t>Qualität der Abstellanlagen</t>
    </r>
    <r>
      <rPr>
        <sz val="10"/>
        <color theme="1"/>
        <rFont val="Arial"/>
        <family val="2"/>
      </rPr>
      <t xml:space="preserve">
</t>
    </r>
  </si>
  <si>
    <t xml:space="preserve">Für jede Disziplin des Kern- Planungsteams (max. 4 Disziplinen / max. 24 PUNKTE) </t>
  </si>
  <si>
    <r>
      <rPr>
        <b/>
        <sz val="10"/>
        <color theme="1"/>
        <rFont val="Arial"/>
        <family val="2"/>
      </rPr>
      <t>Planungsszenarien</t>
    </r>
    <r>
      <rPr>
        <sz val="10"/>
        <color theme="1"/>
        <rFont val="Arial"/>
        <family val="2"/>
      </rPr>
      <t xml:space="preserve">
</t>
    </r>
  </si>
  <si>
    <r>
      <rPr>
        <b/>
        <sz val="10"/>
        <color theme="1"/>
        <rFont val="Arial"/>
        <family val="2"/>
      </rPr>
      <t xml:space="preserve">Planungsvarianten </t>
    </r>
    <r>
      <rPr>
        <sz val="10"/>
        <color theme="1"/>
        <rFont val="Arial"/>
        <family val="2"/>
      </rPr>
      <t xml:space="preserve">
</t>
    </r>
  </si>
  <si>
    <r>
      <rPr>
        <b/>
        <sz val="10"/>
        <color theme="4" tint="-0.499984740745262"/>
        <rFont val="Arial"/>
        <family val="2"/>
      </rPr>
      <t>Partizipative Prozesse - Rahmenplanung und Städtebauliche Konzeptfindung / Wertentwicklungskonzept allgemein</t>
    </r>
    <r>
      <rPr>
        <sz val="10"/>
        <color theme="1"/>
        <rFont val="Arial"/>
        <family val="2"/>
      </rPr>
      <t xml:space="preserve">
(Es können nur die Bewertungspunkte eines Indikators (1.1, 1.2, 1.3 oder 1.4) angerechnet werden.)
(Tragen Sie nur bei dem Indikator einen Wert ein in welchem Sie Punkte erreichen, in alle anderen Indikatoren bitte 0 eintragen!)
</t>
    </r>
  </si>
  <si>
    <r>
      <t xml:space="preserve">Bei </t>
    </r>
    <r>
      <rPr>
        <b/>
        <sz val="10"/>
        <rFont val="Arial"/>
        <family val="2"/>
      </rPr>
      <t>Industrie</t>
    </r>
    <r>
      <rPr>
        <sz val="10"/>
        <rFont val="Arial"/>
        <family val="2"/>
      </rPr>
      <t xml:space="preserve"> gibt es ein Budget für die Beteiligung der Mitarbeiter und
Umsetzung von Vorschlägen, welches das Ziel hat:
- die soziale Qualität und Mitarbeiterzufriedenheit zu erhöhen 
   (Neubau 4 BWP | Bestand 12,5 BWP)
- die ökologische Qualität zu erhöhen
   (Neubau 3 BWP | Bestand 12,5 BWP) </t>
    </r>
  </si>
  <si>
    <r>
      <t xml:space="preserve">Bei </t>
    </r>
    <r>
      <rPr>
        <b/>
        <sz val="10"/>
        <rFont val="Arial"/>
        <family val="2"/>
      </rPr>
      <t>Industrie</t>
    </r>
    <r>
      <rPr>
        <sz val="10"/>
        <rFont val="Arial"/>
        <family val="2"/>
      </rPr>
      <t xml:space="preserve"> gibt es ein institutionalisiertes Managementsystem zur Aufnahme, Bewertung und Umsetzung der Beiträge im:
- sozialen Bereich  (Neubau 3 BWP | Bestand 12,5 BWP)
- ökologischen Bereich  (Neubau 3 BWP | Bestand 12,5 BWP) 
</t>
    </r>
  </si>
  <si>
    <r>
      <t xml:space="preserve">Bei </t>
    </r>
    <r>
      <rPr>
        <b/>
        <sz val="10"/>
        <rFont val="Arial"/>
        <family val="2"/>
      </rPr>
      <t>Industrie</t>
    </r>
    <r>
      <rPr>
        <sz val="10"/>
        <rFont val="Arial"/>
        <family val="2"/>
      </rPr>
      <t xml:space="preserve"> gibt es ein Anreizsystem zur Beteiligung der Mitarbeiter (z. B.Werbung, Prämien) für:
- Maßnahmen zur Verbesserung der Mitarbeiterzufriedenheit
   (Neubau 3 BWP | Bestand 12,5 BWP)
- ökologischen Bereich
   (Neubau 3 BWP | Bestand 12,5 BWP) </t>
    </r>
  </si>
  <si>
    <r>
      <t xml:space="preserve">Bei </t>
    </r>
    <r>
      <rPr>
        <b/>
        <sz val="10"/>
        <rFont val="Arial"/>
        <family val="2"/>
      </rPr>
      <t>Industrie</t>
    </r>
    <r>
      <rPr>
        <sz val="10"/>
        <rFont val="Arial"/>
        <family val="2"/>
      </rPr>
      <t xml:space="preserve"> gibt es eine regelmäßige Berichterstattung der Werksleitung und Mitarbeitern zu den Vorschlägen und Maßnahmen im:
- sozialen Bereich 
   (Neubau 3 BWP | Bestand 12,5 BWP)
- ökologischen Bereich
   (Neubau 3 BWP | Bestand 12,5 BWP) </t>
    </r>
  </si>
  <si>
    <r>
      <rPr>
        <b/>
        <sz val="10"/>
        <rFont val="Arial"/>
        <family val="2"/>
      </rPr>
      <t>Quartier-bzw. Gebietsmanagement</t>
    </r>
    <r>
      <rPr>
        <sz val="10"/>
        <rFont val="Arial"/>
        <family val="2"/>
      </rPr>
      <t xml:space="preserve">
</t>
    </r>
  </si>
  <si>
    <r>
      <rPr>
        <b/>
        <sz val="10"/>
        <rFont val="Arial"/>
        <family val="2"/>
      </rPr>
      <t>Beratung von (zukünftigen) Bewohnern und Nutzern</t>
    </r>
    <r>
      <rPr>
        <sz val="10"/>
        <rFont val="Arial"/>
        <family val="2"/>
      </rPr>
      <t xml:space="preserve">
</t>
    </r>
  </si>
  <si>
    <r>
      <rPr>
        <b/>
        <sz val="10"/>
        <rFont val="Arial"/>
        <family val="2"/>
      </rPr>
      <t>Selbstverwaltung</t>
    </r>
    <r>
      <rPr>
        <sz val="10"/>
        <rFont val="Arial"/>
        <family val="2"/>
      </rPr>
      <t xml:space="preserve">
</t>
    </r>
  </si>
  <si>
    <r>
      <rPr>
        <b/>
        <sz val="10"/>
        <rFont val="Arial"/>
        <family val="2"/>
      </rPr>
      <t>Finanzielle Anreizsysteme</t>
    </r>
    <r>
      <rPr>
        <sz val="10"/>
        <rFont val="Arial"/>
        <family val="2"/>
      </rPr>
      <t xml:space="preserve">
</t>
    </r>
  </si>
  <si>
    <r>
      <rPr>
        <b/>
        <sz val="10"/>
        <rFont val="Arial"/>
        <family val="2"/>
      </rPr>
      <t>Projektorganisation</t>
    </r>
    <r>
      <rPr>
        <sz val="10"/>
        <rFont val="Arial"/>
        <family val="2"/>
      </rPr>
      <t xml:space="preserve">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t>
    </r>
  </si>
  <si>
    <r>
      <rPr>
        <b/>
        <sz val="10"/>
        <rFont val="Arial"/>
        <family val="2"/>
      </rPr>
      <t>Kommunale Projekte / Dienstleistungen</t>
    </r>
    <r>
      <rPr>
        <sz val="10"/>
        <rFont val="Arial"/>
        <family val="2"/>
      </rPr>
      <t xml:space="preserve">
Es gibt seitens der Kommune eine oder mehrere Projekte/Dienstleistungen, die die Entwicklung des Quartiers unterstützen.
</t>
    </r>
  </si>
  <si>
    <r>
      <rPr>
        <b/>
        <sz val="10"/>
        <rFont val="Arial"/>
        <family val="2"/>
      </rPr>
      <t>Transparente Vergabe von Bauplätzen</t>
    </r>
    <r>
      <rPr>
        <sz val="10"/>
        <rFont val="Arial"/>
        <family val="2"/>
      </rPr>
      <t xml:space="preserve">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t>
    </r>
  </si>
  <si>
    <r>
      <rPr>
        <b/>
        <sz val="10"/>
        <rFont val="Arial"/>
        <family val="2"/>
      </rPr>
      <t>Verteilungsgerechtigkeit</t>
    </r>
    <r>
      <rPr>
        <sz val="10"/>
        <rFont val="Arial"/>
        <family val="2"/>
      </rPr>
      <t xml:space="preserve">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t>
    </r>
  </si>
  <si>
    <t>Zusätzlich wurde projektbegleitend ein regelmäßiges Risiko-Controlling
durchgeführt.</t>
  </si>
  <si>
    <r>
      <rPr>
        <b/>
        <sz val="10"/>
        <rFont val="Arial"/>
        <family val="2"/>
      </rPr>
      <t>Konzept und Maßnahmen</t>
    </r>
    <r>
      <rPr>
        <sz val="10"/>
        <rFont val="Arial"/>
        <family val="2"/>
      </rPr>
      <t xml:space="preserve">
Anwohner werden über Beschilderung über das Bauvorhaben und Baustelle informiert. Hierzu zählen Bauinformationen, Wegeführung, ggf. Verantwortliche und Ansprechpartner.</t>
    </r>
  </si>
  <si>
    <r>
      <rPr>
        <b/>
        <sz val="10"/>
        <rFont val="Arial"/>
        <family val="2"/>
      </rPr>
      <t>3-D-Datenmodelle</t>
    </r>
    <r>
      <rPr>
        <sz val="10"/>
        <rFont val="Arial"/>
        <family val="2"/>
      </rPr>
      <t xml:space="preserve">
Es gibt eine weiterführende Zusammenarbeit auf der Basis von 3-D-Datenmodellen (GIS, CIM, BIM).
</t>
    </r>
  </si>
  <si>
    <r>
      <rPr>
        <b/>
        <sz val="10"/>
        <rFont val="Arial"/>
        <family val="2"/>
      </rPr>
      <t>Facilitymanagement nach DIN</t>
    </r>
    <r>
      <rPr>
        <sz val="10"/>
        <rFont val="Arial"/>
        <family val="2"/>
      </rPr>
      <t xml:space="preserve">
Es gibt im Unternehmen ein Facilitymanagement gemäß der aktuellen Fassung der DIN EN 15221, GEFMA Richtlinie 100, VDI 6009 oder vergleichbarer Normen.
</t>
    </r>
  </si>
  <si>
    <r>
      <rPr>
        <b/>
        <sz val="10"/>
        <rFont val="Arial"/>
        <family val="2"/>
      </rPr>
      <t>Reduzierung Trink- und Betriebswasserbedarf</t>
    </r>
    <r>
      <rPr>
        <sz val="10"/>
        <rFont val="Arial"/>
        <family val="2"/>
      </rPr>
      <t xml:space="preserve">
</t>
    </r>
  </si>
  <si>
    <t>© DGNB GmbH 2020</t>
  </si>
  <si>
    <t xml:space="preserve">Alle Leuchtmittel im Außenbereich verfügen über Lichtfarben und Orientierung die für den Artenschutz unschädlich sind.
</t>
  </si>
  <si>
    <t xml:space="preserve">Es gibt ein leistungsfähiges Breitbandnetz mit einer Downloadgeschwindigkeit von:
  &gt; 50 Mbit/s
  &gt; 100 Mbit/s
  &gt; 300 Mbit/s
</t>
  </si>
  <si>
    <r>
      <rPr>
        <b/>
        <sz val="10"/>
        <color theme="1"/>
        <rFont val="Arial"/>
        <family val="2"/>
      </rPr>
      <t>Nutzung von erfassten Daten</t>
    </r>
    <r>
      <rPr>
        <sz val="10"/>
        <color theme="1"/>
        <rFont val="Arial"/>
        <family val="2"/>
      </rPr>
      <t xml:space="preserve">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t>
    </r>
  </si>
  <si>
    <r>
      <rPr>
        <b/>
        <sz val="10"/>
        <color theme="1"/>
        <rFont val="Arial"/>
        <family val="2"/>
      </rPr>
      <t>Vorrüstung Breitband-Internetzugang</t>
    </r>
    <r>
      <rPr>
        <sz val="10"/>
        <color theme="1"/>
        <rFont val="Arial"/>
        <family val="2"/>
      </rPr>
      <t xml:space="preserve">
Das Quartier verfügt über eine Vorrüstung zu Implementierung von Breitbandanbindungen oder über 5G  Mobilfunknetz-Abdeckung
(Wenn die Downloadgeschwindigkeit unter 300 Mbit/s liegt.)</t>
    </r>
  </si>
  <si>
    <t xml:space="preserve">Für jede Disziplin der zusätzlich wünschenswerten Disziplinen (max. 4 Disziplinen / max. 12 PUNKTE) 
</t>
  </si>
  <si>
    <t>SQ Stadtquartier V2020</t>
  </si>
  <si>
    <t>Select language:</t>
  </si>
  <si>
    <t>Deutsch</t>
  </si>
  <si>
    <t>English</t>
  </si>
  <si>
    <t>Consideration of LCA aspects in the planning</t>
  </si>
  <si>
    <t>Integration of LCA consideration into the planning process</t>
  </si>
  <si>
    <r>
      <rPr>
        <b/>
        <sz val="10"/>
        <color theme="1"/>
        <rFont val="Arial"/>
        <family val="2"/>
      </rPr>
      <t>In the early planning phase:</t>
    </r>
    <r>
      <rPr>
        <sz val="10"/>
        <color theme="1"/>
        <rFont val="Arial"/>
        <family val="2"/>
      </rPr>
      <t xml:space="preserve"> 2 points can be awarded per analysed area of action.</t>
    </r>
  </si>
  <si>
    <t xml:space="preserve">The LCA effects of changes in planning are determined during the planning process 
</t>
  </si>
  <si>
    <t>Optimisation of LCA considerations</t>
  </si>
  <si>
    <t>Optimisation of the LCA accompanying the planning</t>
  </si>
  <si>
    <t>Life cycle assessment</t>
  </si>
  <si>
    <r>
      <t xml:space="preserve">- comprehensive consideration   (10 Points)
</t>
    </r>
    <r>
      <rPr>
        <b/>
        <sz val="10"/>
        <color theme="1"/>
        <rFont val="Arial"/>
        <family val="2"/>
      </rPr>
      <t>OR</t>
    </r>
    <r>
      <rPr>
        <sz val="10"/>
        <color theme="1"/>
        <rFont val="Arial"/>
        <family val="2"/>
      </rPr>
      <t xml:space="preserve">
- partial assessment  (5 Points)</t>
    </r>
  </si>
  <si>
    <t>LCA comparison calculation</t>
  </si>
  <si>
    <t xml:space="preserve">Weighted environmental impact: entire district
</t>
  </si>
  <si>
    <r>
      <t xml:space="preserve">Weighted environmental impacts: energy supply
</t>
    </r>
    <r>
      <rPr>
        <sz val="10"/>
        <color theme="1"/>
        <rFont val="Arial"/>
        <family val="2"/>
      </rPr>
      <t xml:space="preserve">Evaluation of the LCA results
</t>
    </r>
  </si>
  <si>
    <r>
      <rPr>
        <b/>
        <sz val="10"/>
        <rFont val="Arial"/>
        <family val="2"/>
      </rPr>
      <t>Weighted environmental impact: building</t>
    </r>
    <r>
      <rPr>
        <b/>
        <sz val="10"/>
        <color theme="1"/>
        <rFont val="Arial"/>
        <family val="2"/>
      </rPr>
      <t xml:space="preserve">
</t>
    </r>
    <r>
      <rPr>
        <sz val="10"/>
        <color theme="1"/>
        <rFont val="Arial"/>
        <family val="2"/>
      </rPr>
      <t xml:space="preserve">Evaluation of the LCA results of the largest building (GFA) at the site
</t>
    </r>
  </si>
  <si>
    <t>AGENDA 2030 BONUS - CLIMATE ACTION GOALS</t>
  </si>
  <si>
    <t>Ambition to achieve carbon neutrality</t>
  </si>
  <si>
    <t>Carbon-neutral energy demand</t>
  </si>
  <si>
    <t xml:space="preserve">Carbon-neutral energy demand users
</t>
  </si>
  <si>
    <r>
      <t xml:space="preserve">Halogenated hydrocarbons in refrigerants
</t>
    </r>
    <r>
      <rPr>
        <sz val="10"/>
        <color theme="1"/>
        <rFont val="Arial"/>
        <family val="2"/>
      </rPr>
      <t>No use of refrigerants with a GWP-factor ≥ 150 kg CO2-equiv.</t>
    </r>
  </si>
  <si>
    <t>Special constructions</t>
  </si>
  <si>
    <t>Evaluation of special constructions</t>
  </si>
  <si>
    <t>Sustainable building/selection of building materials</t>
  </si>
  <si>
    <t>Health-related aspects of the construction</t>
  </si>
  <si>
    <t>Health-related aspects of interior construction</t>
  </si>
  <si>
    <t>Specifications for the replacement of components</t>
  </si>
  <si>
    <t>LCA study for special constructions</t>
  </si>
  <si>
    <t>Correction factor</t>
  </si>
  <si>
    <t>The result of indicator 5.2 is deducted from the overall result of indicators 3 and 5.1. The calculation is described in the “Method” section.</t>
  </si>
  <si>
    <t>Pollutants and hazardous substances</t>
  </si>
  <si>
    <t>Environmental pollutants new construction/modernisation</t>
  </si>
  <si>
    <t>Environmentally friendly materials new construction</t>
  </si>
  <si>
    <t>Umweltverträgliche Materialien Neubau</t>
  </si>
  <si>
    <t>Environmental pollutants existing buildings/old buildings</t>
  </si>
  <si>
    <t>Environmentally friendly materials existing buildings</t>
  </si>
  <si>
    <t>Umweltverträgliche Materialien Bestand</t>
  </si>
  <si>
    <t>Urban climate</t>
  </si>
  <si>
    <t>Urban climate analysis of the district</t>
  </si>
  <si>
    <t xml:space="preserve">- Analysis of the large-scale city climate situation
- Analysis of the wind direction
- Analysis of orographically/topographically strongly structured areas
- Analysis of the small-scale city climate situation
(7.5 points for each analysis)
</t>
  </si>
  <si>
    <t>Thermal quality of the district surfaces/factory surfaces</t>
  </si>
  <si>
    <t xml:space="preserve">Urban climate factor for districts
</t>
  </si>
  <si>
    <t xml:space="preserve">ALTERNATIVELY to 2.1.: An expert opinion with modelling of the mean radiation temperature can be used. 
</t>
  </si>
  <si>
    <t>Urban climate factor for industrial sites/event areas</t>
  </si>
  <si>
    <t>Ventilation</t>
  </si>
  <si>
    <t>Analysis of ventilation potential</t>
  </si>
  <si>
    <t>Expert opinion on ventilation potential</t>
  </si>
  <si>
    <t>4'.</t>
  </si>
  <si>
    <t>Water cycle systems</t>
  </si>
  <si>
    <t>Reduction of drinking water consumption</t>
  </si>
  <si>
    <t xml:space="preserve">Water utilisation concept
</t>
  </si>
  <si>
    <t>Measures to reduce drinking water consumption</t>
  </si>
  <si>
    <t xml:space="preserve">Measures to reduce the drinking water demand in the district (buildings + open space) have been implemented and are presented in a overarching concept. </t>
  </si>
  <si>
    <t xml:space="preserve">Regular information to consumers in the district on how drinking water can be conserved in everyday life is provided.
</t>
  </si>
  <si>
    <t xml:space="preserve">A maximum of 20 % of the water required for toilets in the district is supplied by drinking water. </t>
  </si>
  <si>
    <t xml:space="preserve">Use of rainwater or operating water* for 100% of public open spaces
</t>
  </si>
  <si>
    <t>Measures to reduce drinking water consumption in production processes*</t>
  </si>
  <si>
    <t>Economic and energetic aspects were analysed and recorded in a concept as to whether  process water can be substituted with non-drinking water and/or recycled</t>
  </si>
  <si>
    <t xml:space="preserve">Measures to recycle process water and/or substitute drinking water (rainwater treatment and use) were implemented to a significant extent (at least 50%). Justification based on water utilisation concept. 
</t>
  </si>
  <si>
    <r>
      <rPr>
        <b/>
        <sz val="10"/>
        <color rgb="FFA5D867"/>
        <rFont val="Arial"/>
        <family val="2"/>
      </rPr>
      <t>CIRCULAR ECONOMY BONUS - REUSE OF PROCESS WATER</t>
    </r>
    <r>
      <rPr>
        <sz val="10"/>
        <color theme="1"/>
        <rFont val="Arial"/>
        <family val="2"/>
      </rPr>
      <t xml:space="preserve">
If more than 50 % of the process water used in production, is kept in circulation via treatment/recycling, 1 point can be credited for each additional 5 % of process water kept in circulation.
</t>
    </r>
  </si>
  <si>
    <r>
      <rPr>
        <b/>
        <sz val="10"/>
        <color rgb="FFA5D867"/>
        <rFont val="Arial"/>
        <family val="2"/>
      </rPr>
      <t>CIRCULAR ECONOMY BONUS - REUSE OF BLACK WATER</t>
    </r>
    <r>
      <rPr>
        <sz val="10"/>
        <color theme="1"/>
        <rFont val="Arial"/>
        <family val="2"/>
      </rPr>
      <t xml:space="preserve">
</t>
    </r>
  </si>
  <si>
    <t xml:space="preserve">Treatment of black water for irrigation
</t>
  </si>
  <si>
    <t xml:space="preserve">Treatment of black water for uses other than irrigation
</t>
  </si>
  <si>
    <t>District water balance</t>
  </si>
  <si>
    <t xml:space="preserve">Percentage of precipitation in drain (D) in relation to the reference area	</t>
  </si>
  <si>
    <t>Retention or throttling of rainwater</t>
  </si>
  <si>
    <t>Rainwater retention</t>
  </si>
  <si>
    <t xml:space="preserve">Rainwater retention in the district (and possibly supplemented by measures outside the district)
</t>
  </si>
  <si>
    <t xml:space="preserve">Rainwater retention exclusively outside the district
</t>
  </si>
  <si>
    <t>Design integration of the water infrastructure into the open space concept</t>
  </si>
  <si>
    <t xml:space="preserve">Creative integration  </t>
  </si>
  <si>
    <t>The rainwater infrastructure is integrated into the open space concept.</t>
  </si>
  <si>
    <t>For Existing buildings: A maximum of 50 points can be credited. 
Urban climate factor for industrial sites ≤ 2.0 = 50 points</t>
  </si>
  <si>
    <t>Bei  Bestand: Es können maximal 50 Punkte angerechnet werden. Stadtklimafaktor Industriestandorte ≤ 2,0 = 50 Punkte</t>
  </si>
  <si>
    <t>zu 2.2.</t>
  </si>
  <si>
    <t>Land use efficiency</t>
  </si>
  <si>
    <t>Development efficiency of the district</t>
  </si>
  <si>
    <t>Land use</t>
  </si>
  <si>
    <t>Share of fallow land</t>
  </si>
  <si>
    <t xml:space="preserve">Share of fallow land in percentage
</t>
  </si>
  <si>
    <t>Area integration</t>
  </si>
  <si>
    <t>Area integration in percentage</t>
  </si>
  <si>
    <t>Area contamination</t>
  </si>
  <si>
    <t>Area contamination through contaminated sites</t>
  </si>
  <si>
    <r>
      <t>Initial investigation of the area contamination. The measures have not been documented.</t>
    </r>
    <r>
      <rPr>
        <b/>
        <sz val="10"/>
        <color theme="1"/>
        <rFont val="Arial"/>
        <family val="2"/>
      </rPr>
      <t xml:space="preserve"> (3 Points)</t>
    </r>
    <r>
      <rPr>
        <sz val="10"/>
        <color theme="1"/>
        <rFont val="Arial"/>
        <family val="2"/>
      </rPr>
      <t xml:space="preserve">
</t>
    </r>
    <r>
      <rPr>
        <b/>
        <sz val="10"/>
        <color theme="3"/>
        <rFont val="Arial"/>
        <family val="2"/>
      </rPr>
      <t>OR</t>
    </r>
    <r>
      <rPr>
        <sz val="10"/>
        <color theme="1"/>
        <rFont val="Arial"/>
        <family val="2"/>
      </rPr>
      <t xml:space="preserve">
Detailed investigation of the area contamination. The measures have not been documented. </t>
    </r>
    <r>
      <rPr>
        <b/>
        <sz val="10"/>
        <color theme="1"/>
        <rFont val="Arial"/>
        <family val="2"/>
      </rPr>
      <t>(4 Points)</t>
    </r>
    <r>
      <rPr>
        <sz val="10"/>
        <color theme="1"/>
        <rFont val="Arial"/>
        <family val="2"/>
      </rPr>
      <t xml:space="preserve">
</t>
    </r>
    <r>
      <rPr>
        <b/>
        <sz val="10"/>
        <color theme="3"/>
        <rFont val="Arial"/>
        <family val="2"/>
      </rPr>
      <t>OR</t>
    </r>
    <r>
      <rPr>
        <sz val="10"/>
        <color theme="1"/>
        <rFont val="Arial"/>
        <family val="2"/>
      </rPr>
      <t xml:space="preserve">
Measure investigation of the area contamination. The measures have not been documented. </t>
    </r>
    <r>
      <rPr>
        <b/>
        <sz val="10"/>
        <color theme="1"/>
        <rFont val="Arial"/>
        <family val="2"/>
      </rPr>
      <t>(5 Points)</t>
    </r>
    <r>
      <rPr>
        <sz val="10"/>
        <color theme="1"/>
        <rFont val="Arial"/>
        <family val="2"/>
      </rPr>
      <t xml:space="preserve">
</t>
    </r>
    <r>
      <rPr>
        <b/>
        <sz val="10"/>
        <color theme="3"/>
        <rFont val="Arial"/>
        <family val="2"/>
      </rPr>
      <t>OR</t>
    </r>
    <r>
      <rPr>
        <sz val="10"/>
        <color theme="1"/>
        <rFont val="Arial"/>
        <family val="2"/>
      </rPr>
      <t xml:space="preserve">
An investigation confirms that there is no area contamination through contaminated sites in the district (Z0 Natural soil, unrestricted installation). </t>
    </r>
    <r>
      <rPr>
        <b/>
        <sz val="10"/>
        <color theme="1"/>
        <rFont val="Arial"/>
        <family val="2"/>
      </rPr>
      <t>(15 Points)</t>
    </r>
    <r>
      <rPr>
        <sz val="10"/>
        <color theme="1"/>
        <rFont val="Arial"/>
        <family val="2"/>
      </rPr>
      <t xml:space="preserve">
</t>
    </r>
  </si>
  <si>
    <r>
      <t xml:space="preserve">For soil classes Z1 - Z5, measures for the improvement of the soil classes have been documented with the investigation of contaminated sites.
Is carried out with lower contamination. </t>
    </r>
    <r>
      <rPr>
        <b/>
        <sz val="10"/>
        <color theme="1"/>
        <rFont val="Arial"/>
        <family val="2"/>
      </rPr>
      <t>+5 Points</t>
    </r>
    <r>
      <rPr>
        <sz val="10"/>
        <color theme="1"/>
        <rFont val="Arial"/>
        <family val="2"/>
      </rPr>
      <t xml:space="preserve">
</t>
    </r>
    <r>
      <rPr>
        <b/>
        <sz val="10"/>
        <color theme="3"/>
        <rFont val="Arial"/>
        <family val="2"/>
      </rPr>
      <t>ODER</t>
    </r>
    <r>
      <rPr>
        <sz val="10"/>
        <color theme="1"/>
        <rFont val="Arial"/>
        <family val="2"/>
      </rPr>
      <t xml:space="preserve">
Is carried out with heavy contamination. </t>
    </r>
    <r>
      <rPr>
        <b/>
        <sz val="10"/>
        <color theme="1"/>
        <rFont val="Arial"/>
        <family val="2"/>
      </rPr>
      <t>+10 Points</t>
    </r>
    <r>
      <rPr>
        <sz val="10"/>
        <color theme="1"/>
        <rFont val="Arial"/>
        <family val="2"/>
      </rPr>
      <t xml:space="preserve">
</t>
    </r>
  </si>
  <si>
    <t>Soil sealing factor</t>
  </si>
  <si>
    <t xml:space="preserve">Soil sealing factor
</t>
  </si>
  <si>
    <t>Biodiversity</t>
  </si>
  <si>
    <t>Biodiversity strategy</t>
  </si>
  <si>
    <t xml:space="preserve">Development and implementation of a biodiversity strategy
</t>
  </si>
  <si>
    <t>Targeted measures for the active introduction of new and native species</t>
  </si>
  <si>
    <t xml:space="preserve">Active introduction of new native species
</t>
  </si>
  <si>
    <t>Biotope area factor</t>
  </si>
  <si>
    <t xml:space="preserve">Biotope area factor total
</t>
  </si>
  <si>
    <r>
      <rPr>
        <b/>
        <sz val="10"/>
        <color rgb="FF4DAA50"/>
        <rFont val="Arial"/>
        <family val="2"/>
      </rPr>
      <t xml:space="preserve">AGENDA 2030 BONUS - CLIMATE AND BIODIVERSITY GOALS	</t>
    </r>
    <r>
      <rPr>
        <sz val="10"/>
        <color theme="1"/>
        <rFont val="Arial"/>
        <family val="2"/>
      </rPr>
      <t xml:space="preserve">
Biotope area factor &gt; 0.35 (per 0.015 excess 1 bonus point, max. bonus points = 10)
For Event / Commercial / Industry: 
Biotope area factor &gt; 0.3</t>
    </r>
  </si>
  <si>
    <r>
      <rPr>
        <b/>
        <sz val="10"/>
        <color rgb="FF4DAA50"/>
        <rFont val="Arial"/>
        <family val="2"/>
      </rPr>
      <t>AGENDA 2030 BONUS – KLIMA- UND ARTENSCHUTZZIELE</t>
    </r>
    <r>
      <rPr>
        <sz val="10"/>
        <color theme="1"/>
        <rFont val="Arial"/>
        <family val="2"/>
      </rPr>
      <t xml:space="preserve">
Biotopflächenfaktor  &gt; 0,35 (je 0,015 Überschreitung 1 Bonuspunkt, max. Bonuspunkte = 10)
Bei Event / Gewerbe / Industrie: Biotopflächenfaktor  &gt; 0,3</t>
    </r>
  </si>
  <si>
    <t>Biotope connectivity</t>
  </si>
  <si>
    <t xml:space="preserve">Networking with the environment
</t>
  </si>
  <si>
    <t xml:space="preserve">Internal connection
</t>
  </si>
  <si>
    <t>Avoidance of invasive plant species</t>
  </si>
  <si>
    <t xml:space="preserve">Avoidance of invasive plant species
</t>
  </si>
  <si>
    <t>Development and maintenance care</t>
  </si>
  <si>
    <t>Development maintenance contract</t>
  </si>
  <si>
    <r>
      <rPr>
        <b/>
        <sz val="10"/>
        <rFont val="Arial"/>
        <family val="2"/>
      </rPr>
      <t>Maintenance care contract</t>
    </r>
    <r>
      <rPr>
        <sz val="10"/>
        <color theme="1"/>
        <rFont val="Arial"/>
        <family val="2"/>
      </rPr>
      <t xml:space="preserve">
</t>
    </r>
  </si>
  <si>
    <t>Life cycle costs</t>
  </si>
  <si>
    <t>Life cycle cost consideration in planning</t>
  </si>
  <si>
    <t>Integration of life cycle cost considerations into the planning process</t>
  </si>
  <si>
    <t xml:space="preserve">Measures influencing the life cycle costs are regularly determined during the planning process (adapted to the respective planning status) and shared with the planning team. </t>
  </si>
  <si>
    <t>Measures influencing the life cycle costs of the district are examined in an early planning phase for the project. The district variants available in the early planning phase are compared in terms of their production costs and relevant follow-up costs.</t>
  </si>
  <si>
    <t>Life cycle cost optimisation</t>
  </si>
  <si>
    <t>Life cycle cost optimisation accompanying planning</t>
  </si>
  <si>
    <r>
      <t xml:space="preserve">- Comprehensive consideration  (10 Points)
</t>
    </r>
    <r>
      <rPr>
        <b/>
        <sz val="10"/>
        <color theme="1"/>
        <rFont val="Arial"/>
        <family val="2"/>
      </rPr>
      <t>OR</t>
    </r>
    <r>
      <rPr>
        <sz val="10"/>
        <color theme="1"/>
        <rFont val="Arial"/>
        <family val="2"/>
      </rPr>
      <t xml:space="preserve">
- Partial consideration  (5 Points)</t>
    </r>
  </si>
  <si>
    <t>Optimisation of operating costs</t>
  </si>
  <si>
    <t xml:space="preserve">Optimisation of life cycle costs through optimised operation  </t>
  </si>
  <si>
    <t xml:space="preserve">An evaluation matrix is provided in Appendix 3 for the evaluation of the sub-indicators.
</t>
  </si>
  <si>
    <t>Benchmark calculation</t>
  </si>
  <si>
    <t>Public spaces and development</t>
  </si>
  <si>
    <t>Buildings and private open spaces</t>
  </si>
  <si>
    <r>
      <t>- Je Alternative im Rahmen einer</t>
    </r>
    <r>
      <rPr>
        <b/>
        <sz val="10"/>
        <color theme="1"/>
        <rFont val="Arial"/>
        <family val="2"/>
      </rPr>
      <t xml:space="preserve"> Teilbetrachtung</t>
    </r>
    <r>
      <rPr>
        <sz val="10"/>
        <color theme="1"/>
        <rFont val="Arial"/>
        <family val="2"/>
      </rPr>
      <t xml:space="preserve"> in einer frühen </t>
    </r>
    <r>
      <rPr>
        <b/>
        <sz val="10"/>
        <color theme="1"/>
        <rFont val="Arial"/>
        <family val="2"/>
      </rPr>
      <t>Planungsphase</t>
    </r>
    <r>
      <rPr>
        <sz val="10"/>
        <color theme="1"/>
        <rFont val="Arial"/>
        <family val="2"/>
      </rPr>
      <t xml:space="preserve"> (Städtebaulichen Entwurf / Rahmenplanung) können </t>
    </r>
    <r>
      <rPr>
        <b/>
        <sz val="10"/>
        <color theme="1"/>
        <rFont val="Arial"/>
        <family val="2"/>
      </rPr>
      <t>+3</t>
    </r>
    <r>
      <rPr>
        <sz val="10"/>
        <color theme="1"/>
        <rFont val="Arial"/>
        <family val="2"/>
      </rPr>
      <t xml:space="preserve"> Punkte angerechnet werden. Bei Industrie 8 Punkte.
</t>
    </r>
    <r>
      <rPr>
        <b/>
        <sz val="10"/>
        <color theme="1"/>
        <rFont val="Arial"/>
        <family val="2"/>
      </rPr>
      <t xml:space="preserve">
ODER
</t>
    </r>
    <r>
      <rPr>
        <sz val="10"/>
        <color theme="1"/>
        <rFont val="Arial"/>
        <family val="2"/>
      </rPr>
      <t xml:space="preserve">
- Je Alternative im Rahmen einer</t>
    </r>
    <r>
      <rPr>
        <b/>
        <sz val="10"/>
        <color theme="1"/>
        <rFont val="Arial"/>
        <family val="2"/>
      </rPr>
      <t xml:space="preserve"> Teilbetrachtung</t>
    </r>
    <r>
      <rPr>
        <sz val="10"/>
        <color theme="1"/>
        <rFont val="Arial"/>
        <family val="2"/>
      </rPr>
      <t xml:space="preserve"> während der </t>
    </r>
    <r>
      <rPr>
        <b/>
        <sz val="10"/>
        <color theme="1"/>
        <rFont val="Arial"/>
        <family val="2"/>
      </rPr>
      <t>Erschließungsplanung</t>
    </r>
    <r>
      <rPr>
        <sz val="10"/>
        <color theme="1"/>
        <rFont val="Arial"/>
        <family val="2"/>
      </rPr>
      <t xml:space="preserve"> können </t>
    </r>
    <r>
      <rPr>
        <b/>
        <sz val="10"/>
        <color theme="1"/>
        <rFont val="Arial"/>
        <family val="2"/>
      </rPr>
      <t>+1</t>
    </r>
    <r>
      <rPr>
        <sz val="10"/>
        <color theme="1"/>
        <rFont val="Arial"/>
        <family val="2"/>
      </rPr>
      <t xml:space="preserve"> Punkte angerechnet werden. Bei Industrie 4 Punkte.</t>
    </r>
  </si>
  <si>
    <r>
      <t xml:space="preserve">-  3 points can be credited for each alternative in the context of a partial consideration in an early planning phase (urban development design/framework planning). For Industry 8 points.
</t>
    </r>
    <r>
      <rPr>
        <b/>
        <sz val="10"/>
        <color theme="1"/>
        <rFont val="Arial"/>
        <family val="2"/>
      </rPr>
      <t xml:space="preserve">OR
</t>
    </r>
    <r>
      <rPr>
        <sz val="10"/>
        <color theme="1"/>
        <rFont val="Arial"/>
        <family val="2"/>
      </rPr>
      <t xml:space="preserve">
- 1 point can be credited for each alternative in the context of a partial consideration during the development planning. For Industry 4 points.</t>
    </r>
  </si>
  <si>
    <t>Resilience and adaptability</t>
  </si>
  <si>
    <t>Climate</t>
  </si>
  <si>
    <r>
      <rPr>
        <b/>
        <sz val="10"/>
        <color theme="1"/>
        <rFont val="Arial"/>
        <family val="2"/>
      </rPr>
      <t>City climate (points from ENV1.5/100) * 6.5</t>
    </r>
    <r>
      <rPr>
        <sz val="10"/>
        <color theme="1"/>
        <rFont val="Arial"/>
        <family val="2"/>
      </rPr>
      <t xml:space="preserve">
</t>
    </r>
  </si>
  <si>
    <r>
      <rPr>
        <b/>
        <sz val="10"/>
        <color theme="1"/>
        <rFont val="Arial"/>
        <family val="2"/>
      </rPr>
      <t>Water circulation systems (points from ENV 2.2/100) * 6.5</t>
    </r>
    <r>
      <rPr>
        <sz val="10"/>
        <color theme="1"/>
        <rFont val="Arial"/>
        <family val="2"/>
      </rPr>
      <t xml:space="preserve">
</t>
    </r>
  </si>
  <si>
    <r>
      <rPr>
        <b/>
        <sz val="10"/>
        <color theme="1"/>
        <rFont val="Arial"/>
        <family val="2"/>
      </rPr>
      <t>Environmental risks (points from ECO2.5/100) * 6.5</t>
    </r>
    <r>
      <rPr>
        <sz val="10"/>
        <color theme="1"/>
        <rFont val="Arial"/>
        <family val="2"/>
      </rPr>
      <t xml:space="preserve">
</t>
    </r>
  </si>
  <si>
    <r>
      <rPr>
        <b/>
        <sz val="10"/>
        <rFont val="Arial"/>
        <family val="2"/>
      </rPr>
      <t>Climate adaptation plan</t>
    </r>
    <r>
      <rPr>
        <sz val="10"/>
        <color theme="1"/>
        <rFont val="Arial"/>
        <family val="2"/>
      </rPr>
      <t xml:space="preserve">
The municipality has a climate adaptation plan.
</t>
    </r>
  </si>
  <si>
    <t>Adaptability</t>
  </si>
  <si>
    <r>
      <rPr>
        <b/>
        <sz val="10"/>
        <rFont val="Arial"/>
        <family val="2"/>
      </rPr>
      <t>Innovation management</t>
    </r>
    <r>
      <rPr>
        <sz val="10"/>
        <color theme="1"/>
        <rFont val="Arial"/>
        <family val="2"/>
      </rPr>
      <t xml:space="preserve">
During district planning, a future integration of technical and social innovations was taken into account. 
</t>
    </r>
  </si>
  <si>
    <r>
      <rPr>
        <b/>
        <sz val="10"/>
        <rFont val="Arial"/>
        <family val="2"/>
      </rPr>
      <t>Trend research</t>
    </r>
    <r>
      <rPr>
        <sz val="10"/>
        <color theme="1"/>
        <rFont val="Arial"/>
        <family val="2"/>
      </rPr>
      <t xml:space="preserve"> 
A trend barometer for the region/city was taken into account in the planning. </t>
    </r>
  </si>
  <si>
    <t>Supply and development</t>
  </si>
  <si>
    <r>
      <rPr>
        <b/>
        <sz val="10"/>
        <rFont val="Arial"/>
        <family val="2"/>
      </rPr>
      <t>Security of supply for drinking water</t>
    </r>
    <r>
      <rPr>
        <sz val="10"/>
        <rFont val="Arial"/>
        <family val="2"/>
      </rPr>
      <t xml:space="preserve">
</t>
    </r>
  </si>
  <si>
    <r>
      <rPr>
        <b/>
        <sz val="10"/>
        <rFont val="Arial"/>
        <family val="2"/>
      </rPr>
      <t>Security of supply for wastewater</t>
    </r>
    <r>
      <rPr>
        <sz val="10"/>
        <rFont val="Arial"/>
        <family val="2"/>
      </rPr>
      <t xml:space="preserve">
</t>
    </r>
  </si>
  <si>
    <r>
      <rPr>
        <b/>
        <sz val="10"/>
        <rFont val="Arial"/>
        <family val="2"/>
      </rPr>
      <t>Energy infrastructure</t>
    </r>
    <r>
      <rPr>
        <sz val="10"/>
        <color theme="1"/>
        <rFont val="Arial"/>
        <family val="2"/>
      </rPr>
      <t xml:space="preserve">
- Energy is generated in the district itself (at least 10% of the final energy consumption for heat and electricity).  +5 Points
- Energy storage capacities (battery storage, hot water storage, hydrogen storage, etc.) are available in the district.   +10 Points
</t>
    </r>
  </si>
  <si>
    <t>Food cultivation areas</t>
  </si>
  <si>
    <t xml:space="preserve">Regional products are offered in the district
(e.g. weekly market, farm shop).
</t>
  </si>
  <si>
    <t xml:space="preserve">Cultivation areas for residents in the district are available and are being used.
</t>
  </si>
  <si>
    <t xml:space="preserve">Highly efficient or innovative cultivation methods in the district 
</t>
  </si>
  <si>
    <r>
      <rPr>
        <b/>
        <sz val="10"/>
        <rFont val="Arial"/>
        <family val="2"/>
      </rPr>
      <t>Flexibility and expansion reserves of the technical district infrastructure/building</t>
    </r>
    <r>
      <rPr>
        <sz val="10"/>
        <color theme="1"/>
        <rFont val="Arial"/>
        <family val="2"/>
      </rPr>
      <t xml:space="preserve">
</t>
    </r>
  </si>
  <si>
    <r>
      <rPr>
        <b/>
        <sz val="10"/>
        <rFont val="Arial"/>
        <family val="2"/>
      </rPr>
      <t>Flexibilität und Ausbaureserven der  technischen Quartiersinfrastruktur / Gebäude</t>
    </r>
    <r>
      <rPr>
        <sz val="10"/>
        <color theme="1"/>
        <rFont val="Arial"/>
        <family val="2"/>
      </rPr>
      <t xml:space="preserve">
</t>
    </r>
  </si>
  <si>
    <t>Redundancy and resilience of transport systems</t>
  </si>
  <si>
    <t xml:space="preserve">In the event of a crisis and/or a disruptive event (in the event of damage to roads/tracks, accidents, weather-related blockages/restrictions), access to the district is ensured.
</t>
  </si>
  <si>
    <t>Urban design and architecture</t>
  </si>
  <si>
    <t>Urban design</t>
  </si>
  <si>
    <t xml:space="preserve">The building law permits mixed use at the district level. The district is designated as an MI or urban area (MU) or the district is equipped with at least three different categories according to § 1 para. 2 BauNVO, whereby each category accounts for at least 10% of the total GFADGNB.
</t>
  </si>
  <si>
    <t xml:space="preserve">The designs and specifications allow for different construction methods, building typologies and/or eaves and floor heights on the construction sites.
</t>
  </si>
  <si>
    <t xml:space="preserve">The design of the public space allows for future adjustments of the road width.
</t>
  </si>
  <si>
    <r>
      <rPr>
        <b/>
        <sz val="10"/>
        <color rgb="FFA5D867"/>
        <rFont val="Arial"/>
        <family val="2"/>
      </rPr>
      <t>CIRCULAR ECONOMY BONUS - DECONSTRUCTION-FRIENDLY CONSTRUCTION</t>
    </r>
    <r>
      <rPr>
        <sz val="10"/>
        <color theme="1"/>
        <rFont val="Arial"/>
        <family val="2"/>
      </rPr>
      <t xml:space="preserve">
There are dismantling concepts for buildings and/or infrastructure across different districts
Building: 5 points
Infrastructure: 5 points.</t>
    </r>
  </si>
  <si>
    <t>Building density</t>
  </si>
  <si>
    <t xml:space="preserve">Floor space index (FSI)
</t>
  </si>
  <si>
    <t>Development efficiency index (DEI)</t>
  </si>
  <si>
    <t>Development coefficient (DEC)</t>
  </si>
  <si>
    <t>Value stability</t>
  </si>
  <si>
    <t>Diversification</t>
  </si>
  <si>
    <t xml:space="preserve">Degree of diversification
</t>
  </si>
  <si>
    <t>Purchasing power index</t>
  </si>
  <si>
    <t xml:space="preserve">Purchasing power index
</t>
  </si>
  <si>
    <t>Unemployment rate</t>
  </si>
  <si>
    <t>Market and location analysis</t>
  </si>
  <si>
    <r>
      <rPr>
        <b/>
        <sz val="10"/>
        <rFont val="Arial"/>
        <family val="2"/>
      </rPr>
      <t>Location analysis</t>
    </r>
    <r>
      <rPr>
        <sz val="10"/>
        <rFont val="Arial"/>
        <family val="2"/>
      </rPr>
      <t xml:space="preserve">
- Demographic and economic development of the macro-location (district, city, possibly region)
- Urban planning development of the macro-location and the direct neighbourhood
- Direct neighbouring areas (interactions, synergies and conflict potential)
- General social perception of the location
</t>
    </r>
  </si>
  <si>
    <r>
      <rPr>
        <b/>
        <sz val="10"/>
        <rFont val="Arial"/>
        <family val="2"/>
      </rPr>
      <t>Target group analysis</t>
    </r>
    <r>
      <rPr>
        <sz val="10"/>
        <rFont val="Arial"/>
        <family val="2"/>
      </rPr>
      <t xml:space="preserve">
- Demographic and social characteristics
- Lifestyle and recreational behaviour
- Demand behaviour
- Economic sectors
- Size characteristics (commercial residents)
</t>
    </r>
  </si>
  <si>
    <r>
      <rPr>
        <b/>
        <sz val="10"/>
        <rFont val="Arial"/>
        <family val="2"/>
      </rPr>
      <t>Competitor analysis</t>
    </r>
    <r>
      <rPr>
        <sz val="10"/>
        <rFont val="Arial"/>
        <family val="2"/>
      </rPr>
      <t xml:space="preserve">
A competitor analysis is available if competing projects are addressed in the analysis and conclusions are drawn from them.
</t>
    </r>
  </si>
  <si>
    <r>
      <rPr>
        <b/>
        <sz val="10"/>
        <rFont val="Arial"/>
        <family val="2"/>
      </rPr>
      <t>Use mix in line with the market</t>
    </r>
    <r>
      <rPr>
        <sz val="10"/>
        <rFont val="Arial"/>
        <family val="2"/>
      </rPr>
      <t xml:space="preserve">
This is the case if the implemented district use mix can be clearly read from the market analysis. This refers not only to the uses themselves, but also to ownership and rental structures, household and commercial sizes.
</t>
    </r>
  </si>
  <si>
    <t>Marketing</t>
  </si>
  <si>
    <r>
      <rPr>
        <b/>
        <sz val="10"/>
        <rFont val="Arial"/>
        <family val="2"/>
      </rPr>
      <t>Media work/brochures</t>
    </r>
    <r>
      <rPr>
        <sz val="10"/>
        <rFont val="Arial"/>
        <family val="2"/>
      </rPr>
      <t xml:space="preserve">
Points can be achieved, if the project is advertised using at least two different media (brochures/newspapers/Internet/TV/radio/posters, etc.) (articles and messages about the project are not sufficient).</t>
    </r>
  </si>
  <si>
    <r>
      <rPr>
        <b/>
        <sz val="10"/>
        <rFont val="Arial"/>
        <family val="2"/>
      </rPr>
      <t>Public relations</t>
    </r>
    <r>
      <rPr>
        <sz val="10"/>
        <rFont val="Arial"/>
        <family val="2"/>
      </rPr>
      <t xml:space="preserve">
</t>
    </r>
  </si>
  <si>
    <r>
      <rPr>
        <b/>
        <sz val="10"/>
        <rFont val="Arial"/>
        <family val="2"/>
      </rPr>
      <t>Festivals/events</t>
    </r>
    <r>
      <rPr>
        <sz val="10"/>
        <rFont val="Arial"/>
        <family val="2"/>
      </rPr>
      <t xml:space="preserve">
</t>
    </r>
  </si>
  <si>
    <r>
      <rPr>
        <b/>
        <sz val="10"/>
        <rFont val="Arial"/>
        <family val="2"/>
      </rPr>
      <t>On-site information</t>
    </r>
    <r>
      <rPr>
        <sz val="10"/>
        <rFont val="Arial"/>
        <family val="2"/>
      </rPr>
      <t xml:space="preserve">
</t>
    </r>
  </si>
  <si>
    <r>
      <rPr>
        <b/>
        <sz val="10"/>
        <rFont val="Arial"/>
        <family val="2"/>
      </rPr>
      <t>Direct marketing</t>
    </r>
    <r>
      <rPr>
        <sz val="10"/>
        <rFont val="Arial"/>
        <family val="2"/>
      </rPr>
      <t xml:space="preserve">
</t>
    </r>
  </si>
  <si>
    <t>Awards</t>
  </si>
  <si>
    <r>
      <rPr>
        <b/>
        <sz val="10"/>
        <rFont val="Arial"/>
        <family val="2"/>
      </rPr>
      <t>Real estate award</t>
    </r>
    <r>
      <rPr>
        <sz val="10"/>
        <rFont val="Arial"/>
        <family val="2"/>
      </rPr>
      <t xml:space="preserve">
Real estate award (no award by the developer ).
</t>
    </r>
  </si>
  <si>
    <r>
      <rPr>
        <b/>
        <sz val="10"/>
        <rFont val="Arial"/>
        <family val="2"/>
      </rPr>
      <t>Building certificate</t>
    </r>
    <r>
      <rPr>
        <sz val="10"/>
        <rFont val="Arial"/>
        <family val="2"/>
      </rPr>
      <t xml:space="preserve">
Points can be achieved, if the promoter certifies at least 20% of the buildings in the district according to DGNB or another independent sustainability system.</t>
    </r>
  </si>
  <si>
    <t>Training mix</t>
  </si>
  <si>
    <r>
      <rPr>
        <b/>
        <sz val="10"/>
        <rFont val="Arial"/>
        <family val="2"/>
      </rPr>
      <t>Jobs in the company</t>
    </r>
    <r>
      <rPr>
        <sz val="10"/>
        <rFont val="Arial"/>
        <family val="2"/>
      </rPr>
      <t xml:space="preserve">
- Both skilled and unskilled jobs are offered. +5
- The company trains apprentices itself. +5
- Among the trainees are usually both graduates with a secondary school graduation and high school graduates. +5</t>
    </r>
  </si>
  <si>
    <r>
      <rPr>
        <b/>
        <sz val="10"/>
        <rFont val="Arial"/>
        <family val="2"/>
      </rPr>
      <t>Unemployment rate</t>
    </r>
    <r>
      <rPr>
        <sz val="10"/>
        <rFont val="Arial"/>
        <family val="2"/>
      </rPr>
      <t xml:space="preserve">
- The average unemployment rate of the last 5 years for the city/district is below the national average. (5 Points)
</t>
    </r>
    <r>
      <rPr>
        <b/>
        <sz val="10"/>
        <rFont val="Arial"/>
        <family val="2"/>
      </rPr>
      <t>OR</t>
    </r>
    <r>
      <rPr>
        <sz val="10"/>
        <rFont val="Arial"/>
        <family val="2"/>
      </rPr>
      <t xml:space="preserve">
- The average unemployment rate of the last 5 years for the city/district is lower than the average unemployment rate of the last 15 years for the city/district. (10 Points)
</t>
    </r>
  </si>
  <si>
    <t>Erdbeben</t>
  </si>
  <si>
    <t>Lawinen</t>
  </si>
  <si>
    <t>Waldbrände</t>
  </si>
  <si>
    <t>Vulkanausbruch</t>
  </si>
  <si>
    <t>Sturm</t>
  </si>
  <si>
    <t>Hochwasser</t>
  </si>
  <si>
    <t>Starkregen</t>
  </si>
  <si>
    <t>Hagel</t>
  </si>
  <si>
    <t>Erdrutsch/Bodensenkung</t>
  </si>
  <si>
    <t>Environmental risks</t>
  </si>
  <si>
    <t>Earthquake</t>
  </si>
  <si>
    <t>Volcanic eruption</t>
  </si>
  <si>
    <t>Avalanches</t>
  </si>
  <si>
    <t>Storms</t>
  </si>
  <si>
    <t>Floods</t>
  </si>
  <si>
    <t>Heavy rain</t>
  </si>
  <si>
    <t>Hail</t>
  </si>
  <si>
    <t>Landslide/soil subsidence</t>
  </si>
  <si>
    <t>Storm surge/tsunami</t>
  </si>
  <si>
    <t>Sturmflut/Tsunami</t>
  </si>
  <si>
    <t>Temperature extremes</t>
  </si>
  <si>
    <t>Besondere Temperaturextreme</t>
  </si>
  <si>
    <t>Forest fires</t>
  </si>
  <si>
    <t>Thermal comfort in open spaces</t>
  </si>
  <si>
    <t>Basic comfort</t>
  </si>
  <si>
    <r>
      <rPr>
        <b/>
        <sz val="10"/>
        <rFont val="Arial"/>
        <family val="2"/>
      </rPr>
      <t>Microclimate analysis</t>
    </r>
    <r>
      <rPr>
        <sz val="10"/>
        <rFont val="Arial"/>
        <family val="2"/>
      </rPr>
      <t xml:space="preserve">
</t>
    </r>
  </si>
  <si>
    <r>
      <rPr>
        <b/>
        <sz val="10"/>
        <rFont val="Arial"/>
        <family val="2"/>
      </rPr>
      <t>Solar radiation on 21 December in hours</t>
    </r>
    <r>
      <rPr>
        <sz val="10"/>
        <rFont val="Arial"/>
        <family val="2"/>
      </rPr>
      <t xml:space="preserve">
- ≥ 1 h  (5 Points)
OR
- ≥ 3 h  (10 Points)
</t>
    </r>
  </si>
  <si>
    <r>
      <rPr>
        <b/>
        <sz val="10"/>
        <rFont val="Arial"/>
        <family val="2"/>
      </rPr>
      <t>Shading of the study areas in percentages</t>
    </r>
    <r>
      <rPr>
        <sz val="10"/>
        <rFont val="Arial"/>
        <family val="2"/>
      </rPr>
      <t xml:space="preserve">
≥ 10% of the surfaces in the study area are protected by trees, rigid or adaptive/flexible shading systems or buildings from summer sun   (5 Points)
OR
≥ 30 % of the surfaces in the study area are protected by trees, rigid or adaptive/flexible shading systems or buildings from summer sun .  (10 Points)
</t>
    </r>
  </si>
  <si>
    <r>
      <rPr>
        <b/>
        <sz val="10"/>
        <rFont val="Arial"/>
        <family val="2"/>
      </rPr>
      <t>Wind protection measures</t>
    </r>
    <r>
      <rPr>
        <sz val="10"/>
        <rFont val="Arial"/>
        <family val="2"/>
      </rPr>
      <t xml:space="preserve">
The building structure is optimised for the city climate, so that negative effects for the common areas (wind tunnel effects, handling of fall winds from high-rise buildings, etc.) are avoided. Wind protection measures are used for areas affected by gusts of wind.
</t>
    </r>
  </si>
  <si>
    <r>
      <rPr>
        <b/>
        <sz val="10"/>
        <rFont val="Arial"/>
        <family val="2"/>
      </rPr>
      <t>Improvement measures for microclimate</t>
    </r>
    <r>
      <rPr>
        <sz val="10"/>
        <rFont val="Arial"/>
        <family val="2"/>
      </rPr>
      <t xml:space="preserve">
Between 33 and 100% of the recommended measures are implemented</t>
    </r>
  </si>
  <si>
    <t>Wind comfort</t>
  </si>
  <si>
    <t>Perceived temperature</t>
  </si>
  <si>
    <r>
      <rPr>
        <b/>
        <sz val="10"/>
        <rFont val="Arial"/>
        <family val="2"/>
      </rPr>
      <t>Examination in all categories</t>
    </r>
    <r>
      <rPr>
        <sz val="10"/>
        <rFont val="Arial"/>
        <family val="2"/>
      </rPr>
      <t xml:space="preserve">
Examination with division into all categories (A-C). 
- The requirements are not met or have not been documented. </t>
    </r>
    <r>
      <rPr>
        <b/>
        <sz val="10"/>
        <rFont val="Arial"/>
        <family val="2"/>
      </rPr>
      <t xml:space="preserve">(3 Points)
</t>
    </r>
    <r>
      <rPr>
        <sz val="10"/>
        <rFont val="Arial"/>
        <family val="2"/>
      </rPr>
      <t xml:space="preserve">OR
- The requirements are fulfilled on average for at least 50 % of all the common areas examined. </t>
    </r>
    <r>
      <rPr>
        <b/>
        <sz val="10"/>
        <rFont val="Arial"/>
        <family val="2"/>
      </rPr>
      <t>(5 Points)</t>
    </r>
    <r>
      <rPr>
        <sz val="10"/>
        <rFont val="Arial"/>
        <family val="2"/>
      </rPr>
      <t xml:space="preserve">
OR
- The requirements are fulfilled for at least 80 % in each of the examined common areas. </t>
    </r>
    <r>
      <rPr>
        <b/>
        <sz val="10"/>
        <rFont val="Arial"/>
        <family val="2"/>
      </rPr>
      <t>(10 Points)</t>
    </r>
    <r>
      <rPr>
        <sz val="10"/>
        <rFont val="Arial"/>
        <family val="2"/>
      </rPr>
      <t xml:space="preserve">
</t>
    </r>
  </si>
  <si>
    <r>
      <rPr>
        <b/>
        <sz val="10"/>
        <rFont val="Arial"/>
        <family val="2"/>
      </rPr>
      <t>Percentage reduction of hot or cold periods (number of hours h) compared to the base variant</t>
    </r>
    <r>
      <rPr>
        <sz val="10"/>
        <rFont val="Arial"/>
        <family val="2"/>
      </rPr>
      <t xml:space="preserve">
≥ 30 % </t>
    </r>
    <r>
      <rPr>
        <b/>
        <sz val="10"/>
        <rFont val="Arial"/>
        <family val="2"/>
      </rPr>
      <t>(3 Points)</t>
    </r>
    <r>
      <rPr>
        <sz val="10"/>
        <rFont val="Arial"/>
        <family val="2"/>
      </rPr>
      <t xml:space="preserve">
OR
≥ 40 % </t>
    </r>
    <r>
      <rPr>
        <b/>
        <sz val="10"/>
        <rFont val="Arial"/>
        <family val="2"/>
      </rPr>
      <t>(7 Points)</t>
    </r>
    <r>
      <rPr>
        <sz val="10"/>
        <rFont val="Arial"/>
        <family val="2"/>
      </rPr>
      <t xml:space="preserve">
OR
≥ 50 % </t>
    </r>
    <r>
      <rPr>
        <b/>
        <sz val="10"/>
        <rFont val="Arial"/>
        <family val="2"/>
      </rPr>
      <t>(14 Points)</t>
    </r>
    <r>
      <rPr>
        <sz val="10"/>
        <rFont val="Arial"/>
        <family val="2"/>
      </rPr>
      <t xml:space="preserve">
OR
Demonstrably no stress days available or demonstrable reduction of stress days by at least 80%. </t>
    </r>
    <r>
      <rPr>
        <b/>
        <sz val="10"/>
        <rFont val="Arial"/>
        <family val="2"/>
      </rPr>
      <t>(20 Points)</t>
    </r>
    <r>
      <rPr>
        <sz val="10"/>
        <rFont val="Arial"/>
        <family val="2"/>
      </rPr>
      <t xml:space="preserve">
</t>
    </r>
  </si>
  <si>
    <r>
      <rPr>
        <b/>
        <sz val="10"/>
        <rFont val="Arial"/>
        <family val="2"/>
      </rPr>
      <t>Prozentuale Reduzierung zu warmen oder kalten Zeiten (Stundenzahl h) im Vergleich zur Basisvariante</t>
    </r>
    <r>
      <rPr>
        <sz val="10"/>
        <rFont val="Arial"/>
        <family val="2"/>
      </rPr>
      <t xml:space="preserve">
≥ 30 % </t>
    </r>
    <r>
      <rPr>
        <b/>
        <sz val="10"/>
        <rFont val="Arial"/>
        <family val="2"/>
      </rPr>
      <t>(3 Punkte)</t>
    </r>
    <r>
      <rPr>
        <sz val="10"/>
        <rFont val="Arial"/>
        <family val="2"/>
      </rPr>
      <t xml:space="preserve">
ODER
≥ 40 % </t>
    </r>
    <r>
      <rPr>
        <b/>
        <sz val="10"/>
        <rFont val="Arial"/>
        <family val="2"/>
      </rPr>
      <t>(7 Punkte)</t>
    </r>
    <r>
      <rPr>
        <sz val="10"/>
        <rFont val="Arial"/>
        <family val="2"/>
      </rPr>
      <t xml:space="preserve">
ODER
≥ 50 % </t>
    </r>
    <r>
      <rPr>
        <b/>
        <sz val="10"/>
        <rFont val="Arial"/>
        <family val="2"/>
      </rPr>
      <t>(14 Punkte)</t>
    </r>
    <r>
      <rPr>
        <sz val="10"/>
        <rFont val="Arial"/>
        <family val="2"/>
      </rPr>
      <t xml:space="preserve">
ODER
Nachweislich keine Stresstage vorhanden oder nachweisliche Reduzierung der Stresstage um mindestens 80 %. </t>
    </r>
    <r>
      <rPr>
        <b/>
        <sz val="10"/>
        <rFont val="Arial"/>
        <family val="2"/>
      </rPr>
      <t>(20 Punkte)</t>
    </r>
    <r>
      <rPr>
        <sz val="10"/>
        <rFont val="Arial"/>
        <family val="2"/>
      </rPr>
      <t xml:space="preserve">
</t>
    </r>
  </si>
  <si>
    <t>Open space</t>
  </si>
  <si>
    <t>Integration into the landscape</t>
  </si>
  <si>
    <t>Consideration of landscape aspects</t>
  </si>
  <si>
    <t>Urban integration</t>
  </si>
  <si>
    <t>An analysis/study of the landscape  is available.</t>
  </si>
  <si>
    <t>An analysis/examination of urban integration is available.</t>
  </si>
  <si>
    <t xml:space="preserve">In the open space concept, the integration of the project into the landscape  is comprehensibly derived from the results of the analysis/ study (explanation required).
</t>
  </si>
  <si>
    <t xml:space="preserve">In the open space concept the urban integration of the project is comprehensibly derived from the results of the analysis/ study of the existing situation (explanation required).
</t>
  </si>
  <si>
    <t>Integration into the higher-level urban and regional planning</t>
  </si>
  <si>
    <t xml:space="preserve">An analysis/stock analysis of the higher-level planning is available. </t>
  </si>
  <si>
    <t xml:space="preserve">In the open space concept, the integration of the project into the higher-level urban and regional planning is comprehensibly derived from the findings of the analysis/ study of the existing situation (explanation required). </t>
  </si>
  <si>
    <t>Integration of existing and identity-creating landscape and open space elements</t>
  </si>
  <si>
    <t xml:space="preserve">There is an analysis/examination of the existing and identity-creating landscape and open space elements. </t>
  </si>
  <si>
    <t xml:space="preserve">In the open space concept, the integration of the existing and identity-creating landscape and open space elements is comprehensibly derived from the findings of the analysis/study(explanation required). 
</t>
  </si>
  <si>
    <t>Qualification of open spaces</t>
  </si>
  <si>
    <r>
      <rPr>
        <b/>
        <sz val="10"/>
        <rFont val="Arial"/>
        <family val="2"/>
      </rPr>
      <t>Open space structure</t>
    </r>
    <r>
      <rPr>
        <sz val="10"/>
        <rFont val="Arial"/>
        <family val="2"/>
      </rPr>
      <t xml:space="preserve">
</t>
    </r>
  </si>
  <si>
    <r>
      <rPr>
        <b/>
        <sz val="10"/>
        <rFont val="Arial"/>
        <family val="2"/>
      </rPr>
      <t>Open space types</t>
    </r>
    <r>
      <rPr>
        <sz val="10"/>
        <rFont val="Arial"/>
        <family val="2"/>
      </rPr>
      <t xml:space="preserve">
</t>
    </r>
  </si>
  <si>
    <t xml:space="preserve">Materiality
</t>
  </si>
  <si>
    <t>Equipment</t>
  </si>
  <si>
    <t xml:space="preserve">Lighting
</t>
  </si>
  <si>
    <r>
      <rPr>
        <b/>
        <sz val="10"/>
        <rFont val="Arial"/>
        <family val="2"/>
      </rPr>
      <t>Circulation areas</t>
    </r>
    <r>
      <rPr>
        <sz val="10"/>
        <rFont val="Arial"/>
        <family val="2"/>
      </rPr>
      <t xml:space="preserve">
</t>
    </r>
  </si>
  <si>
    <r>
      <rPr>
        <b/>
        <sz val="10"/>
        <rFont val="Arial"/>
        <family val="2"/>
      </rPr>
      <t>Design of private open spaces</t>
    </r>
    <r>
      <rPr>
        <sz val="10"/>
        <rFont val="Arial"/>
        <family val="2"/>
      </rPr>
      <t xml:space="preserve">
</t>
    </r>
  </si>
  <si>
    <t xml:space="preserve">Open space factor
</t>
  </si>
  <si>
    <t>Open spaces – Accessibility of (public) open spaces (outside the project area)</t>
  </si>
  <si>
    <t xml:space="preserve">Free space factor
</t>
  </si>
  <si>
    <t>Open space factor for districts</t>
  </si>
  <si>
    <t>Open space per employee and shift</t>
  </si>
  <si>
    <t xml:space="preserve">Food cultivation areas
</t>
  </si>
  <si>
    <t>Accessibility of open spaces within the industrial facility</t>
  </si>
  <si>
    <t xml:space="preserve">Building exits within high-quality open spaces 
</t>
  </si>
  <si>
    <t xml:space="preserve">Gebäudeausgänge innerhalb einer hochwertigen Freifläche 
</t>
  </si>
  <si>
    <r>
      <t>Open spaces - public open spaces GFA_</t>
    </r>
    <r>
      <rPr>
        <b/>
        <vertAlign val="subscript"/>
        <sz val="10"/>
        <color theme="4" tint="-0.499984740745262"/>
        <rFont val="Arial"/>
        <family val="2"/>
      </rPr>
      <t>DGNB</t>
    </r>
    <r>
      <rPr>
        <b/>
        <sz val="10"/>
        <color theme="4" tint="-0.499984740745262"/>
        <rFont val="Arial"/>
        <family val="2"/>
      </rPr>
      <t xml:space="preserve">
(within the project area)</t>
    </r>
  </si>
  <si>
    <r>
      <t>Freiraumangebot - öffentlicher Freiräume BGF_</t>
    </r>
    <r>
      <rPr>
        <b/>
        <vertAlign val="subscript"/>
        <sz val="10"/>
        <color theme="4" tint="-0.499984740745262"/>
        <rFont val="Arial"/>
        <family val="2"/>
      </rPr>
      <t>DGNB</t>
    </r>
    <r>
      <rPr>
        <b/>
        <sz val="10"/>
        <color theme="4" tint="-0.499984740745262"/>
        <rFont val="Arial"/>
        <family val="2"/>
      </rPr>
      <t xml:space="preserve"> (innerhalb des Projektgebietes)</t>
    </r>
  </si>
  <si>
    <r>
      <t>Freiraumangebot – private Freiräume pro BGF_</t>
    </r>
    <r>
      <rPr>
        <b/>
        <vertAlign val="subscript"/>
        <sz val="9"/>
        <color theme="4" tint="-0.499984740745262"/>
        <rFont val="Arial"/>
        <family val="2"/>
      </rPr>
      <t>W</t>
    </r>
    <r>
      <rPr>
        <b/>
        <sz val="9"/>
        <color theme="4" tint="-0.499984740745262"/>
        <rFont val="Arial"/>
        <family val="2"/>
      </rPr>
      <t xml:space="preserve"> / werksinterne Freiräume pro Mitarbeiter pro Schicht </t>
    </r>
  </si>
  <si>
    <t>Open spaces - Private open spaces of GFA_R / in-factory open spaces per employee per shift (within the project area)</t>
  </si>
  <si>
    <t>Workplace comfort</t>
  </si>
  <si>
    <t>Thermal comfort</t>
  </si>
  <si>
    <t xml:space="preserve">Planning/recording/measures
</t>
  </si>
  <si>
    <t>Indoor air quality</t>
  </si>
  <si>
    <t xml:space="preserve">Ventilation concept &amp; CO2 benchmark values
</t>
  </si>
  <si>
    <t>Visual comfort</t>
  </si>
  <si>
    <t xml:space="preserve">Daylight &amp; visual reference
</t>
  </si>
  <si>
    <t>Acoustic comfort</t>
  </si>
  <si>
    <t>Noise-reducing measures</t>
  </si>
  <si>
    <t>User influence</t>
  </si>
  <si>
    <t xml:space="preserve">Lighting/temperature/air change
</t>
  </si>
  <si>
    <t>Retreat areas</t>
  </si>
  <si>
    <t>Umweltverträgliche Materialien NeubauBedarfsermittlung Rückzugsräume</t>
  </si>
  <si>
    <t>Design concept</t>
  </si>
  <si>
    <t>Ergonomics</t>
  </si>
  <si>
    <t xml:space="preserve">Ergonomic assessment
</t>
  </si>
  <si>
    <t>Process optimisation</t>
  </si>
  <si>
    <t>Determining workplace comfort</t>
  </si>
  <si>
    <t>Collecting data on workplace comfort</t>
  </si>
  <si>
    <t>Inventory regarding workplace comfort</t>
  </si>
  <si>
    <r>
      <rPr>
        <b/>
        <sz val="10"/>
        <color theme="1"/>
        <rFont val="Arial"/>
        <family val="2"/>
      </rPr>
      <t xml:space="preserve">For  New buildings: 
</t>
    </r>
    <r>
      <rPr>
        <sz val="10"/>
        <color theme="1"/>
        <rFont val="Arial"/>
        <family val="2"/>
      </rPr>
      <t>Workplace comfort parameters (temperature, air quality, air humidity, illuminance, noise level or other, at least 2) are measured in the impact area of at least 50 % - 100 % employees (stationary or regularly planned) in order to determine any deviations from the planning objectives</t>
    </r>
  </si>
  <si>
    <r>
      <rPr>
        <b/>
        <sz val="10"/>
        <color theme="1"/>
        <rFont val="Arial"/>
        <family val="2"/>
      </rPr>
      <t xml:space="preserve">For  Existing  buildings  / mixed: </t>
    </r>
    <r>
      <rPr>
        <sz val="10"/>
        <color theme="1"/>
        <rFont val="Arial"/>
        <family val="2"/>
      </rPr>
      <t xml:space="preserve">
A systematic inventory, which evaluates the current workplace comfort and shows possible deficiencies, has been carried out for at least 50 % - 100 % of the GFA/workplaces and is max. 5 years old (in case of existing buildings/mixed)</t>
    </r>
  </si>
  <si>
    <r>
      <rPr>
        <b/>
        <sz val="10"/>
        <color theme="1"/>
        <rFont val="Arial"/>
        <family val="2"/>
      </rPr>
      <t xml:space="preserve">Bei Neubau: 
</t>
    </r>
    <r>
      <rPr>
        <sz val="10"/>
        <color theme="1"/>
        <rFont val="Arial"/>
        <family val="2"/>
      </rPr>
      <t>Arbeitsplatzkomfortparameter (Temperatur, Luftqualität, Luftfeuchte, Beleuchtungsstärke, Lärmpegel oder sonstige, mind. 2) werden im Wirkungsbereich von mind. 50 % - 100 % Mitarbeiter gemessen (stationär oder geplant regelmäßig), um etwaige Abweichungen von den Planungszielen festzustellen</t>
    </r>
  </si>
  <si>
    <r>
      <rPr>
        <b/>
        <sz val="10"/>
        <color theme="1"/>
        <rFont val="Arial"/>
        <family val="2"/>
      </rPr>
      <t>Bei Bestand / Gemischt:</t>
    </r>
    <r>
      <rPr>
        <sz val="10"/>
        <color theme="1"/>
        <rFont val="Arial"/>
        <family val="2"/>
      </rPr>
      <t xml:space="preserve"> 
Eine systematische Bestandsaufnahme, welche den aktuellen Arbeitsplatzkomfort bewertet und etwaige Mängel aufzeigt, ist für mind. 50 % - 100 % der BGF/Arbeitsplätze erfolgt und max. 5 Jahre alt (bei Bestand/gemischt)</t>
    </r>
  </si>
  <si>
    <t>Qualitätsanforderungen Rückzugsräume
Stufe 1: Neubau 0 BWP   
            Bestand / Gemischt 2 BWP
Stufe 2: Neubau 3 BWP  
            Bestand / Gemischt 5 BWP
Stufe 3: Neubau 6 BWP   
            Bestand / Gemischt 10 BWP</t>
  </si>
  <si>
    <t>Quality requirements for retreat areas
Level 1: new buildings 0 CLP  
            existing buildings / mixed 2 BWP
Level 2: new buildings 3 CLP  
            existing buildings / mixed 5 BWP
Level 3: new buildings 6 CLP 
            existing buildings / mixed 10 BWP</t>
  </si>
  <si>
    <t>Determining requirements for retreat areas</t>
  </si>
  <si>
    <t>Gestalterisches Konzept 
Bei Bestand: Punkte können entsprechend der Transformation vom ISTZustand analog zum Neubau angerechnet werden.</t>
  </si>
  <si>
    <t>Design concept 
For  Existing buildings : Points can be credited according to the transformation from the actual state analogous to new buildings.</t>
  </si>
  <si>
    <t xml:space="preserve">Gestalterisches Konzept </t>
  </si>
  <si>
    <t xml:space="preserve">Design concept </t>
  </si>
  <si>
    <t>Ermittlung des Arbeitsplatzkomforts</t>
  </si>
  <si>
    <t>Nicht relevant für Bestand / Gemischt</t>
  </si>
  <si>
    <t>Not relevant for existing buildings / mixed</t>
  </si>
  <si>
    <t>Industrial noise / noise from event use outside the district</t>
  </si>
  <si>
    <t>Industrial and commercial noise in adjacent sensitive usage areas</t>
  </si>
  <si>
    <t>Air pollution from heating/firing systems</t>
  </si>
  <si>
    <t xml:space="preserve">Prevention or reduction of emissions </t>
  </si>
  <si>
    <t>Compliance with or undercutting of limit values</t>
  </si>
  <si>
    <t>Industrial noise / noise caused by additional traffic in adjacent sensitive usage areas</t>
  </si>
  <si>
    <t>Noise from rail and air traffic, industry and commerce as well as sport and leisure (reduction factor)</t>
  </si>
  <si>
    <t>Measures to reduce light pollution</t>
  </si>
  <si>
    <t>There is an (implemented) lighting concept (for open spaces, building lighting and advertising) that explicitly addresses the issue of light pollution and its prevention and, above all, takes into account the lowest possible level of room illumination for adjacent uses.</t>
  </si>
  <si>
    <t xml:space="preserve">All light sources in the outdoor area are designed in a way that no light is scattered upwards and to the side.
</t>
  </si>
  <si>
    <t xml:space="preserve">All light sources in the outdoor area have light colours and orientation which are harmless for species protection.
</t>
  </si>
  <si>
    <t xml:space="preserve">No undesirable glare effects occur with lights.
</t>
  </si>
  <si>
    <t>The determination of evaluation points, which are deducted due to the additional noise pollution, is carried out according to formula 1.
(Please enter a positive value here, this will be deducted from the achieved points)</t>
  </si>
  <si>
    <t>Noise, exhaust and light emissions / immissions</t>
  </si>
  <si>
    <t>Air quality</t>
  </si>
  <si>
    <t>Compliance with the legal limits for air quality characteristics</t>
  </si>
  <si>
    <r>
      <t xml:space="preserve">- NO2 exceedance at a maximum of 18 3-hour intervals (above the one-hour daily maximum) </t>
    </r>
    <r>
      <rPr>
        <b/>
        <sz val="10"/>
        <color theme="1"/>
        <rFont val="Arial"/>
        <family val="2"/>
      </rPr>
      <t>(5 Points)</t>
    </r>
    <r>
      <rPr>
        <sz val="10"/>
        <color theme="1"/>
        <rFont val="Arial"/>
        <family val="2"/>
      </rPr>
      <t xml:space="preserve">
</t>
    </r>
    <r>
      <rPr>
        <b/>
        <sz val="10"/>
        <color theme="1"/>
        <rFont val="Arial"/>
        <family val="2"/>
      </rPr>
      <t>OR</t>
    </r>
    <r>
      <rPr>
        <sz val="10"/>
        <color theme="1"/>
        <rFont val="Arial"/>
        <family val="2"/>
      </rPr>
      <t xml:space="preserve">
- No NO2 exceedance </t>
    </r>
    <r>
      <rPr>
        <b/>
        <sz val="10"/>
        <color theme="1"/>
        <rFont val="Arial"/>
        <family val="2"/>
      </rPr>
      <t>(10 Points)</t>
    </r>
    <r>
      <rPr>
        <sz val="10"/>
        <color theme="1"/>
        <rFont val="Arial"/>
        <family val="2"/>
      </rPr>
      <t xml:space="preserve">
</t>
    </r>
  </si>
  <si>
    <t>Change in the emission situation / air hygiene expert opinion</t>
  </si>
  <si>
    <t xml:space="preserve">Execution of a qualified air hygiene expert report
</t>
  </si>
  <si>
    <r>
      <t xml:space="preserve">Implementation of the results of the air hygiene report,
- 50 % of measures implemented </t>
    </r>
    <r>
      <rPr>
        <b/>
        <sz val="10"/>
        <color theme="1"/>
        <rFont val="Arial"/>
        <family val="2"/>
      </rPr>
      <t>(3 Points)</t>
    </r>
    <r>
      <rPr>
        <sz val="10"/>
        <color theme="1"/>
        <rFont val="Arial"/>
        <family val="2"/>
      </rPr>
      <t xml:space="preserve">
</t>
    </r>
    <r>
      <rPr>
        <b/>
        <sz val="10"/>
        <color theme="1"/>
        <rFont val="Arial"/>
        <family val="2"/>
      </rPr>
      <t>ODER</t>
    </r>
    <r>
      <rPr>
        <sz val="10"/>
        <color theme="1"/>
        <rFont val="Arial"/>
        <family val="2"/>
      </rPr>
      <t xml:space="preserve">
- measures fully implemented </t>
    </r>
    <r>
      <rPr>
        <b/>
        <sz val="10"/>
        <color theme="1"/>
        <rFont val="Arial"/>
        <family val="2"/>
      </rPr>
      <t>(7 Points)</t>
    </r>
    <r>
      <rPr>
        <sz val="10"/>
        <color theme="1"/>
        <rFont val="Arial"/>
        <family val="2"/>
      </rPr>
      <t xml:space="preserve">
</t>
    </r>
  </si>
  <si>
    <t>Road traffic noise (inside)</t>
  </si>
  <si>
    <t>Evaluation of the average existing road traffic noise level (day/night)</t>
  </si>
  <si>
    <t>Noise in the central open space accessible to the public</t>
  </si>
  <si>
    <t xml:space="preserve">Noise value for open space (day)
</t>
  </si>
  <si>
    <t>Barrier-free design</t>
  </si>
  <si>
    <t>Barrier-free area</t>
  </si>
  <si>
    <t xml:space="preserve">Barrier-free design index
</t>
  </si>
  <si>
    <t>Accessibility of the necessary infrastructure</t>
  </si>
  <si>
    <t>Local facilities</t>
  </si>
  <si>
    <t xml:space="preserve">Education: Childcare and primary school max. walking distance 200m as the crow flies
</t>
  </si>
  <si>
    <t xml:space="preserve">Playgrounds max. walking distance 200m as the crow flies
</t>
  </si>
  <si>
    <t xml:space="preserve">Local supply 1: Full-range supplier (offer of goods for daily needs) max. walking distance 400 m as the crow flies
</t>
  </si>
  <si>
    <t xml:space="preserve">Local supply 2: Small-scale commercial retail (bakery, butcher, drugstore,...) max. walking distance 400 m as the crow flies
</t>
  </si>
  <si>
    <t xml:space="preserve">Medical facilities: General practitioner max. walking distance 400 m as the crow flies
</t>
  </si>
  <si>
    <t xml:space="preserve">Bus or tram stop: max. walking distance 200 m as the crow flies
</t>
  </si>
  <si>
    <t>Catering: Restaurant, café, canteen, dining hall, etc. max. walking distance 400 m as the crow flies</t>
  </si>
  <si>
    <t>Sanitary facilities: Toilet for disabled people max. walking distance 200 m as the crow flies</t>
  </si>
  <si>
    <t>Barrier-free design of the traffic areas</t>
  </si>
  <si>
    <t>Barrier-free movement areas</t>
  </si>
  <si>
    <t xml:space="preserve">Width of movement area on footpaths in the vicinity of schools, childcare facilities, leisure and care facilities, shopping centres, pedestrian crossings and passages: 3 m
</t>
  </si>
  <si>
    <t xml:space="preserve">Width of the movement area of footpaths at the narrowest point (in road space and in open spaces): 1.5 m
</t>
  </si>
  <si>
    <t xml:space="preserve">Width of the movement area on side walkways, in passages at cash registers and controls: 0.9 m
</t>
  </si>
  <si>
    <t>Resting places in front of public facilities: 1.5 x 1.5 m
(e.g. as turning possibility, as a relaxing or resting area, at the beginning and end of a ramp, in front of house and building entrances etc.)</t>
  </si>
  <si>
    <t xml:space="preserve">Movement area within footpaths: 2.0 x 2.5 m 
(after max. 18 m, within the visibility range)
</t>
  </si>
  <si>
    <t xml:space="preserve">Execute footpaths  with a longitudinal gradient of 0-3 %, if necessary, with a gradient of 3-6 % only resting places at least every 10 m
</t>
  </si>
  <si>
    <t xml:space="preserve">Traffic-reduced road space: Orientation by means of tactile and optically contrasting guidance systems
</t>
  </si>
  <si>
    <t xml:space="preserve">Access, pedestrian crossing and passage with lowered pavement, perpendicular to the road, without visibility barriers
</t>
  </si>
  <si>
    <t xml:space="preserve">Different levels must be made accessible by means of DIN-compliant ramps or lifts (possibly also escalator or moving walkway)
</t>
  </si>
  <si>
    <t xml:space="preserve">Barrier-free public transport stops (height differences and distances to be overcome ≤ 3 cm, marked entry points, weather protection, movement areas not crossed by bicycle paths)
</t>
  </si>
  <si>
    <t xml:space="preserve">Sufficient parking spaces for disabled persons (3 % of the parking spaces, but at least 1 parking space; 1.5 m deep movement area next to the long side for transverse parking, 7.5 m long and 2.5 m wide for longitudinal parking)
</t>
  </si>
  <si>
    <t>Sufficient car parking spaces for disabled people in the immediate vicinity of the arena (corresponding to the total capacity of the arena: 
15,000 - 20,000 visitors = at least 30 wheelchair users + at least 10 visually impaired; 
20,000 - 30,000 visitors = at least 50 wheelchair users + 12 visually impaired; 
30,000 - 50,000 = at least 75 wheelchair users + at least 15 visually impaired; 
&gt; 50,000 visitors = at least 100 wheelchair users + at least 20 visually impaired)</t>
  </si>
  <si>
    <t>Visual information in the public area</t>
  </si>
  <si>
    <t>Visual information elements</t>
  </si>
  <si>
    <t xml:space="preserve">Information elements that direct and accompany a movement process should form a continuous information chain
</t>
  </si>
  <si>
    <t xml:space="preserve">Semantic grouping (information elements with related content should be spatially grouped together)
</t>
  </si>
  <si>
    <t>Easy comprehensibility and clarity (use of easy language)</t>
  </si>
  <si>
    <t xml:space="preserve">Affixing and durability of visual information
</t>
  </si>
  <si>
    <t xml:space="preserve">Compliance with the minimum character size depending on the observer distance
</t>
  </si>
  <si>
    <t xml:space="preserve">Selection of helpful colour combinations of visual object and surroundings
</t>
  </si>
  <si>
    <t xml:space="preserve">Implementation of uniform, glare-free ambient lighting with accentuated illumination of important areas (e.g. stairs) and possible targets (e.g. information boards)
</t>
  </si>
  <si>
    <t xml:space="preserve">Adherence to the prescribed contrasts for characters and symbols, especially with emergency and warning functions as well as for information carriers (special care with custom solutions!)
</t>
  </si>
  <si>
    <t>Tactile walking surface indicators in public areas</t>
  </si>
  <si>
    <t>Surface protection measures</t>
  </si>
  <si>
    <t>Uniform orientation of the surface structure e.g. at crossing points</t>
  </si>
  <si>
    <t xml:space="preserve">Systematic repeatability
</t>
  </si>
  <si>
    <t xml:space="preserve">Anti-slip properties
</t>
  </si>
  <si>
    <t xml:space="preserve">Contrasting accompanying stripes with luminance contrast (K &gt; 0.4)
</t>
  </si>
  <si>
    <t>Safety distance from the kerb</t>
  </si>
  <si>
    <t>Additional devices for blind and partially sighted people</t>
  </si>
  <si>
    <t>Signalling systems in road traffic</t>
  </si>
  <si>
    <t xml:space="preserve">Facilitated locating of the pedestrian passageway as well as the signal transmitter mast by means of request button and tactile signs
</t>
  </si>
  <si>
    <t xml:space="preserve">Recognition of the release signal for the pedestrian passageway
</t>
  </si>
  <si>
    <t xml:space="preserve">Safe and straight-line road crossing is possible
</t>
  </si>
  <si>
    <t xml:space="preserve">Planning basis </t>
  </si>
  <si>
    <t>Luminance contrast &amp; two-sense principle</t>
  </si>
  <si>
    <t xml:space="preserve">Luminance contrast (relative luminance difference of adjacent surfaces; can be supported by colouring) systematic repeatability
</t>
  </si>
  <si>
    <t xml:space="preserve">Two-senses principle: simultaneous transmission of information for two senses (visual, tactile and auditory)
</t>
  </si>
  <si>
    <t>Spaces for disabled people</t>
  </si>
  <si>
    <t>Quality level 1    max.10
Quality level 2    max.20
Quality level 3    max.40
Quality level 4    max.50</t>
  </si>
  <si>
    <t>Quality level 1    max.10
Quality level 2    max.30
Quality level 3    max.50</t>
  </si>
  <si>
    <t>Barrier-free design of the open space</t>
  </si>
  <si>
    <t>Barrier-free building design</t>
  </si>
  <si>
    <t>Urban design integration</t>
  </si>
  <si>
    <t>Integration into the urban design and urban structure</t>
  </si>
  <si>
    <t>The urban design and urban structures have been analysed/ examined.</t>
  </si>
  <si>
    <t xml:space="preserve">The project has been integrated into the urban design and urban structure according to the findings of the analysis in the urban development concept. 
</t>
  </si>
  <si>
    <t>Integration into the development network</t>
  </si>
  <si>
    <t xml:space="preserve">The development network has been analysed.
</t>
  </si>
  <si>
    <t xml:space="preserve">The project has been integrated into the development network according to the findings of the analysis in the traffic concept
</t>
  </si>
  <si>
    <t>Integration into the higher-level planning/factory framework planning</t>
  </si>
  <si>
    <t xml:space="preserve">The formal and informal higher-level planning has been analysed. </t>
  </si>
  <si>
    <t xml:space="preserve">The integration of the project into the formally and informally higher-level planning is comprehensibly derived from the findings of the analysis in the urban development concept.
</t>
  </si>
  <si>
    <t>Integration of existing buildings</t>
  </si>
  <si>
    <t>There is an analysis/examination of the existing and identity-forming buildings.</t>
  </si>
  <si>
    <t>The integration of existing and identity-forming buildings in the urban development concept is derived in a comprehensible manner from the findings of the analysis.</t>
  </si>
  <si>
    <t>Urban design qualification</t>
  </si>
  <si>
    <r>
      <rPr>
        <b/>
        <sz val="10"/>
        <rFont val="Arial"/>
        <family val="2"/>
      </rPr>
      <t>Higher-level design concept</t>
    </r>
    <r>
      <rPr>
        <sz val="10"/>
        <rFont val="Arial"/>
        <family val="2"/>
      </rPr>
      <t xml:space="preserve">
</t>
    </r>
  </si>
  <si>
    <t xml:space="preserve">Set of rules for the characteristics of buildings </t>
  </si>
  <si>
    <r>
      <rPr>
        <b/>
        <sz val="10"/>
        <rFont val="Arial"/>
        <family val="2"/>
      </rPr>
      <t>Material, colour, texture</t>
    </r>
    <r>
      <rPr>
        <sz val="10"/>
        <rFont val="Arial"/>
        <family val="2"/>
      </rPr>
      <t xml:space="preserve">
</t>
    </r>
  </si>
  <si>
    <r>
      <rPr>
        <b/>
        <sz val="10"/>
        <rFont val="Arial"/>
        <family val="2"/>
      </rPr>
      <t>Design of prominent buildings in terms of urban design</t>
    </r>
    <r>
      <rPr>
        <sz val="10"/>
        <rFont val="Arial"/>
        <family val="2"/>
      </rPr>
      <t xml:space="preserve">
</t>
    </r>
  </si>
  <si>
    <t>Design of private parking spaces and ancillary facilities</t>
  </si>
  <si>
    <t xml:space="preserve">Impulse / Attractor </t>
  </si>
  <si>
    <t>Impulse by use</t>
  </si>
  <si>
    <t>Impulse by spatial and design aspects</t>
  </si>
  <si>
    <r>
      <rPr>
        <b/>
        <sz val="10"/>
        <color rgb="FF00ACE9"/>
        <rFont val="Arial"/>
        <family val="2"/>
      </rPr>
      <t>INNOVATION AREA</t>
    </r>
    <r>
      <rPr>
        <sz val="10"/>
        <color theme="1"/>
        <rFont val="Arial"/>
        <family val="2"/>
      </rPr>
      <t xml:space="preserve">
Explanation: If extraordinary impulses are given to the district / location, that are achieved outside the defined aspects above, these can also be credited. These may include architectural or constructional innovations.
</t>
    </r>
  </si>
  <si>
    <t>Social and functional mix</t>
  </si>
  <si>
    <t>Social and functional integration</t>
  </si>
  <si>
    <r>
      <rPr>
        <b/>
        <sz val="10"/>
        <rFont val="Arial"/>
        <family val="2"/>
      </rPr>
      <t>Integration of existing social structures or uses</t>
    </r>
    <r>
      <rPr>
        <sz val="10"/>
        <rFont val="Arial"/>
        <family val="2"/>
      </rPr>
      <t xml:space="preserve">
Protection, preservation of previously existing structures. e.g. allotment gardens
</t>
    </r>
  </si>
  <si>
    <t>Integration into the social and functional context</t>
  </si>
  <si>
    <r>
      <rPr>
        <b/>
        <sz val="10"/>
        <rFont val="Arial"/>
        <family val="2"/>
      </rPr>
      <t>Einbindung in den sozialen und funktionalen Kontext</t>
    </r>
    <r>
      <rPr>
        <sz val="10"/>
        <rFont val="Arial"/>
        <family val="2"/>
      </rPr>
      <t xml:space="preserve">
</t>
    </r>
  </si>
  <si>
    <t>Qualification of the social mix</t>
  </si>
  <si>
    <t>Demographic mix</t>
  </si>
  <si>
    <r>
      <rPr>
        <b/>
        <sz val="10"/>
        <rFont val="Arial"/>
        <family val="2"/>
      </rPr>
      <t>Demographische Mischung</t>
    </r>
    <r>
      <rPr>
        <sz val="10"/>
        <rFont val="Arial"/>
        <family val="2"/>
      </rPr>
      <t xml:space="preserve">
</t>
    </r>
  </si>
  <si>
    <t>Forms of ownership</t>
  </si>
  <si>
    <r>
      <rPr>
        <b/>
        <sz val="10"/>
        <rFont val="Arial"/>
        <family val="2"/>
      </rPr>
      <t>Eigentumsformen</t>
    </r>
    <r>
      <rPr>
        <sz val="10"/>
        <rFont val="Arial"/>
        <family val="2"/>
      </rPr>
      <t xml:space="preserve">
</t>
    </r>
  </si>
  <si>
    <t>Property offerings</t>
  </si>
  <si>
    <t>Grundstücksangebot</t>
  </si>
  <si>
    <t>Differentiated construction types/forms of workplaces</t>
  </si>
  <si>
    <r>
      <rPr>
        <b/>
        <sz val="10"/>
        <rFont val="Arial"/>
        <family val="2"/>
      </rPr>
      <t>Differenzierte Bautypen/Formen von Arbeitsstätten</t>
    </r>
    <r>
      <rPr>
        <sz val="10"/>
        <rFont val="Arial"/>
        <family val="2"/>
      </rPr>
      <t xml:space="preserve">
</t>
    </r>
  </si>
  <si>
    <r>
      <rPr>
        <b/>
        <sz val="10"/>
        <rFont val="Arial"/>
        <family val="2"/>
      </rPr>
      <t>Lively ground floor zone</t>
    </r>
    <r>
      <rPr>
        <sz val="10"/>
        <rFont val="Arial"/>
        <family val="2"/>
      </rPr>
      <t xml:space="preserve">
</t>
    </r>
  </si>
  <si>
    <r>
      <rPr>
        <b/>
        <sz val="10"/>
        <rFont val="Arial"/>
        <family val="2"/>
      </rPr>
      <t>Belebte Erdgeschosszone</t>
    </r>
    <r>
      <rPr>
        <sz val="10"/>
        <rFont val="Arial"/>
        <family val="2"/>
      </rPr>
      <t xml:space="preserve">
</t>
    </r>
  </si>
  <si>
    <r>
      <rPr>
        <b/>
        <sz val="10"/>
        <rFont val="Arial"/>
        <family val="2"/>
      </rPr>
      <t>Types of housing</t>
    </r>
    <r>
      <rPr>
        <sz val="10"/>
        <rFont val="Arial"/>
        <family val="2"/>
      </rPr>
      <t xml:space="preserve">
- Are there programmes, initiatives or subsidies that enable innovative housing types  in the district (building groups, generation houses, subsidised housing construction)?
- 4 points can be awarded per programme, funding or initiative.</t>
    </r>
  </si>
  <si>
    <r>
      <rPr>
        <b/>
        <sz val="10"/>
        <rFont val="Arial"/>
        <family val="2"/>
      </rPr>
      <t>Unterschiedliche Firmengrößen</t>
    </r>
    <r>
      <rPr>
        <sz val="10"/>
        <rFont val="Arial"/>
        <family val="2"/>
      </rPr>
      <t xml:space="preserve">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t>
    </r>
  </si>
  <si>
    <r>
      <rPr>
        <b/>
        <sz val="10"/>
        <rFont val="Arial"/>
        <family val="2"/>
      </rPr>
      <t>Different company sizes</t>
    </r>
    <r>
      <rPr>
        <sz val="10"/>
        <rFont val="Arial"/>
        <family val="2"/>
      </rPr>
      <t xml:space="preserve">
- Are companies with an annual turnover of less than 50 million euros as well as more than 50 million euros located in the district?
- Each of the two categories (smaller and larger than 50 million annual company turnover) must reach at least 10% of the total GFA_DGNB.
- The annual turnover refers to the individual company, not to the part that is generated in the district. The annual turnover of the individual companies in total is irrelevant for the evaluation.</t>
    </r>
  </si>
  <si>
    <r>
      <rPr>
        <b/>
        <sz val="10"/>
        <rFont val="Arial"/>
        <family val="2"/>
      </rPr>
      <t>Differentiated industry structure</t>
    </r>
    <r>
      <rPr>
        <sz val="10"/>
        <rFont val="Arial"/>
        <family val="2"/>
      </rPr>
      <t xml:space="preserve">
The district consists of two or more industries (for examples see method), which accounts for at least 10% of the total GFA each 
</t>
    </r>
  </si>
  <si>
    <t>Share of use</t>
  </si>
  <si>
    <r>
      <t xml:space="preserve">Share of use of urban districts 
</t>
    </r>
    <r>
      <rPr>
        <sz val="10"/>
        <rFont val="Arial"/>
        <family val="2"/>
      </rPr>
      <t xml:space="preserve">The percentage of residential use (GFAR) in relation to the total GFA in the district is:
-   0.0 – 20.0 % =   0 Points
- 20.1 – 30.0 % = 10 Points
- 30.1 – 50.0 % = 15 Points
- 50.1 – 70.0 % = 20 Points
- 70.1 – 80.0 % = 15 Points
- ≥ 20 % of residential use are social housing   = 5 Points
</t>
    </r>
  </si>
  <si>
    <r>
      <rPr>
        <b/>
        <sz val="10"/>
        <rFont val="Arial"/>
        <family val="2"/>
      </rPr>
      <t>Strengthening of the local economy</t>
    </r>
    <r>
      <rPr>
        <sz val="10"/>
        <rFont val="Arial"/>
        <family val="2"/>
      </rPr>
      <t xml:space="preserve">
</t>
    </r>
  </si>
  <si>
    <t xml:space="preserve">There is an overarching concept to strengthen the local economy - both in the project area and in the surrounding area.
</t>
  </si>
  <si>
    <t>Concept measures were implemented.</t>
  </si>
  <si>
    <t>Social and commercial infrastructure</t>
  </si>
  <si>
    <t>SOC3.3</t>
  </si>
  <si>
    <t>Social infrastructure</t>
  </si>
  <si>
    <t xml:space="preserve">Education 1: Childcare and primary school </t>
  </si>
  <si>
    <t>Bildung 1: Kinderbetreuung und Grundschule</t>
  </si>
  <si>
    <t xml:space="preserve">Education 2: Secondary or vocational school (max. walking/driving time by public transport 15 min., max. distance as the crow flies 1300 m)
</t>
  </si>
  <si>
    <t xml:space="preserve">Free time: Art and culture (cinema, theatre, galleries, (factory) museums), library, district centre, community centre, youth room, senior citizens’ meeting place etc. </t>
  </si>
  <si>
    <t xml:space="preserve">Freizeit: Kunst und Kultur (Kino, Theater, Galerien, (Werks-)Museen), Bücherei, Quartierszentrum, Bürgerhaus, Jugendraum, Seniorentreff etc. 
</t>
  </si>
  <si>
    <t xml:space="preserve">Playgrounds (max. distance as the crow flies 350 m)
</t>
  </si>
  <si>
    <t xml:space="preserve">Sports facilities: Gymnasium and sports hall, open-air sports grounds/sports field with athletics, indoor or outdoor swimming pool etc. </t>
  </si>
  <si>
    <t xml:space="preserve">Sportstätten: Turn- und Sporthalle, Sportfreigelände/Sportplatz mit Leichtathletik, Hallen- oder Freibad, etc. 
</t>
  </si>
  <si>
    <t>Commercial infrastructure</t>
  </si>
  <si>
    <t xml:space="preserve">There is a retail/centre concept in which the district/location is integrated. 
</t>
  </si>
  <si>
    <t>Local supply 1: Offer of goods for daily use is available on-site (except orders from e-commerce platforms).</t>
  </si>
  <si>
    <t>Nahversorgung 1: Angebot von Gütern des täglichen Bedarfs ist vor Ort vorhanden (ausgenommen Bestellungen von E-Commerce Plattformen).</t>
  </si>
  <si>
    <t>Local supply 2: Small-scale commercial retail (bakery, butcher, drugstore etc.) (max. walking/driving time by public transport 10 min.), (max. distance as the crow flies 700 m)</t>
  </si>
  <si>
    <t xml:space="preserve">Nahversorgung 2: Kleinteiliger Einzelhandel (Bäckerei, Metzgerei, Drogerie etc.) (Max. Geh-/Fahrzeit mit ÖPNV 10 Min), (Max. Entfernung Luftlinie 700 m)
</t>
  </si>
  <si>
    <t xml:space="preserve">Local supply 3: Weekly market (max. walking/driving time by public transport 10 min.), (max. distance as the crow flies 700 m)
</t>
  </si>
  <si>
    <t xml:space="preserve">Catering: Restaurant, café, canteen, dining hall etc. </t>
  </si>
  <si>
    <t xml:space="preserve">Gastronomie: Restaurant, Café, Bäckerei, Kantine, Mensa, etc. 
</t>
  </si>
  <si>
    <t xml:space="preserve">Other services: Bank, post office, (service provider independent) parcel station, hairdresser, wellness etc. </t>
  </si>
  <si>
    <t xml:space="preserve">Sonstige Dienstleistungen: Bank, Post, (dienstleisterunabhängige) Paketstation, Friseur, Wellness etc. 
</t>
  </si>
  <si>
    <t xml:space="preserve">Medical care 2: Specialist, hospital etc. (max. walking/driving time by public transport 30 minutes)
</t>
  </si>
  <si>
    <t xml:space="preserve">Medical care 1: General practitioner, pharmacy, (max. walking/driving time by public transport 10 minutes)
- General practitioner (7 Points)
- Pharmacy (3 Points)
</t>
  </si>
  <si>
    <t>CIRCULAR ECONOMY BONUS - FACILITIES FOR DAILY SUPPLY AND EXCHANGE</t>
  </si>
  <si>
    <t xml:space="preserve">Explanation: Crediting bonus points; if unconventional facilities are offered to district users or external parties to provide services and are structurally implemented or planned, such as the promotion of neighbourly exchange of services (temporary trading areas, repair cafés, district meeting places or similar).
</t>
  </si>
  <si>
    <t xml:space="preserve">Concepts and ideas
</t>
  </si>
  <si>
    <t>Synergies and offerings for the public</t>
  </si>
  <si>
    <t>Integral energy concept</t>
  </si>
  <si>
    <r>
      <rPr>
        <b/>
        <sz val="10"/>
        <color theme="1"/>
        <rFont val="Arial"/>
        <family val="2"/>
      </rPr>
      <t>Energy demand</t>
    </r>
    <r>
      <rPr>
        <sz val="10"/>
        <color theme="1"/>
        <rFont val="Arial"/>
        <family val="2"/>
      </rPr>
      <t xml:space="preserve">
</t>
    </r>
  </si>
  <si>
    <t>Energiepotential</t>
  </si>
  <si>
    <t>Energy potential</t>
  </si>
  <si>
    <r>
      <rPr>
        <b/>
        <sz val="10"/>
        <color theme="1"/>
        <rFont val="Arial"/>
        <family val="2"/>
      </rPr>
      <t>Energy balance</t>
    </r>
    <r>
      <rPr>
        <sz val="10"/>
        <color theme="1"/>
        <rFont val="Arial"/>
        <family val="2"/>
      </rPr>
      <t xml:space="preserve">
</t>
    </r>
  </si>
  <si>
    <r>
      <rPr>
        <b/>
        <sz val="10"/>
        <color theme="1"/>
        <rFont val="Arial"/>
        <family val="2"/>
      </rPr>
      <t>Energy supply variants</t>
    </r>
    <r>
      <rPr>
        <sz val="10"/>
        <color theme="1"/>
        <rFont val="Arial"/>
        <family val="2"/>
      </rPr>
      <t xml:space="preserve">
</t>
    </r>
  </si>
  <si>
    <r>
      <rPr>
        <b/>
        <sz val="10"/>
        <color theme="1"/>
        <rFont val="Arial"/>
        <family val="2"/>
      </rPr>
      <t>Investments and operating costs</t>
    </r>
    <r>
      <rPr>
        <sz val="10"/>
        <color theme="1"/>
        <rFont val="Arial"/>
        <family val="2"/>
      </rPr>
      <t xml:space="preserve">
</t>
    </r>
  </si>
  <si>
    <t>Coherent supply structure</t>
  </si>
  <si>
    <r>
      <rPr>
        <b/>
        <sz val="10"/>
        <color theme="1"/>
        <rFont val="Arial"/>
        <family val="2"/>
      </rPr>
      <t>Heat and cooling supply structure</t>
    </r>
    <r>
      <rPr>
        <sz val="10"/>
        <color theme="1"/>
        <rFont val="Arial"/>
        <family val="2"/>
      </rPr>
      <t xml:space="preserve">
There is a coherent heat or cooling supply structure.
</t>
    </r>
  </si>
  <si>
    <t>Using synergies</t>
  </si>
  <si>
    <r>
      <rPr>
        <b/>
        <sz val="10"/>
        <color theme="1"/>
        <rFont val="Arial"/>
        <family val="2"/>
      </rPr>
      <t>Synergien und Energiekreisläufe</t>
    </r>
    <r>
      <rPr>
        <sz val="10"/>
        <color theme="1"/>
        <rFont val="Arial"/>
        <family val="2"/>
      </rPr>
      <t xml:space="preserve">
Durch die gemeinsame Planung von Gebäuden und Anlagen werden integrale Energiekreisläufe für Strom,  Wärme und Kälte in signifikantem  Umfang geschaffen. </t>
    </r>
  </si>
  <si>
    <r>
      <rPr>
        <b/>
        <sz val="10"/>
        <color theme="1"/>
        <rFont val="Arial"/>
        <family val="2"/>
      </rPr>
      <t xml:space="preserve">Synergies and energy cycles </t>
    </r>
    <r>
      <rPr>
        <sz val="10"/>
        <color theme="1"/>
        <rFont val="Arial"/>
        <family val="2"/>
      </rPr>
      <t xml:space="preserve">
Due to the joint planning of buildings and facilities, synergetic effects and/or energy cycles for electricity, heating and cooling are created to a significant extent. </t>
    </r>
  </si>
  <si>
    <t>Energy management and energy audits</t>
  </si>
  <si>
    <t>Load management</t>
  </si>
  <si>
    <r>
      <rPr>
        <b/>
        <sz val="10"/>
        <color theme="1"/>
        <rFont val="Arial"/>
        <family val="2"/>
      </rPr>
      <t>Introduction of energy management/audits</t>
    </r>
    <r>
      <rPr>
        <sz val="10"/>
        <color theme="1"/>
        <rFont val="Arial"/>
        <family val="2"/>
      </rPr>
      <t xml:space="preserve">
Percentage of companies in districts (measured by GFA) that have conducted energy consulting, energy audits or have an energy management system. 
</t>
    </r>
  </si>
  <si>
    <r>
      <rPr>
        <b/>
        <sz val="10"/>
        <color theme="1"/>
        <rFont val="Arial"/>
        <family val="2"/>
      </rPr>
      <t>Load management at district level</t>
    </r>
    <r>
      <rPr>
        <sz val="10"/>
        <color theme="1"/>
        <rFont val="Arial"/>
        <family val="2"/>
      </rPr>
      <t xml:space="preserve">
Load management was introduced at the district level or for large consumers.
</t>
    </r>
  </si>
  <si>
    <t>Energy generation on roof surfaces</t>
  </si>
  <si>
    <r>
      <rPr>
        <b/>
        <sz val="10"/>
        <color theme="1"/>
        <rFont val="Arial"/>
        <family val="2"/>
      </rPr>
      <t>Use of the roof surfaces for energy generation</t>
    </r>
    <r>
      <rPr>
        <sz val="10"/>
        <color theme="1"/>
        <rFont val="Arial"/>
        <family val="2"/>
      </rPr>
      <t xml:space="preserve">
Percentage of roof surfaces used for renewable energy generation
</t>
    </r>
  </si>
  <si>
    <t>AGENDA 2030 BONUS - USE OF FACADE SURFACES FOR ENERGY GENERATION</t>
  </si>
  <si>
    <t>Passive systems</t>
  </si>
  <si>
    <t>Energy infrastructure</t>
  </si>
  <si>
    <r>
      <rPr>
        <b/>
        <sz val="10"/>
        <color theme="1"/>
        <rFont val="Arial"/>
        <family val="2"/>
      </rPr>
      <t>Design of passive building concepts</t>
    </r>
    <r>
      <rPr>
        <sz val="10"/>
        <color theme="1"/>
        <rFont val="Arial"/>
        <family val="2"/>
      </rPr>
      <t xml:space="preserve">
</t>
    </r>
  </si>
  <si>
    <r>
      <rPr>
        <b/>
        <sz val="10"/>
        <color theme="1"/>
        <rFont val="Arial"/>
        <family val="2"/>
      </rPr>
      <t>Planung passiver Gebäudekonzepte</t>
    </r>
    <r>
      <rPr>
        <sz val="10"/>
        <color theme="1"/>
        <rFont val="Arial"/>
        <family val="2"/>
      </rPr>
      <t xml:space="preserve">
</t>
    </r>
  </si>
  <si>
    <t>Resource management</t>
  </si>
  <si>
    <t>Concept for the use of recyclable materials</t>
  </si>
  <si>
    <r>
      <rPr>
        <b/>
        <sz val="10"/>
        <color theme="1"/>
        <rFont val="Arial"/>
        <family val="2"/>
      </rPr>
      <t>Concept for the use of recyclable materials</t>
    </r>
    <r>
      <rPr>
        <sz val="10"/>
        <color theme="1"/>
        <rFont val="Arial"/>
        <family val="2"/>
      </rPr>
      <t xml:space="preserve">
</t>
    </r>
  </si>
  <si>
    <t xml:space="preserve">Waste prevention and waste recycling
</t>
  </si>
  <si>
    <t xml:space="preserve">Methods, facilities and equipment
</t>
  </si>
  <si>
    <t>Lifetime of waste-management facility</t>
  </si>
  <si>
    <t xml:space="preserve">Measures, schedules, locations
</t>
  </si>
  <si>
    <t xml:space="preserve">Presentation of waste-management companies
</t>
  </si>
  <si>
    <t>Waste management</t>
  </si>
  <si>
    <r>
      <rPr>
        <b/>
        <sz val="10"/>
        <color theme="1"/>
        <rFont val="Arial"/>
        <family val="2"/>
      </rPr>
      <t>Central waste management</t>
    </r>
    <r>
      <rPr>
        <sz val="10"/>
        <color theme="1"/>
        <rFont val="Arial"/>
        <family val="2"/>
      </rPr>
      <t xml:space="preserve">
There is a district-based central waste-management system.
</t>
    </r>
  </si>
  <si>
    <t>Waste prevention</t>
  </si>
  <si>
    <t xml:space="preserve">Promotion of information and education campaigns
</t>
  </si>
  <si>
    <r>
      <rPr>
        <b/>
        <sz val="10"/>
        <color theme="1"/>
        <rFont val="Arial"/>
        <family val="2"/>
      </rPr>
      <t>Quartiersbezogenes Wertstofferfassungssystem</t>
    </r>
    <r>
      <rPr>
        <sz val="10"/>
        <color theme="1"/>
        <rFont val="Arial"/>
        <family val="2"/>
      </rPr>
      <t xml:space="preserve">
</t>
    </r>
  </si>
  <si>
    <r>
      <rPr>
        <b/>
        <sz val="10"/>
        <color theme="1"/>
        <rFont val="Arial"/>
        <family val="2"/>
      </rPr>
      <t>District-based recyclables collection system</t>
    </r>
    <r>
      <rPr>
        <sz val="10"/>
        <color theme="1"/>
        <rFont val="Arial"/>
        <family val="2"/>
      </rPr>
      <t xml:space="preserve">
</t>
    </r>
  </si>
  <si>
    <r>
      <rPr>
        <b/>
        <sz val="10"/>
        <color theme="1"/>
        <rFont val="Arial"/>
        <family val="2"/>
      </rPr>
      <t>Measures to reduce packaging waste</t>
    </r>
    <r>
      <rPr>
        <sz val="10"/>
        <color theme="1"/>
        <rFont val="Arial"/>
        <family val="2"/>
      </rPr>
      <t xml:space="preserve">
</t>
    </r>
  </si>
  <si>
    <r>
      <rPr>
        <b/>
        <sz val="10"/>
        <color theme="1"/>
        <rFont val="Arial"/>
        <family val="2"/>
      </rPr>
      <t>Waste avoidance for tenants/retailers</t>
    </r>
    <r>
      <rPr>
        <sz val="10"/>
        <color theme="1"/>
        <rFont val="Arial"/>
        <family val="2"/>
      </rPr>
      <t xml:space="preserve">
</t>
    </r>
  </si>
  <si>
    <t>Visitor information campaign</t>
  </si>
  <si>
    <r>
      <rPr>
        <b/>
        <sz val="10"/>
        <color theme="1"/>
        <rFont val="Arial"/>
        <family val="2"/>
      </rPr>
      <t>Staff training</t>
    </r>
    <r>
      <rPr>
        <sz val="10"/>
        <color theme="1"/>
        <rFont val="Arial"/>
        <family val="2"/>
      </rPr>
      <t xml:space="preserve">
</t>
    </r>
  </si>
  <si>
    <r>
      <rPr>
        <b/>
        <sz val="10"/>
        <color rgb="FFA5D867"/>
        <rFont val="Arial"/>
        <family val="2"/>
      </rPr>
      <t xml:space="preserve">CIRCULAR ECONOMY BONUS - REUSE OR MATERIAL RECYCLING
</t>
    </r>
    <r>
      <rPr>
        <sz val="10"/>
        <color theme="1"/>
        <rFont val="Arial"/>
        <family val="2"/>
      </rPr>
      <t xml:space="preserve">
Special measures for waste avoidance/reduction of non-recyclable waste have been implemented which have had a demonstrable effect.
</t>
    </r>
  </si>
  <si>
    <r>
      <rPr>
        <b/>
        <sz val="10"/>
        <color rgb="FFA5D867"/>
        <rFont val="Arial"/>
        <family val="2"/>
      </rPr>
      <t xml:space="preserve">CIRCULAR ECONOMY BONUS – WIEDERVERWENDUNG ODER WERKSTOFFLICHE VERWERTUNG
</t>
    </r>
    <r>
      <rPr>
        <sz val="10"/>
        <color theme="1"/>
        <rFont val="Arial"/>
        <family val="2"/>
      </rPr>
      <t xml:space="preserve">
Es wurden besondere Maßnahmen zur Abfallvermeidung/ zur Reduktion nicht recyclingfähigen Abfällen umgesetzt, die nachweisliche Wirkung gezeigt haben.
</t>
    </r>
  </si>
  <si>
    <t>Reuse</t>
  </si>
  <si>
    <r>
      <rPr>
        <b/>
        <sz val="10"/>
        <color theme="1"/>
        <rFont val="Arial"/>
        <family val="2"/>
      </rPr>
      <t>Reuse and repair services</t>
    </r>
    <r>
      <rPr>
        <sz val="10"/>
        <color theme="1"/>
        <rFont val="Arial"/>
        <family val="2"/>
      </rPr>
      <t xml:space="preserve">
Establishment of reuse and repair services
</t>
    </r>
  </si>
  <si>
    <r>
      <rPr>
        <b/>
        <sz val="10"/>
        <color theme="1"/>
        <rFont val="Arial"/>
        <family val="2"/>
      </rPr>
      <t>Promotion of sharing economy</t>
    </r>
    <r>
      <rPr>
        <sz val="10"/>
        <color theme="1"/>
        <rFont val="Arial"/>
        <family val="2"/>
      </rPr>
      <t xml:space="preserve">
Special measures are implemented in the area to promote recycling management (e.g. take-back/deposit, leasing or Cradle-to-Cradle® systems for catering products, furniture etc., sharing economy concepts).</t>
    </r>
  </si>
  <si>
    <t>Recycling of recyclable materials</t>
  </si>
  <si>
    <t>Abfallrecyclingsystem</t>
  </si>
  <si>
    <t>Waste recycling system</t>
  </si>
  <si>
    <t>CIRCULAR ECONOMY BONUS - URBAN MINING</t>
  </si>
  <si>
    <t>There is an urban mining concept for the district</t>
  </si>
  <si>
    <t xml:space="preserve">There is an urban mining cadastre/BIM model, in which some of the raw materials used in the district are recorded (parts of the building masses and open spaces)
</t>
  </si>
  <si>
    <r>
      <rPr>
        <b/>
        <sz val="10"/>
        <color theme="1"/>
        <rFont val="Arial"/>
        <family val="2"/>
      </rPr>
      <t xml:space="preserve">Recyclable commercial waste
</t>
    </r>
    <r>
      <rPr>
        <sz val="10"/>
        <color theme="1"/>
        <rFont val="Arial"/>
        <family val="2"/>
      </rPr>
      <t xml:space="preserve">All recyclable commercial waste (or at least 85%) is demonstrably recycled.	</t>
    </r>
    <r>
      <rPr>
        <b/>
        <sz val="10"/>
        <color theme="1"/>
        <rFont val="Arial"/>
        <family val="2"/>
      </rPr>
      <t xml:space="preserve">
</t>
    </r>
  </si>
  <si>
    <r>
      <rPr>
        <b/>
        <sz val="10"/>
        <color theme="1"/>
        <rFont val="Arial"/>
        <family val="2"/>
      </rPr>
      <t xml:space="preserve">Landfilling of commercial or household waste
</t>
    </r>
    <r>
      <rPr>
        <sz val="10"/>
        <color theme="1"/>
        <rFont val="Arial"/>
        <family val="2"/>
      </rPr>
      <t>It can be demonstrated that there is no landfilling of commercial or household waste.</t>
    </r>
  </si>
  <si>
    <t xml:space="preserve">Waste recycling 
</t>
  </si>
  <si>
    <r>
      <rPr>
        <b/>
        <sz val="10"/>
        <color theme="1"/>
        <rFont val="Arial"/>
        <family val="2"/>
      </rPr>
      <t xml:space="preserve">Composting
</t>
    </r>
    <r>
      <rPr>
        <sz val="10"/>
        <color theme="1"/>
        <rFont val="Arial"/>
        <family val="2"/>
      </rPr>
      <t>Setting up facilities for composting the compostable waste produced in the district (or in the surrounding area).</t>
    </r>
    <r>
      <rPr>
        <b/>
        <sz val="10"/>
        <color theme="1"/>
        <rFont val="Arial"/>
        <family val="2"/>
      </rPr>
      <t xml:space="preserve">
</t>
    </r>
  </si>
  <si>
    <t>Technology and logistics</t>
  </si>
  <si>
    <r>
      <rPr>
        <b/>
        <sz val="10"/>
        <color theme="1"/>
        <rFont val="Arial"/>
        <family val="2"/>
      </rPr>
      <t>Waste logistics</t>
    </r>
    <r>
      <rPr>
        <sz val="10"/>
        <color theme="1"/>
        <rFont val="Arial"/>
        <family val="2"/>
      </rPr>
      <t xml:space="preserve">
Innovative waste logistics concepts in the district.
- A waste logistics concept has been created. (5 Points)
- The waste logistics concept was implemented. (5 Points)
</t>
    </r>
  </si>
  <si>
    <r>
      <rPr>
        <b/>
        <sz val="10"/>
        <color rgb="FF92D050"/>
        <rFont val="Arial"/>
        <family val="2"/>
      </rPr>
      <t>CIRCULAR ECONOMY BONUS - WASTE TECHNOLOGY</t>
    </r>
    <r>
      <rPr>
        <sz val="10"/>
        <color theme="1"/>
        <rFont val="Arial"/>
        <family val="2"/>
      </rPr>
      <t xml:space="preserve">
Innovative waste technology in the district:
- E.g. waste compactor for obtaining water of the waste
- E.g. new techniques such as phosphorus recovery, etc.
- E.g. energy production of biomass</t>
    </r>
  </si>
  <si>
    <t xml:space="preserve">Nutzung anfallender Wertstoffe
</t>
  </si>
  <si>
    <t xml:space="preserve">Use of accruing recyclable materials
</t>
  </si>
  <si>
    <t>Smart infrastructure</t>
  </si>
  <si>
    <t>Integration of digitisation into district planning</t>
  </si>
  <si>
    <r>
      <rPr>
        <b/>
        <sz val="10"/>
        <color theme="1"/>
        <rFont val="Arial"/>
        <family val="2"/>
      </rPr>
      <t>Integration of digitisation into district planning</t>
    </r>
    <r>
      <rPr>
        <sz val="10"/>
        <color theme="1"/>
        <rFont val="Arial"/>
        <family val="2"/>
      </rPr>
      <t xml:space="preserve">
- For each action field addressed in the digital agenda/digital strategy/analysis, 6 points can be credited 
</t>
    </r>
  </si>
  <si>
    <t>Telecommunications infrastructure</t>
  </si>
  <si>
    <t>Broadband Internet access</t>
  </si>
  <si>
    <t xml:space="preserve">There is a powerful broadband network with a download speed of:
  &gt; 50 Mbit/s
  &gt; 100 Mbit/s
  &gt; 300 Mbit/s
</t>
  </si>
  <si>
    <r>
      <rPr>
        <b/>
        <sz val="10"/>
        <color theme="1"/>
        <rFont val="Arial"/>
        <family val="2"/>
      </rPr>
      <t>Free WIFI in public areas</t>
    </r>
    <r>
      <rPr>
        <sz val="10"/>
        <color theme="1"/>
        <rFont val="Arial"/>
        <family val="2"/>
      </rPr>
      <t xml:space="preserve">
The district has preliminary installations for implementing broadband connections or 5G mobile network coverage.
(When the download speed is below 300Mbps)</t>
    </r>
  </si>
  <si>
    <r>
      <rPr>
        <b/>
        <sz val="10"/>
        <color theme="1"/>
        <rFont val="Arial"/>
        <family val="2"/>
      </rPr>
      <t>Free WIFI in public areas</t>
    </r>
    <r>
      <rPr>
        <sz val="10"/>
        <color theme="1"/>
        <rFont val="Arial"/>
        <family val="2"/>
      </rPr>
      <t xml:space="preserve">
</t>
    </r>
  </si>
  <si>
    <t>Data evaluation</t>
  </si>
  <si>
    <r>
      <rPr>
        <b/>
        <sz val="10"/>
        <color theme="1"/>
        <rFont val="Arial"/>
        <family val="2"/>
      </rPr>
      <t>Use of collected data</t>
    </r>
    <r>
      <rPr>
        <sz val="10"/>
        <color theme="1"/>
        <rFont val="Arial"/>
        <family val="2"/>
      </rPr>
      <t xml:space="preserve">
Data on the action fields administration, health, IT infrastructure, commercial, energy and environment, security, society, data platform, mobility, education, etc. that are collected during planning, construction and use of the district/location is available, taking into account data protection.
</t>
    </r>
  </si>
  <si>
    <t>District-related digital offerings</t>
  </si>
  <si>
    <r>
      <rPr>
        <b/>
        <sz val="10"/>
        <color theme="1"/>
        <rFont val="Arial"/>
        <family val="2"/>
      </rPr>
      <t>Information on digital services for districts</t>
    </r>
    <r>
      <rPr>
        <sz val="10"/>
        <color theme="1"/>
        <rFont val="Arial"/>
        <family val="2"/>
      </rPr>
      <t xml:space="preserve">
When moving in and when changes are made to the offerings, the residents/users of the district are informed about the digital facilities</t>
    </r>
  </si>
  <si>
    <r>
      <rPr>
        <b/>
        <sz val="10"/>
        <color theme="1"/>
        <rFont val="Arial"/>
        <family val="2"/>
      </rPr>
      <t>District-related online platform(s)*</t>
    </r>
    <r>
      <rPr>
        <sz val="10"/>
        <color theme="1"/>
        <rFont val="Arial"/>
        <family val="2"/>
      </rPr>
      <t xml:space="preserve">
There are one or more district/location-related networks of residents/employees, 
Points can only be credited if the corresponding premises or goods are available in the relevant spaces.</t>
    </r>
  </si>
  <si>
    <t>Mobility infrastructure – motorised transportation</t>
  </si>
  <si>
    <t>Transport model</t>
  </si>
  <si>
    <t>Topicality of the transport model</t>
  </si>
  <si>
    <t>Modal split</t>
  </si>
  <si>
    <r>
      <rPr>
        <b/>
        <sz val="10"/>
        <color theme="1"/>
        <rFont val="Arial"/>
        <family val="2"/>
      </rPr>
      <t>Environmental alliance</t>
    </r>
    <r>
      <rPr>
        <sz val="10"/>
        <color theme="1"/>
        <rFont val="Arial"/>
        <family val="2"/>
      </rPr>
      <t xml:space="preserve">
The share of environmental alliance in the modal split is evaluated for the different space types
</t>
    </r>
  </si>
  <si>
    <r>
      <rPr>
        <b/>
        <sz val="10"/>
        <color rgb="FF00ACE9"/>
        <rFont val="Arial"/>
        <family val="2"/>
      </rPr>
      <t>INNOVATION AREA</t>
    </r>
    <r>
      <rPr>
        <sz val="10"/>
        <color theme="1"/>
        <rFont val="Arial"/>
        <family val="2"/>
      </rPr>
      <t xml:space="preserve">
</t>
    </r>
    <r>
      <rPr>
        <b/>
        <sz val="10"/>
        <color theme="1"/>
        <rFont val="Arial"/>
        <family val="2"/>
      </rPr>
      <t>Sustainable mobility</t>
    </r>
    <r>
      <rPr>
        <sz val="10"/>
        <color theme="1"/>
        <rFont val="Arial"/>
        <family val="2"/>
      </rPr>
      <t xml:space="preserve">
Alternative documentation: If measures are implemented that demonstrably contribute to encouraging the users of the district to make extensive and frequent use of the environmental alliance (public transport, rental systems, car pools) to reach the district, these can also be evaluated positively in accordance with the formulation of the objective of the criterion and the evaluation of the other indicators. This is also possible in the area of MIT with alternative drive technologies (alternatives to petrol/diesel).
</t>
    </r>
  </si>
  <si>
    <t>Infrastructure for alternative drive technologies</t>
  </si>
  <si>
    <t>Motorised individual transport (MIT)</t>
  </si>
  <si>
    <t xml:space="preserve">Mobilitätsmanagement-Strategie – Ladeinfrastruktur (Variante A) 
Mobilitätsmanagement-Strategie – Keine Pkw-Stellplätze (Variante B) 
</t>
  </si>
  <si>
    <t xml:space="preserve">Mobility management strategy - charging infrastructure (Option A)
Mobility management strategy - no car parking spaces (Option B) 
</t>
  </si>
  <si>
    <r>
      <rPr>
        <b/>
        <sz val="10"/>
        <color rgb="FF4DAA50"/>
        <rFont val="Arial"/>
        <family val="2"/>
      </rPr>
      <t>AGENDA 2030 BONUS - CLIMATE ACTION GOALS</t>
    </r>
    <r>
      <rPr>
        <sz val="10"/>
        <color theme="1"/>
        <rFont val="Arial"/>
        <family val="2"/>
      </rPr>
      <t xml:space="preserve">
</t>
    </r>
    <r>
      <rPr>
        <b/>
        <sz val="10"/>
        <color theme="1"/>
        <rFont val="Arial"/>
        <family val="2"/>
      </rPr>
      <t>No car parking spaces</t>
    </r>
    <r>
      <rPr>
        <sz val="10"/>
        <color theme="1"/>
        <rFont val="Arial"/>
        <family val="2"/>
      </rPr>
      <t xml:space="preserve">
A mobility management strategy according to option B was fully implemented.
</t>
    </r>
  </si>
  <si>
    <t>Vehicle sharing</t>
  </si>
  <si>
    <r>
      <rPr>
        <b/>
        <sz val="10"/>
        <color theme="1"/>
        <rFont val="Arial"/>
        <family val="2"/>
      </rPr>
      <t>Vehicle sharing offers</t>
    </r>
    <r>
      <rPr>
        <sz val="10"/>
        <color theme="1"/>
        <rFont val="Arial"/>
        <family val="2"/>
      </rPr>
      <t xml:space="preserve">
Es gibt ein Sharing-Angebot für motorisierte Fahrzeuge (Kommerzielles/Privates Sharing, Werksfahrzeuge, etc.) im Quartier/am Standort oder im direkten Umfeld (max. 5 Gehminuten). 
</t>
    </r>
  </si>
  <si>
    <r>
      <rPr>
        <b/>
        <sz val="10"/>
        <color theme="1"/>
        <rFont val="Arial"/>
        <family val="2"/>
      </rPr>
      <t>Fahrzeugsharing Angebote</t>
    </r>
    <r>
      <rPr>
        <sz val="10"/>
        <color theme="1"/>
        <rFont val="Arial"/>
        <family val="2"/>
      </rPr>
      <t xml:space="preserve">
Es gibt ein Sharing-Angebot für motorisierte Fahrzeuge (Kommerzielles/Privates Sharing, Werksfahrzeuge, etc.) im Quartier/am Standort oder im direkten Umfeld (max. 5 Gehminuten). 
</t>
    </r>
  </si>
  <si>
    <t>Quality of public transport access</t>
  </si>
  <si>
    <r>
      <rPr>
        <b/>
        <sz val="10"/>
        <color theme="1"/>
        <rFont val="Arial"/>
        <family val="2"/>
      </rPr>
      <t>Quality of public transport access</t>
    </r>
    <r>
      <rPr>
        <sz val="10"/>
        <color theme="1"/>
        <rFont val="Arial"/>
        <family val="2"/>
      </rPr>
      <t xml:space="preserve">
Percentage of buildings (measured by gross floor area) located within 350 m of a public transport stop as the crow flies (bus, S-Bahn, tram)
</t>
    </r>
  </si>
  <si>
    <r>
      <rPr>
        <b/>
        <sz val="10"/>
        <color theme="1"/>
        <rFont val="Arial"/>
        <family val="2"/>
      </rPr>
      <t>Alternative zu 5.1: Angebot Bus- und Bahnlinien</t>
    </r>
    <r>
      <rPr>
        <sz val="10"/>
        <color theme="1"/>
        <rFont val="Arial"/>
        <family val="2"/>
      </rPr>
      <t xml:space="preserve">
</t>
    </r>
  </si>
  <si>
    <r>
      <rPr>
        <b/>
        <sz val="10"/>
        <color theme="1"/>
        <rFont val="Arial"/>
        <family val="2"/>
      </rPr>
      <t>Alternative to 5.1: Offerings for bus and train lines</t>
    </r>
    <r>
      <rPr>
        <sz val="10"/>
        <color theme="1"/>
        <rFont val="Arial"/>
        <family val="2"/>
      </rPr>
      <t xml:space="preserve">
</t>
    </r>
  </si>
  <si>
    <t>Intermodal platforms</t>
  </si>
  <si>
    <r>
      <rPr>
        <b/>
        <sz val="10"/>
        <color theme="1"/>
        <rFont val="Arial"/>
        <family val="2"/>
      </rPr>
      <t>Accessibility of intermodal platforms from the district</t>
    </r>
    <r>
      <rPr>
        <sz val="10"/>
        <color theme="1"/>
        <rFont val="Arial"/>
        <family val="2"/>
      </rPr>
      <t xml:space="preserve">
Percentage of buildings (measured by gross floor area)/percentage of factory gates/entrances within 350 m as the crow flies of an intermodal platform (at least 3 different means of transport, e.g. suburban railway, tram/streetcar, bus, bicycle rental)
</t>
    </r>
  </si>
  <si>
    <t>Access to the nearest railway station</t>
  </si>
  <si>
    <r>
      <rPr>
        <b/>
        <sz val="10"/>
        <color theme="1"/>
        <rFont val="Arial"/>
        <family val="2"/>
      </rPr>
      <t>Public transport</t>
    </r>
    <r>
      <rPr>
        <sz val="10"/>
        <color theme="1"/>
        <rFont val="Arial"/>
        <family val="2"/>
      </rPr>
      <t xml:space="preserve">
Access to the nearest station (S-Bahn, regional and/or long-distance) by public transport, bicycle or on foot.
</t>
    </r>
  </si>
  <si>
    <t>Frequency of public transport</t>
  </si>
  <si>
    <r>
      <rPr>
        <b/>
        <sz val="10"/>
        <color theme="1"/>
        <rFont val="Arial"/>
        <family val="2"/>
      </rPr>
      <t>Frequency of public transport</t>
    </r>
    <r>
      <rPr>
        <sz val="10"/>
        <color theme="1"/>
        <rFont val="Arial"/>
        <family val="2"/>
      </rPr>
      <t xml:space="preserve">
Average frequency of all public transport lines on weekdays between 6 AM and 7 PM. Or public transport intervals adapted to shift changes.
</t>
    </r>
  </si>
  <si>
    <t>Specific measures promoting public transport</t>
  </si>
  <si>
    <r>
      <rPr>
        <b/>
        <sz val="10"/>
        <color theme="1"/>
        <rFont val="Arial"/>
        <family val="2"/>
      </rPr>
      <t>Bauliche oder Betriebliche Maßnahmen</t>
    </r>
    <r>
      <rPr>
        <sz val="10"/>
        <color theme="1"/>
        <rFont val="Arial"/>
        <family val="2"/>
      </rPr>
      <t xml:space="preserve">
</t>
    </r>
  </si>
  <si>
    <r>
      <rPr>
        <b/>
        <sz val="10"/>
        <color theme="1"/>
        <rFont val="Arial"/>
        <family val="2"/>
      </rPr>
      <t>Construction or operational measures</t>
    </r>
    <r>
      <rPr>
        <sz val="10"/>
        <color theme="1"/>
        <rFont val="Arial"/>
        <family val="2"/>
      </rPr>
      <t xml:space="preserve">
</t>
    </r>
  </si>
  <si>
    <r>
      <rPr>
        <b/>
        <sz val="10"/>
        <color theme="1"/>
        <rFont val="Arial"/>
        <family val="2"/>
      </rPr>
      <t>Design of public transport stops</t>
    </r>
    <r>
      <rPr>
        <sz val="10"/>
        <color theme="1"/>
        <rFont val="Arial"/>
        <family val="2"/>
      </rPr>
      <t xml:space="preserve">
- Stop has roofing, lighting, seating, 2 points can be set per element (6 Points)
- Dynamic stop information or additional (creative) stop element (2 Points)
</t>
    </r>
  </si>
  <si>
    <t>Commercial transport concept</t>
  </si>
  <si>
    <t xml:space="preserve">Commercial transport concept
</t>
  </si>
  <si>
    <r>
      <rPr>
        <b/>
        <sz val="10"/>
        <color rgb="FF4DAA50"/>
        <rFont val="Arial"/>
        <family val="2"/>
      </rPr>
      <t>AGENDA 2030 BONUS – KLIMASCHUTZZIELE</t>
    </r>
    <r>
      <rPr>
        <sz val="10"/>
        <color theme="1"/>
        <rFont val="Arial"/>
        <family val="2"/>
      </rPr>
      <t xml:space="preserve">
</t>
    </r>
    <r>
      <rPr>
        <b/>
        <sz val="10"/>
        <color theme="1"/>
        <rFont val="Arial"/>
        <family val="2"/>
      </rPr>
      <t>Ambition zum Erreichen klimaneutraler  Logistik</t>
    </r>
    <r>
      <rPr>
        <sz val="10"/>
        <color theme="1"/>
        <rFont val="Arial"/>
        <family val="2"/>
      </rPr>
      <t xml:space="preserve">
</t>
    </r>
  </si>
  <si>
    <r>
      <rPr>
        <b/>
        <sz val="10"/>
        <color rgb="FF4DAA50"/>
        <rFont val="Arial"/>
        <family val="2"/>
      </rPr>
      <t>AGENDA 2030 BONUS - CLIMATE ACTION GOALS</t>
    </r>
    <r>
      <rPr>
        <sz val="10"/>
        <color theme="1"/>
        <rFont val="Arial"/>
        <family val="2"/>
      </rPr>
      <t xml:space="preserve">
</t>
    </r>
    <r>
      <rPr>
        <b/>
        <sz val="10"/>
        <color theme="1"/>
        <rFont val="Arial"/>
        <family val="2"/>
      </rPr>
      <t>Ambition to achieve climate-neutral logistics</t>
    </r>
    <r>
      <rPr>
        <sz val="10"/>
        <color theme="1"/>
        <rFont val="Arial"/>
        <family val="2"/>
      </rPr>
      <t xml:space="preserve">
</t>
    </r>
  </si>
  <si>
    <t>Mobility infrastructure -
pedestrians and cyclists</t>
  </si>
  <si>
    <t>Mobility elements for cycle/pedestrian traffic</t>
  </si>
  <si>
    <r>
      <rPr>
        <b/>
        <sz val="10"/>
        <color theme="1"/>
        <rFont val="Arial"/>
        <family val="2"/>
      </rPr>
      <t>Mobility elements promoting cycle/pedestrian traffic</t>
    </r>
    <r>
      <rPr>
        <sz val="10"/>
        <color theme="1"/>
        <rFont val="Arial"/>
        <family val="2"/>
      </rPr>
      <t xml:space="preserve">
10 points can be credited for each (innovative) mobility element. Examples are given in method for indicator 1.
</t>
    </r>
  </si>
  <si>
    <t>Mobility infrastructure for cycling</t>
  </si>
  <si>
    <t xml:space="preserve">Prioritisation of bicycle traffic in the district
</t>
  </si>
  <si>
    <t xml:space="preserve">Priorisierung des Radverkehrs im Quartier 
</t>
  </si>
  <si>
    <t xml:space="preserve">Prioritisation of bicycle traffic at the site
</t>
  </si>
  <si>
    <t xml:space="preserve">Degree of fulfilment of the quantitative requirements
</t>
  </si>
  <si>
    <t>Quality of bicycle parking facilities</t>
  </si>
  <si>
    <r>
      <rPr>
        <b/>
        <sz val="10"/>
        <color theme="1"/>
        <rFont val="Arial"/>
        <family val="2"/>
      </rPr>
      <t>Quality of the parking facilities</t>
    </r>
    <r>
      <rPr>
        <sz val="10"/>
        <color theme="1"/>
        <rFont val="Arial"/>
        <family val="2"/>
      </rPr>
      <t xml:space="preserve">
</t>
    </r>
  </si>
  <si>
    <t>Signposting systems for cycle traffic</t>
  </si>
  <si>
    <t xml:space="preserve">Signposting systems
</t>
  </si>
  <si>
    <t>Footpath network</t>
  </si>
  <si>
    <t xml:space="preserve">Pedestrian infrastructure
</t>
  </si>
  <si>
    <t>Location of crossings for pedestrians</t>
  </si>
  <si>
    <t xml:space="preserve">Crossing of paths
</t>
  </si>
  <si>
    <t>Signposting systems for pedestrians</t>
  </si>
  <si>
    <t>Signposting systems</t>
  </si>
  <si>
    <t xml:space="preserve">Area-wide signposting (destinations, distances, possibly walking minutes) is available; the most important destinations are signposted: ≤ 30 minutes.
</t>
  </si>
  <si>
    <t xml:space="preserve">Area-wide orientation plans (e.g. at central facilities, squares etc.) support orientation and increase safety.
</t>
  </si>
  <si>
    <t>Integrated planning team</t>
  </si>
  <si>
    <t>Core planning team</t>
  </si>
  <si>
    <t xml:space="preserve">For each discipline of the core planning team (max. 4 disciplines/max. 24 POINTS) </t>
  </si>
  <si>
    <t xml:space="preserve">For each discipline of the additionally desirable disciplines (max. 4 disciplines/max. 12 POINTS) </t>
  </si>
  <si>
    <t>Integrated design process</t>
  </si>
  <si>
    <t>Time of integration of DGNB certification criteria into the design process</t>
  </si>
  <si>
    <t xml:space="preserve">Cooperation of the planning team
</t>
  </si>
  <si>
    <t>Aspects of the integrated design process</t>
  </si>
  <si>
    <t xml:space="preserve">Pre-design: Conducting workshops or comparable methods of information collection to formulate the needs of the client and planning tasks at the time of the basic evaluation.
</t>
  </si>
  <si>
    <t xml:space="preserve">Upgrade levels: Presentation of important stages of the project (“points of no return”), important decisions and completed (partial) tasks as a basis for qualified further processing.
</t>
  </si>
  <si>
    <t xml:space="preserve">3-D data model: Cooperation of the planning team with a 3D data model (GIS, CIM, BIM).
</t>
  </si>
  <si>
    <t>Planning scenarios and variants</t>
  </si>
  <si>
    <r>
      <rPr>
        <b/>
        <sz val="10"/>
        <color theme="1"/>
        <rFont val="Arial"/>
        <family val="2"/>
      </rPr>
      <t>Planning scenarios</t>
    </r>
    <r>
      <rPr>
        <sz val="10"/>
        <color theme="1"/>
        <rFont val="Arial"/>
        <family val="2"/>
      </rPr>
      <t xml:space="preserve">
</t>
    </r>
  </si>
  <si>
    <r>
      <rPr>
        <b/>
        <sz val="10"/>
        <color theme="1"/>
        <rFont val="Arial"/>
        <family val="2"/>
      </rPr>
      <t>Planning variants</t>
    </r>
    <r>
      <rPr>
        <sz val="10"/>
        <color theme="1"/>
        <rFont val="Arial"/>
        <family val="2"/>
      </rPr>
      <t xml:space="preserve">
</t>
    </r>
  </si>
  <si>
    <t>Method for design-based and functional concept development</t>
  </si>
  <si>
    <t>Konzeptfindung/Leitbildfindung für Planung von Gebäuden und Außenanlagen (nicht für Produktionsprozesse).</t>
  </si>
  <si>
    <t>Conceptualisation/guiding principles for design of buildings and outdoor facilities (not for production processes).</t>
  </si>
  <si>
    <t xml:space="preserve">Interdisciplinary jury/selection committee: The jury or selection committee is composed of interdisciplinary members and covers all relevant sustainability aspects according to DGNB. These are at least the disciplines of urban planning, architecture, traffic planning, open space and landscape planning as well as energy planning.
</t>
  </si>
  <si>
    <t xml:space="preserve">Preliminary examination according to DGNB criteria: The preliminary examination of the urban and landscape planning competition is carried out according to DGNB criteria (for those criteria that can be assessed in an early planning phase).
</t>
  </si>
  <si>
    <t xml:space="preserve">Participation of users, neighbours or stakeholders: Representatives of users, residents or stakeholders were involved in the decision-making process (e.g. as members of a competition jury).
</t>
  </si>
  <si>
    <t xml:space="preserve">Process for concept development: Competitive and/or cooperative procedures for the urban development design were carried out (investor selection procedure, multiple contracts, charrette/perspective workshop ...).
</t>
  </si>
  <si>
    <t>Participation</t>
  </si>
  <si>
    <t>Integrated design</t>
  </si>
  <si>
    <r>
      <rPr>
        <b/>
        <sz val="10"/>
        <color theme="4" tint="-0.499984740745262"/>
        <rFont val="Arial"/>
        <family val="2"/>
      </rPr>
      <t>Participatory processes - Framework planning and urban concept development / value development concepts in general</t>
    </r>
    <r>
      <rPr>
        <sz val="10"/>
        <color theme="1"/>
        <rFont val="Arial"/>
        <family val="2"/>
      </rPr>
      <t xml:space="preserve">
Only the evaluation points of one indicator (1.1, 1.2, 1.3 or 1.4) can be credited.
</t>
    </r>
  </si>
  <si>
    <r>
      <t>Participatory processes - Planning and realisation of public spaces / social spaces on factory premises</t>
    </r>
    <r>
      <rPr>
        <sz val="10"/>
        <color theme="1"/>
        <rFont val="Arial"/>
        <family val="2"/>
      </rPr>
      <t xml:space="preserve">
Only the evaluation points of one indicator (2.1, 2.2, 2.3 or 2.4) can be credited.</t>
    </r>
  </si>
  <si>
    <r>
      <rPr>
        <b/>
        <sz val="10"/>
        <color theme="1"/>
        <rFont val="Arial"/>
        <family val="2"/>
      </rPr>
      <t>Participatory processes - Planning and implementation architecture and utilisation concept</t>
    </r>
    <r>
      <rPr>
        <sz val="10"/>
        <color theme="1"/>
        <rFont val="Arial"/>
        <family val="2"/>
      </rPr>
      <t xml:space="preserve">
Only the evaluation points of one indicator (3.1, 3.2, 3.3 or 3.4) can be credited.</t>
    </r>
  </si>
  <si>
    <r>
      <rPr>
        <b/>
        <sz val="10"/>
        <color theme="1"/>
        <rFont val="Arial"/>
        <family val="2"/>
      </rPr>
      <t>Participatory processes - Utilisation phase</t>
    </r>
    <r>
      <rPr>
        <sz val="10"/>
        <color theme="1"/>
        <rFont val="Arial"/>
        <family val="2"/>
      </rPr>
      <t xml:space="preserve">
Only the evaluation points of one indicator (4.1, 4.2, 4.3 or 4.4) can be credited.</t>
    </r>
  </si>
  <si>
    <t>Impact of participatory processes on the overall concept</t>
  </si>
  <si>
    <r>
      <rPr>
        <b/>
        <sz val="10"/>
        <rFont val="Arial"/>
        <family val="2"/>
      </rPr>
      <t>Framework planning and urban development concept</t>
    </r>
    <r>
      <rPr>
        <sz val="10"/>
        <rFont val="Arial"/>
        <family val="2"/>
      </rPr>
      <t xml:space="preserve">
</t>
    </r>
  </si>
  <si>
    <r>
      <rPr>
        <b/>
        <sz val="10"/>
        <rFont val="Arial"/>
        <family val="2"/>
      </rPr>
      <t>Rahmenplanung und städtebauliche Konzeption</t>
    </r>
    <r>
      <rPr>
        <sz val="10"/>
        <rFont val="Arial"/>
        <family val="2"/>
      </rPr>
      <t xml:space="preserve">
</t>
    </r>
  </si>
  <si>
    <r>
      <rPr>
        <b/>
        <sz val="10"/>
        <rFont val="Arial"/>
        <family val="2"/>
      </rPr>
      <t>Planning and realisation of public spaces</t>
    </r>
    <r>
      <rPr>
        <sz val="10"/>
        <rFont val="Arial"/>
        <family val="2"/>
      </rPr>
      <t xml:space="preserve">
</t>
    </r>
  </si>
  <si>
    <r>
      <rPr>
        <b/>
        <sz val="10"/>
        <rFont val="Arial"/>
        <family val="2"/>
      </rPr>
      <t>Planung und Realisierung öffentlicher Räume</t>
    </r>
    <r>
      <rPr>
        <sz val="10"/>
        <rFont val="Arial"/>
        <family val="2"/>
      </rPr>
      <t xml:space="preserve">
</t>
    </r>
  </si>
  <si>
    <r>
      <rPr>
        <b/>
        <sz val="10"/>
        <rFont val="Arial"/>
        <family val="2"/>
      </rPr>
      <t>Planning and implementation architecture and utilisation</t>
    </r>
    <r>
      <rPr>
        <sz val="10"/>
        <rFont val="Arial"/>
        <family val="2"/>
      </rPr>
      <t xml:space="preserve">
</t>
    </r>
  </si>
  <si>
    <r>
      <rPr>
        <b/>
        <sz val="10"/>
        <rFont val="Arial"/>
        <family val="2"/>
      </rPr>
      <t>Planung und Realisierung Architektur und Nutzung</t>
    </r>
    <r>
      <rPr>
        <sz val="10"/>
        <rFont val="Arial"/>
        <family val="2"/>
      </rPr>
      <t xml:space="preserve">
</t>
    </r>
  </si>
  <si>
    <t>Contributions of participatory processes to sustainability</t>
  </si>
  <si>
    <t xml:space="preserve">The participatory processes are also examined with regard to contributions to the sustainability approach. For each significant contribution that goes well beyond the legally required level - especially with regard to the use of local knowledge and creativity - 10 points (a maximum of 30 points in total for  City  as well as  Business  and 25 points for  Event ) can be awarded if they are bindingly identified for implementation. These contributions must be documented in detail..
</t>
  </si>
  <si>
    <t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t>
  </si>
  <si>
    <r>
      <rPr>
        <b/>
        <sz val="10"/>
        <rFont val="Arial"/>
        <family val="2"/>
      </rPr>
      <t>Information</t>
    </r>
    <r>
      <rPr>
        <sz val="10"/>
        <rFont val="Arial"/>
        <family val="2"/>
      </rPr>
      <t xml:space="preserve">
</t>
    </r>
  </si>
  <si>
    <r>
      <rPr>
        <b/>
        <sz val="10"/>
        <rFont val="Arial"/>
        <family val="2"/>
      </rPr>
      <t>Consultative user participation</t>
    </r>
    <r>
      <rPr>
        <sz val="10"/>
        <rFont val="Arial"/>
        <family val="2"/>
      </rPr>
      <t xml:space="preserve">
</t>
    </r>
  </si>
  <si>
    <r>
      <rPr>
        <b/>
        <sz val="10"/>
        <rFont val="Arial"/>
        <family val="2"/>
      </rPr>
      <t>Codetermination</t>
    </r>
    <r>
      <rPr>
        <sz val="10"/>
        <rFont val="Arial"/>
        <family val="2"/>
      </rPr>
      <t xml:space="preserve">
</t>
    </r>
  </si>
  <si>
    <r>
      <rPr>
        <b/>
        <sz val="10"/>
        <rFont val="Arial"/>
        <family val="2"/>
      </rPr>
      <t>Mitbestimmung</t>
    </r>
    <r>
      <rPr>
        <sz val="10"/>
        <rFont val="Arial"/>
        <family val="2"/>
      </rPr>
      <t xml:space="preserve">
</t>
    </r>
  </si>
  <si>
    <r>
      <rPr>
        <b/>
        <sz val="10"/>
        <rFont val="Arial"/>
        <family val="2"/>
      </rPr>
      <t>Konsultative Nutzerbeteiligung</t>
    </r>
    <r>
      <rPr>
        <sz val="10"/>
        <rFont val="Arial"/>
        <family val="2"/>
      </rPr>
      <t xml:space="preserve">
</t>
    </r>
  </si>
  <si>
    <r>
      <rPr>
        <b/>
        <sz val="10"/>
        <rFont val="Arial"/>
        <family val="2"/>
      </rPr>
      <t>Information</t>
    </r>
    <r>
      <rPr>
        <sz val="10"/>
        <rFont val="Arial"/>
        <family val="2"/>
      </rPr>
      <t xml:space="preserve">
</t>
    </r>
  </si>
  <si>
    <r>
      <rPr>
        <b/>
        <sz val="10"/>
        <rFont val="Arial"/>
        <family val="2"/>
      </rPr>
      <t>Conceptual integration</t>
    </r>
    <r>
      <rPr>
        <sz val="10"/>
        <rFont val="Arial"/>
        <family val="2"/>
      </rPr>
      <t xml:space="preserve">
</t>
    </r>
  </si>
  <si>
    <r>
      <rPr>
        <b/>
        <sz val="10"/>
        <rFont val="Arial"/>
        <family val="2"/>
      </rPr>
      <t>Konzeptuelle Integration</t>
    </r>
    <r>
      <rPr>
        <sz val="10"/>
        <rFont val="Arial"/>
        <family val="2"/>
      </rPr>
      <t xml:space="preserve">
</t>
    </r>
  </si>
  <si>
    <r>
      <rPr>
        <b/>
        <sz val="10"/>
        <rFont val="Arial"/>
        <family val="2"/>
      </rPr>
      <t>Information</t>
    </r>
    <r>
      <rPr>
        <sz val="10"/>
        <rFont val="Arial"/>
        <family val="2"/>
      </rPr>
      <t xml:space="preserve">
.</t>
    </r>
  </si>
  <si>
    <r>
      <rPr>
        <b/>
        <sz val="10"/>
        <rFont val="Arial"/>
        <family val="2"/>
      </rPr>
      <t>Konzeptuelle Integration</t>
    </r>
    <r>
      <rPr>
        <sz val="10"/>
        <rFont val="Arial"/>
        <family val="2"/>
      </rPr>
      <t xml:space="preserve">
</t>
    </r>
  </si>
  <si>
    <r>
      <rPr>
        <b/>
        <sz val="10"/>
        <rFont val="Arial"/>
        <family val="2"/>
      </rPr>
      <t>Konsultative Nutzerbeteiligung / Beratung</t>
    </r>
    <r>
      <rPr>
        <sz val="10"/>
        <rFont val="Arial"/>
        <family val="2"/>
      </rPr>
      <t xml:space="preserve">
</t>
    </r>
  </si>
  <si>
    <r>
      <rPr>
        <b/>
        <sz val="10"/>
        <rFont val="Arial"/>
        <family val="2"/>
      </rPr>
      <t>Konsultative Nutzerbeteiligung / Beratung</t>
    </r>
    <r>
      <rPr>
        <sz val="10"/>
        <rFont val="Arial"/>
        <family val="2"/>
      </rPr>
      <t xml:space="preserve">
</t>
    </r>
  </si>
  <si>
    <r>
      <rPr>
        <b/>
        <sz val="10"/>
        <rFont val="Arial"/>
        <family val="2"/>
      </rPr>
      <t>Mitbestimmung</t>
    </r>
    <r>
      <rPr>
        <sz val="10"/>
        <rFont val="Arial"/>
        <family val="2"/>
      </rPr>
      <t xml:space="preserve">
</t>
    </r>
  </si>
  <si>
    <r>
      <rPr>
        <b/>
        <sz val="10"/>
        <rFont val="Arial"/>
        <family val="2"/>
      </rPr>
      <t>Co-determination</t>
    </r>
    <r>
      <rPr>
        <sz val="10"/>
        <rFont val="Arial"/>
        <family val="2"/>
      </rPr>
      <t xml:space="preserve">
</t>
    </r>
  </si>
  <si>
    <r>
      <rPr>
        <b/>
        <sz val="10"/>
        <rFont val="Arial"/>
        <family val="2"/>
      </rPr>
      <t>Consultative user participation</t>
    </r>
    <r>
      <rPr>
        <sz val="10"/>
        <rFont val="Arial"/>
        <family val="2"/>
      </rPr>
      <t xml:space="preserve">
</t>
    </r>
  </si>
  <si>
    <r>
      <rPr>
        <b/>
        <sz val="10"/>
        <rFont val="Arial"/>
        <family val="2"/>
      </rPr>
      <t>Konsultative Nutzerbeteiligung</t>
    </r>
    <r>
      <rPr>
        <sz val="10"/>
        <rFont val="Arial"/>
        <family val="2"/>
      </rPr>
      <t xml:space="preserve">
</t>
    </r>
  </si>
  <si>
    <t>For  Industry , there is a budget for employee participation and implementation of proposals, which has the objective:
- to increase social quality and employee satisfaction. 
   (New Buildings 4 CLP | Existing Buildings 12.5 CLP)
- to increase the ecological quality.
   (New Buildings 3 CLP | Existing Buildings 12.5 CLP)</t>
  </si>
  <si>
    <t>For  Industry , there is an institutionalised management system for the reception, evaluation and implementation of contributions in the:
- social area (New Buildings 3 CLP | Existing Buildings 12.5 CLP)
- ecological area  (New Buildings 3 CLP | Existing Buildings 12.5 CLP)</t>
  </si>
  <si>
    <t>For  Industry : There is an incentive system for employee participation (e.g. advertising, bonuses) for:
- measures to improve employee satisfaction.
(New Buildings 3 CLP | Existing Buildings 12.5 CLP)
- ecological area.
(New Buildings 3 CLP | Existing Buildings 12.5 CLP)</t>
  </si>
  <si>
    <t>For  Industry : There is regular reporting by the factory management and employees on the proposals and measures in:
- social area.
(New Buildings 3 CLP | Existing Buildings 12.5 CLP)
- ecological area.
(New Buildings 3 CLP | Existing Buildings 12.5 CLP)</t>
  </si>
  <si>
    <t>Project management</t>
  </si>
  <si>
    <t xml:space="preserve">Implementation of project management
</t>
  </si>
  <si>
    <t>Risk management</t>
  </si>
  <si>
    <t>Risk controlling</t>
  </si>
  <si>
    <t xml:space="preserve">Preventive risk management was conducted.
</t>
  </si>
  <si>
    <t xml:space="preserve">Risk identification was conducted with the help of stakeholder and/or project participant workshops.
</t>
  </si>
  <si>
    <t xml:space="preserve">	In addition, regular risk controlling was conducted accompanying the project.</t>
  </si>
  <si>
    <t>Quality assurance</t>
  </si>
  <si>
    <t>Project objectives, documentation, implementation of quality review</t>
  </si>
  <si>
    <t xml:space="preserve">Definition of specific ecological, economic and sociocultural project objectives (incl. design) before starting the awarding of building contracts.
</t>
  </si>
  <si>
    <t xml:space="preserve">Documentation of the contractual agreement (binding) of the specific ecological, economic and sociocultural project objectives (design manual, contracts, quality standards).
</t>
  </si>
  <si>
    <t>The project objectives are clearly communicated to all those involved in the planning process (including contractors) and updated in case of changes.</t>
  </si>
  <si>
    <t xml:space="preserve">A regular quality review is conducted and documented.
</t>
  </si>
  <si>
    <t xml:space="preserve">A quality review is conducted after project completion, which compares the project objectives and the results.
</t>
  </si>
  <si>
    <t>Scheduling</t>
  </si>
  <si>
    <t xml:space="preserve">Overall schedule
</t>
  </si>
  <si>
    <t>Cost control</t>
  </si>
  <si>
    <t>Profitability calculation, consultation and optimisation</t>
  </si>
  <si>
    <t xml:space="preserve">A cost and income analysis in form of a static project developer calculation is available, with constant review of the established budget.
</t>
  </si>
  <si>
    <t xml:space="preserve">A profitability calculation on the project realisation during the entire development period (from the acquisition of building law and planning to the realisation and marketing/sale)is available and based on a market and location analysis. The costs are to be constantly checked, at least during the implementation phase, by means of a special cost control programme.
</t>
  </si>
  <si>
    <t xml:space="preserve">A binding cost structure has been defined, which allows a use-oriented cost allocation and aggregation on a superordinate level (e.g. structure according to DIN 276 with additional project-related subdivision).
</t>
  </si>
  <si>
    <t xml:space="preserve">A follow-up cost consultation or analysis was conducted.
</t>
  </si>
  <si>
    <t>General conditions</t>
  </si>
  <si>
    <t>District or area management</t>
  </si>
  <si>
    <r>
      <rPr>
        <b/>
        <sz val="10"/>
        <rFont val="Arial"/>
        <family val="2"/>
      </rPr>
      <t>Consultation with (future) residents and users</t>
    </r>
    <r>
      <rPr>
        <sz val="10"/>
        <rFont val="Arial"/>
        <family val="2"/>
      </rPr>
      <t xml:space="preserve">
</t>
    </r>
  </si>
  <si>
    <r>
      <rPr>
        <b/>
        <sz val="10"/>
        <rFont val="Arial"/>
        <family val="2"/>
      </rPr>
      <t>Self-government</t>
    </r>
    <r>
      <rPr>
        <sz val="10"/>
        <rFont val="Arial"/>
        <family val="2"/>
      </rPr>
      <t xml:space="preserve">
</t>
    </r>
  </si>
  <si>
    <r>
      <rPr>
        <b/>
        <sz val="10"/>
        <rFont val="Arial"/>
        <family val="2"/>
      </rPr>
      <t>Strengthening or development of social initiatives</t>
    </r>
    <r>
      <rPr>
        <sz val="10"/>
        <rFont val="Arial"/>
        <family val="2"/>
      </rPr>
      <t xml:space="preserve">
</t>
    </r>
  </si>
  <si>
    <r>
      <rPr>
        <b/>
        <sz val="10"/>
        <rFont val="Arial"/>
        <family val="2"/>
      </rPr>
      <t>Stärkung bzw. Aufbau sozialer Initiativen</t>
    </r>
    <r>
      <rPr>
        <sz val="10"/>
        <rFont val="Arial"/>
        <family val="2"/>
      </rPr>
      <t xml:space="preserve">
</t>
    </r>
  </si>
  <si>
    <r>
      <rPr>
        <b/>
        <sz val="10"/>
        <rFont val="Arial"/>
        <family val="2"/>
      </rPr>
      <t>Financial incentive systems</t>
    </r>
    <r>
      <rPr>
        <sz val="10"/>
        <rFont val="Arial"/>
        <family val="2"/>
      </rPr>
      <t xml:space="preserve">
</t>
    </r>
  </si>
  <si>
    <t>Municipal project participation and accountability</t>
  </si>
  <si>
    <r>
      <rPr>
        <b/>
        <sz val="10"/>
        <rFont val="Arial"/>
        <family val="2"/>
      </rPr>
      <t>Project organisation</t>
    </r>
    <r>
      <rPr>
        <sz val="10"/>
        <rFont val="Arial"/>
        <family val="2"/>
      </rPr>
      <t xml:space="preserve">
Specific project organisation with clear responsibilities and short decision-making paths in the municipal administration is formed for district development (e.g. spin-off of a staff unit). For private developments, the municipality makes an effective contribution to project implementation and effective participation in project steering. 
</t>
    </r>
  </si>
  <si>
    <r>
      <rPr>
        <b/>
        <sz val="10"/>
        <rFont val="Arial"/>
        <family val="2"/>
      </rPr>
      <t>Municipal projects / services</t>
    </r>
    <r>
      <rPr>
        <sz val="10"/>
        <rFont val="Arial"/>
        <family val="2"/>
      </rPr>
      <t xml:space="preserve">
The municipality has one or more projects/services that support the development of the district.
</t>
    </r>
  </si>
  <si>
    <t>Openness and transparency of structures and processes</t>
  </si>
  <si>
    <r>
      <rPr>
        <b/>
        <sz val="10"/>
        <rFont val="Arial"/>
        <family val="2"/>
      </rPr>
      <t>Transparent allocation of building plots</t>
    </r>
    <r>
      <rPr>
        <sz val="10"/>
        <rFont val="Arial"/>
        <family val="2"/>
      </rPr>
      <t xml:space="preserve">
Are the criteria according to which building plots are allocated in the district transparent for everyone, and is it possible to influence them during the planning phase by means of appropriate participation procedures?
Exception for single user/owner: 10 points can be awarded.</t>
    </r>
  </si>
  <si>
    <r>
      <rPr>
        <b/>
        <sz val="10"/>
        <rFont val="Arial"/>
        <family val="2"/>
      </rPr>
      <t>Distributive justice</t>
    </r>
    <r>
      <rPr>
        <sz val="10"/>
        <rFont val="Arial"/>
        <family val="2"/>
      </rPr>
      <t xml:space="preserve">
Are the building plots in the district allocated according to ecological and/or social criteria (e.g. Tübingen Alte Weberei: Application procedure for plots of land. Not the highest bidder, but the one with the most sustainable concept is awarded the contract, the construction of social housing or systems for the regenerative production of energy in commercial enterprises)?</t>
    </r>
  </si>
  <si>
    <t>Safety concepts</t>
  </si>
  <si>
    <t>Escape and emergency routes</t>
  </si>
  <si>
    <r>
      <rPr>
        <b/>
        <sz val="10"/>
        <rFont val="Arial"/>
        <family val="2"/>
      </rPr>
      <t>Escape plans</t>
    </r>
    <r>
      <rPr>
        <sz val="10"/>
        <rFont val="Arial"/>
        <family val="2"/>
      </rPr>
      <t xml:space="preserve">
</t>
    </r>
  </si>
  <si>
    <r>
      <rPr>
        <b/>
        <sz val="10"/>
        <rFont val="Arial"/>
        <family val="2"/>
      </rPr>
      <t>Fluchtpläne</t>
    </r>
    <r>
      <rPr>
        <sz val="10"/>
        <rFont val="Arial"/>
        <family val="2"/>
      </rPr>
      <t xml:space="preserve">
</t>
    </r>
  </si>
  <si>
    <r>
      <rPr>
        <b/>
        <sz val="10"/>
        <rFont val="Arial"/>
        <family val="2"/>
      </rPr>
      <t>Notfallplan und Gegensteuerungsmaßnahmen</t>
    </r>
    <r>
      <rPr>
        <sz val="10"/>
        <rFont val="Arial"/>
        <family val="2"/>
      </rPr>
      <t xml:space="preserve">
</t>
    </r>
  </si>
  <si>
    <r>
      <rPr>
        <b/>
        <sz val="10"/>
        <rFont val="Arial"/>
        <family val="2"/>
      </rPr>
      <t>Brandschutzkonzept</t>
    </r>
    <r>
      <rPr>
        <sz val="10"/>
        <rFont val="Arial"/>
        <family val="2"/>
      </rPr>
      <t xml:space="preserve">
</t>
    </r>
  </si>
  <si>
    <r>
      <rPr>
        <b/>
        <sz val="10"/>
        <rFont val="Arial"/>
        <family val="2"/>
      </rPr>
      <t>Räumungskonzept</t>
    </r>
    <r>
      <rPr>
        <sz val="10"/>
        <rFont val="Arial"/>
        <family val="2"/>
      </rPr>
      <t xml:space="preserve">
</t>
    </r>
  </si>
  <si>
    <r>
      <rPr>
        <b/>
        <sz val="10"/>
        <rFont val="Arial"/>
        <family val="2"/>
      </rPr>
      <t>People-Flow-Analyse</t>
    </r>
    <r>
      <rPr>
        <sz val="10"/>
        <rFont val="Arial"/>
        <family val="2"/>
      </rPr>
      <t xml:space="preserve">
</t>
    </r>
  </si>
  <si>
    <r>
      <rPr>
        <b/>
        <sz val="10"/>
        <rFont val="Arial"/>
        <family val="2"/>
      </rPr>
      <t>Zu- und Abfahrten</t>
    </r>
    <r>
      <rPr>
        <sz val="10"/>
        <rFont val="Arial"/>
        <family val="2"/>
      </rPr>
      <t xml:space="preserve">
</t>
    </r>
  </si>
  <si>
    <r>
      <rPr>
        <b/>
        <sz val="10"/>
        <rFont val="Arial"/>
        <family val="2"/>
      </rPr>
      <t>Austausch von Präventions- und Interventionsinformationen</t>
    </r>
    <r>
      <rPr>
        <sz val="10"/>
        <rFont val="Arial"/>
        <family val="2"/>
      </rPr>
      <t xml:space="preserve">
</t>
    </r>
  </si>
  <si>
    <r>
      <rPr>
        <b/>
        <sz val="10"/>
        <rFont val="Arial"/>
        <family val="2"/>
      </rPr>
      <t>Sicherheitsmanagement</t>
    </r>
    <r>
      <rPr>
        <sz val="10"/>
        <rFont val="Arial"/>
        <family val="2"/>
      </rPr>
      <t xml:space="preserve">
</t>
    </r>
  </si>
  <si>
    <r>
      <rPr>
        <b/>
        <sz val="10"/>
        <rFont val="Arial"/>
        <family val="2"/>
      </rPr>
      <t>Sicherheitsmaßnahmen bei Hochrisikospiele</t>
    </r>
    <r>
      <rPr>
        <sz val="10"/>
        <rFont val="Arial"/>
        <family val="2"/>
      </rPr>
      <t xml:space="preserve">
</t>
    </r>
  </si>
  <si>
    <r>
      <rPr>
        <b/>
        <sz val="10"/>
        <rFont val="Arial"/>
        <family val="2"/>
      </rPr>
      <t>Videoüberwachungs- und Lautsprecheranlagen</t>
    </r>
    <r>
      <rPr>
        <sz val="10"/>
        <rFont val="Arial"/>
        <family val="2"/>
      </rPr>
      <t xml:space="preserve">
</t>
    </r>
  </si>
  <si>
    <t>Emergency planning</t>
  </si>
  <si>
    <r>
      <rPr>
        <b/>
        <sz val="10"/>
        <rFont val="Arial"/>
        <family val="2"/>
      </rPr>
      <t>Emergency plan and countermeasures</t>
    </r>
    <r>
      <rPr>
        <sz val="10"/>
        <rFont val="Arial"/>
        <family val="2"/>
      </rPr>
      <t xml:space="preserve">
</t>
    </r>
  </si>
  <si>
    <t>Safety concept for fire protection
(depending on fire protection regulations of the country)</t>
  </si>
  <si>
    <r>
      <rPr>
        <b/>
        <sz val="10"/>
        <rFont val="Arial"/>
        <family val="2"/>
      </rPr>
      <t>Fire protection concept</t>
    </r>
    <r>
      <rPr>
        <sz val="10"/>
        <rFont val="Arial"/>
        <family val="2"/>
      </rPr>
      <t xml:space="preserve">
</t>
    </r>
  </si>
  <si>
    <t>Evacuation concept</t>
  </si>
  <si>
    <r>
      <rPr>
        <b/>
        <sz val="10"/>
        <rFont val="Arial"/>
        <family val="2"/>
      </rPr>
      <t>Evacuation concept</t>
    </r>
    <r>
      <rPr>
        <sz val="10"/>
        <rFont val="Arial"/>
        <family val="2"/>
      </rPr>
      <t xml:space="preserve">
</t>
    </r>
  </si>
  <si>
    <t>Overcrowding concept</t>
  </si>
  <si>
    <r>
      <rPr>
        <b/>
        <sz val="10"/>
        <rFont val="Arial"/>
        <family val="2"/>
      </rPr>
      <t>People flow analysis</t>
    </r>
    <r>
      <rPr>
        <sz val="10"/>
        <rFont val="Arial"/>
        <family val="2"/>
      </rPr>
      <t xml:space="preserve">
</t>
    </r>
  </si>
  <si>
    <t>Traffic concept</t>
  </si>
  <si>
    <r>
      <rPr>
        <b/>
        <sz val="10"/>
        <rFont val="Arial"/>
        <family val="2"/>
      </rPr>
      <t>Entrances and exits</t>
    </r>
    <r>
      <rPr>
        <sz val="10"/>
        <rFont val="Arial"/>
        <family val="2"/>
      </rPr>
      <t xml:space="preserve">
</t>
    </r>
  </si>
  <si>
    <t>Communication concept</t>
  </si>
  <si>
    <t>Exchange of prevention and intervention information</t>
  </si>
  <si>
    <t>Anti-terrorism concept</t>
  </si>
  <si>
    <r>
      <rPr>
        <b/>
        <sz val="10"/>
        <rFont val="Arial"/>
        <family val="2"/>
      </rPr>
      <t>Safety management</t>
    </r>
    <r>
      <rPr>
        <sz val="10"/>
        <rFont val="Arial"/>
        <family val="2"/>
      </rPr>
      <t xml:space="preserve">
</t>
    </r>
  </si>
  <si>
    <t>Concept against violent visitors/vandalism high-risk games</t>
  </si>
  <si>
    <t>Safety measures for high-risk games</t>
  </si>
  <si>
    <t>Electronic safety systems</t>
  </si>
  <si>
    <r>
      <rPr>
        <b/>
        <sz val="10"/>
        <rFont val="Arial"/>
        <family val="2"/>
      </rPr>
      <t>Video surveillance and loudspeaker systems</t>
    </r>
    <r>
      <rPr>
        <sz val="10"/>
        <rFont val="Arial"/>
        <family val="2"/>
      </rPr>
      <t xml:space="preserve">
</t>
    </r>
  </si>
  <si>
    <t>INNOVATION AREA
Explanation: Safety measures that cannot be assigned to the above categories or measures, but which demonstrably increase the sense of security and protection.</t>
  </si>
  <si>
    <t>Construction site / construction processes</t>
  </si>
  <si>
    <t>Communication</t>
  </si>
  <si>
    <r>
      <rPr>
        <b/>
        <sz val="10"/>
        <rFont val="Arial"/>
        <family val="2"/>
      </rPr>
      <t>Signage and information</t>
    </r>
    <r>
      <rPr>
        <sz val="10"/>
        <rFont val="Arial"/>
        <family val="2"/>
      </rPr>
      <t xml:space="preserve">
Residents are informed about the construction project and site with signs.. This includes construction information, route guidance, and, if applicable, responsible individuals and contact persons.</t>
    </r>
  </si>
  <si>
    <r>
      <t xml:space="preserve">Kommunikation Anwohner
</t>
    </r>
    <r>
      <rPr>
        <sz val="10"/>
        <rFont val="Arial"/>
        <family val="2"/>
      </rPr>
      <t xml:space="preserve">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t>
    </r>
  </si>
  <si>
    <r>
      <t xml:space="preserve">Communication with residents
</t>
    </r>
    <r>
      <rPr>
        <sz val="10"/>
        <rFont val="Arial"/>
        <family val="2"/>
      </rPr>
      <t>Regular communication with the residents: The measures that have been taken are described and residents and users are informed and involved, beyond mere signage.
Contact person for complaints: A contact person is available for the residents. In case of changes, information is provided in a timely manner.</t>
    </r>
  </si>
  <si>
    <t>Waste</t>
  </si>
  <si>
    <r>
      <rPr>
        <b/>
        <sz val="10"/>
        <rFont val="Arial"/>
        <family val="2"/>
      </rPr>
      <t>Abfall</t>
    </r>
    <r>
      <rPr>
        <sz val="10"/>
        <rFont val="Arial"/>
        <family val="2"/>
      </rPr>
      <t xml:space="preserve">
(Details siehe Kriterium)
</t>
    </r>
  </si>
  <si>
    <r>
      <rPr>
        <b/>
        <sz val="10"/>
        <rFont val="Arial"/>
        <family val="2"/>
      </rPr>
      <t>Waste</t>
    </r>
    <r>
      <rPr>
        <sz val="10"/>
        <rFont val="Arial"/>
        <family val="2"/>
      </rPr>
      <t xml:space="preserve">
(Details see Criteria)
</t>
    </r>
  </si>
  <si>
    <r>
      <rPr>
        <b/>
        <sz val="10"/>
        <color rgb="FFA5D867"/>
        <rFont val="Arial"/>
        <family val="2"/>
      </rPr>
      <t>CIRCULAR ECONOMY BONUS - WASTE AVOIDANCE ON THE CONSTRUCTION SITE</t>
    </r>
    <r>
      <rPr>
        <sz val="10"/>
        <color theme="1"/>
        <rFont val="Arial"/>
        <family val="2"/>
      </rPr>
      <t xml:space="preserve">
On the construction site, novel concepts, construction methods or technologies are implemented that avoid waste to a considerable extent.</t>
    </r>
  </si>
  <si>
    <t>Noise</t>
  </si>
  <si>
    <r>
      <rPr>
        <b/>
        <sz val="10"/>
        <color rgb="FF3C4981"/>
        <rFont val="Arial"/>
        <family val="2"/>
      </rPr>
      <t>Lärm</t>
    </r>
    <r>
      <rPr>
        <sz val="10"/>
        <color theme="1"/>
        <rFont val="Arial"/>
        <family val="2"/>
      </rPr>
      <t xml:space="preserve">
(Details siehe Kriterium)
</t>
    </r>
  </si>
  <si>
    <r>
      <rPr>
        <b/>
        <sz val="10"/>
        <color rgb="FF3C4981"/>
        <rFont val="Arial"/>
        <family val="2"/>
      </rPr>
      <t>Noise</t>
    </r>
    <r>
      <rPr>
        <sz val="10"/>
        <color theme="1"/>
        <rFont val="Arial"/>
        <family val="2"/>
      </rPr>
      <t xml:space="preserve">
(Details see Criteria)
</t>
    </r>
  </si>
  <si>
    <r>
      <rPr>
        <b/>
        <sz val="10"/>
        <color rgb="FF3C4981"/>
        <rFont val="Arial"/>
        <family val="2"/>
      </rPr>
      <t>Staub</t>
    </r>
    <r>
      <rPr>
        <sz val="10"/>
        <color theme="1"/>
        <rFont val="Arial"/>
        <family val="2"/>
      </rPr>
      <t xml:space="preserve">
(Details siehe Kriterium)
</t>
    </r>
  </si>
  <si>
    <t>Dust</t>
  </si>
  <si>
    <r>
      <rPr>
        <b/>
        <sz val="10"/>
        <color rgb="FF3C4981"/>
        <rFont val="Arial"/>
        <family val="2"/>
      </rPr>
      <t>Dust</t>
    </r>
    <r>
      <rPr>
        <sz val="10"/>
        <color theme="1"/>
        <rFont val="Arial"/>
        <family val="2"/>
      </rPr>
      <t xml:space="preserve">
(Details see Criteria)
</t>
    </r>
  </si>
  <si>
    <r>
      <rPr>
        <b/>
        <sz val="10"/>
        <color rgb="FF00ACE9"/>
        <rFont val="Arial"/>
        <family val="2"/>
      </rPr>
      <t>INNOVATION AREA</t>
    </r>
    <r>
      <rPr>
        <sz val="10"/>
        <color theme="1"/>
        <rFont val="Arial"/>
        <family val="2"/>
      </rPr>
      <t xml:space="preserve">
Novel concepts, processes and technologies for a significant reduction of noise or dust pollution for construction site workers and the environment can be credited alternatively.
</t>
    </r>
  </si>
  <si>
    <t>Environmental protection and nature conservation</t>
  </si>
  <si>
    <r>
      <rPr>
        <b/>
        <sz val="10"/>
        <color rgb="FF3C4981"/>
        <rFont val="Arial"/>
        <family val="2"/>
      </rPr>
      <t>Umwelt- und Naturschutz</t>
    </r>
    <r>
      <rPr>
        <sz val="10"/>
        <color theme="1"/>
        <rFont val="Arial"/>
        <family val="2"/>
      </rPr>
      <t xml:space="preserve">
(Details siehe Kriterium)
</t>
    </r>
  </si>
  <si>
    <r>
      <rPr>
        <b/>
        <sz val="10"/>
        <color rgb="FF3C4981"/>
        <rFont val="Arial"/>
        <family val="2"/>
      </rPr>
      <t>Environmental protection and nature conservation</t>
    </r>
    <r>
      <rPr>
        <sz val="10"/>
        <color theme="1"/>
        <rFont val="Arial"/>
        <family val="2"/>
      </rPr>
      <t xml:space="preserve">
(Details see Criteria)
</t>
    </r>
  </si>
  <si>
    <r>
      <rPr>
        <b/>
        <sz val="10"/>
        <color rgb="FF00ACE9"/>
        <rFont val="Arial"/>
        <family val="2"/>
      </rPr>
      <t>INNOVATION AREA</t>
    </r>
    <r>
      <rPr>
        <sz val="10"/>
        <color theme="1"/>
        <rFont val="Arial"/>
        <family val="2"/>
      </rPr>
      <t xml:space="preserve">
Supplementary or alternative measurements, as well as other quality assurance measures can be evaluated alternatively, if they are not prescribed by law or authorities or are common practice, but document the high quality of the construction measures.
</t>
    </r>
  </si>
  <si>
    <t>Quality assurance and monitoring</t>
  </si>
  <si>
    <t>Sustainability management</t>
  </si>
  <si>
    <r>
      <rPr>
        <b/>
        <sz val="10"/>
        <rFont val="Arial"/>
        <family val="2"/>
      </rPr>
      <t>Location management</t>
    </r>
    <r>
      <rPr>
        <sz val="10"/>
        <rFont val="Arial"/>
        <family val="2"/>
      </rPr>
      <t xml:space="preserve">
</t>
    </r>
  </si>
  <si>
    <r>
      <rPr>
        <b/>
        <sz val="10"/>
        <rFont val="Arial"/>
        <family val="2"/>
      </rPr>
      <t>Standortmanagement</t>
    </r>
    <r>
      <rPr>
        <sz val="10"/>
        <rFont val="Arial"/>
        <family val="2"/>
      </rPr>
      <t xml:space="preserve">
</t>
    </r>
  </si>
  <si>
    <r>
      <rPr>
        <b/>
        <sz val="10"/>
        <rFont val="Arial"/>
        <family val="2"/>
      </rPr>
      <t>Budget and powers of action</t>
    </r>
    <r>
      <rPr>
        <sz val="10"/>
        <rFont val="Arial"/>
        <family val="2"/>
      </rPr>
      <t xml:space="preserve">
</t>
    </r>
  </si>
  <si>
    <r>
      <rPr>
        <b/>
        <sz val="10"/>
        <rFont val="Arial"/>
        <family val="2"/>
      </rPr>
      <t>Budget und Handlungsbefugnisse</t>
    </r>
    <r>
      <rPr>
        <sz val="10"/>
        <rFont val="Arial"/>
        <family val="2"/>
      </rPr>
      <t xml:space="preserve">
</t>
    </r>
  </si>
  <si>
    <t>Reporting on sustainability issues</t>
  </si>
  <si>
    <r>
      <rPr>
        <b/>
        <sz val="10"/>
        <rFont val="Arial"/>
        <family val="2"/>
      </rPr>
      <t>Berichterstattung zu Nachhaltigkeitsthemen</t>
    </r>
    <r>
      <rPr>
        <sz val="10"/>
        <rFont val="Arial"/>
        <family val="2"/>
      </rPr>
      <t xml:space="preserve">
</t>
    </r>
  </si>
  <si>
    <r>
      <rPr>
        <b/>
        <sz val="10"/>
        <rFont val="Arial"/>
        <family val="2"/>
      </rPr>
      <t xml:space="preserve">Inhalte der Nachhaltigkeitsberichterstattung </t>
    </r>
    <r>
      <rPr>
        <sz val="10"/>
        <rFont val="Arial"/>
        <family val="2"/>
      </rPr>
      <t xml:space="preserve">
</t>
    </r>
  </si>
  <si>
    <r>
      <rPr>
        <b/>
        <sz val="10"/>
        <rFont val="Arial"/>
        <family val="2"/>
      </rPr>
      <t>Contents of sustainability reporting</t>
    </r>
    <r>
      <rPr>
        <sz val="10"/>
        <rFont val="Arial"/>
        <family val="2"/>
      </rPr>
      <t xml:space="preserve">
</t>
    </r>
  </si>
  <si>
    <r>
      <rPr>
        <b/>
        <sz val="10"/>
        <rFont val="Arial"/>
        <family val="2"/>
      </rPr>
      <t>Corporate Social Responsibility</t>
    </r>
    <r>
      <rPr>
        <sz val="10"/>
        <rFont val="Arial"/>
        <family val="2"/>
      </rPr>
      <t xml:space="preserve">
</t>
    </r>
  </si>
  <si>
    <t>Corporate social responsibility</t>
  </si>
  <si>
    <t>Energy monitoring/management</t>
  </si>
  <si>
    <t>Energy monitoring</t>
  </si>
  <si>
    <t>Quality level 4: As in level 3 + D, if necessary, other conditioning, recording in a central monitoring system with hourly real-time measurement (building area/room/machine).</t>
  </si>
  <si>
    <t>Quality level 3: As in level 2 + further differentiation in A Electricity, B Heat, C Cooling (depth of coverage. Building area/room/machine).</t>
  </si>
  <si>
    <t>Quality level 2: Recording in a central monitoring system with monthly measurement + differentiation into A Electricity and B Heat and, if necessary, other conditioning (recording depth: Building/building area).</t>
  </si>
  <si>
    <t>There is an inspection of the energy-related quality during construction.</t>
  </si>
  <si>
    <t>There is a concept in place that permanently calls on all employees to reduce energy consumption (e.g. training,  defined standby standards for more than 80% of technical systems).</t>
  </si>
  <si>
    <t>Certified according to the current version of the international energy management standard ISO 50001 (alternative proof for small and medium-sized companies: DIN EN 16247 -1 or  comparable measures)</t>
  </si>
  <si>
    <t>The energy quality of the buildings are reviewed during planning, construction and after completion.</t>
  </si>
  <si>
    <t xml:space="preserve">Heat at district level is monitored via an energy monitoring system, in which all building users can participate.
</t>
  </si>
  <si>
    <t xml:space="preserve">Electricity is monitored at district level via an energy monitoring system, in which all building users can participate.
</t>
  </si>
  <si>
    <t>Water monitoring/management</t>
  </si>
  <si>
    <r>
      <rPr>
        <b/>
        <sz val="10"/>
        <rFont val="Arial"/>
        <family val="2"/>
      </rPr>
      <t>Water monitoring</t>
    </r>
    <r>
      <rPr>
        <sz val="10"/>
        <rFont val="Arial"/>
        <family val="2"/>
      </rPr>
      <t xml:space="preserve">
</t>
    </r>
  </si>
  <si>
    <r>
      <rPr>
        <b/>
        <sz val="10"/>
        <rFont val="Arial"/>
        <family val="2"/>
      </rPr>
      <t>Wassermonitoring</t>
    </r>
    <r>
      <rPr>
        <sz val="10"/>
        <rFont val="Arial"/>
        <family val="2"/>
      </rPr>
      <t xml:space="preserve">
</t>
    </r>
  </si>
  <si>
    <r>
      <rPr>
        <b/>
        <sz val="10"/>
        <rFont val="Arial"/>
        <family val="2"/>
      </rPr>
      <t>Trink- und Betriebswasserbedarf</t>
    </r>
    <r>
      <rPr>
        <sz val="10"/>
        <rFont val="Arial"/>
        <family val="2"/>
      </rPr>
      <t xml:space="preserve">
</t>
    </r>
  </si>
  <si>
    <r>
      <rPr>
        <b/>
        <sz val="10"/>
        <rFont val="Arial"/>
        <family val="2"/>
      </rPr>
      <t>Drinking and operating water requirements</t>
    </r>
    <r>
      <rPr>
        <sz val="10"/>
        <rFont val="Arial"/>
        <family val="2"/>
      </rPr>
      <t xml:space="preserve">
</t>
    </r>
  </si>
  <si>
    <t>Reduction of drinking and operating water requirements</t>
  </si>
  <si>
    <t>Implementation of design goals</t>
  </si>
  <si>
    <r>
      <t xml:space="preserve">Process methodology
</t>
    </r>
    <r>
      <rPr>
        <sz val="10"/>
        <rFont val="Arial"/>
        <family val="2"/>
      </rPr>
      <t xml:space="preserve">There is an informal set of instruments and a process methodology that ensures the design requirements in relation to the architecture/open space during the implementation process and after completion of the district (e.g. design advisory board, design manual).
</t>
    </r>
  </si>
  <si>
    <r>
      <t xml:space="preserve">Prozessmethodik
</t>
    </r>
    <r>
      <rPr>
        <sz val="10"/>
        <rFont val="Arial"/>
        <family val="2"/>
      </rPr>
      <t xml:space="preserve">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t>
    </r>
  </si>
  <si>
    <r>
      <rPr>
        <b/>
        <sz val="10"/>
        <rFont val="Arial"/>
        <family val="2"/>
      </rPr>
      <t>Design specifications</t>
    </r>
    <r>
      <rPr>
        <sz val="10"/>
        <rFont val="Arial"/>
        <family val="2"/>
      </rPr>
      <t xml:space="preserve">
The design specifications are safeguarded formally (e.g. development plan, design statutes, etc.).
</t>
    </r>
  </si>
  <si>
    <r>
      <rPr>
        <b/>
        <sz val="10"/>
        <rFont val="Arial"/>
        <family val="2"/>
      </rPr>
      <t>Gestalterische Vorgaben</t>
    </r>
    <r>
      <rPr>
        <sz val="10"/>
        <rFont val="Arial"/>
        <family val="2"/>
      </rPr>
      <t xml:space="preserve">
Die gestalterischen Vorgaben werden zugleich formell gesichert (z. B. B-Plan, Gestaltungssatzung …).
</t>
    </r>
  </si>
  <si>
    <t>Data models</t>
  </si>
  <si>
    <r>
      <rPr>
        <b/>
        <sz val="10"/>
        <rFont val="Arial"/>
        <family val="2"/>
      </rPr>
      <t>3-D data models</t>
    </r>
    <r>
      <rPr>
        <sz val="10"/>
        <rFont val="Arial"/>
        <family val="2"/>
      </rPr>
      <t xml:space="preserve">
There is further cooperation based on 3D data models
(GIS, CIM, BIM).</t>
    </r>
  </si>
  <si>
    <r>
      <rPr>
        <b/>
        <sz val="10"/>
        <rFont val="Arial"/>
        <family val="2"/>
      </rPr>
      <t>Umsetzung von Normen und Standards</t>
    </r>
    <r>
      <rPr>
        <sz val="10"/>
        <rFont val="Arial"/>
        <family val="2"/>
      </rPr>
      <t xml:space="preserve">
</t>
    </r>
  </si>
  <si>
    <r>
      <rPr>
        <b/>
        <sz val="10"/>
        <rFont val="Arial"/>
        <family val="2"/>
      </rPr>
      <t>Implementation of norms and standards</t>
    </r>
    <r>
      <rPr>
        <sz val="10"/>
        <rFont val="Arial"/>
        <family val="2"/>
      </rPr>
      <t xml:space="preserve">
</t>
    </r>
  </si>
  <si>
    <r>
      <rPr>
        <b/>
        <sz val="10"/>
        <rFont val="Arial"/>
        <family val="2"/>
      </rPr>
      <t>Facility management according to DIN</t>
    </r>
    <r>
      <rPr>
        <sz val="10"/>
        <rFont val="Arial"/>
        <family val="2"/>
      </rPr>
      <t xml:space="preserve">
There is a facility management in the company according to the current version of DIN EN 15221, GEFMA Guideline 100, VDI 6009 or comparable standards.</t>
    </r>
  </si>
  <si>
    <t>Orderly commissioning</t>
  </si>
  <si>
    <t xml:space="preserve">Quality level 1        max.5
Quality level 2        max.15
Quality level 3        max.25
</t>
  </si>
  <si>
    <t>Scheme</t>
  </si>
  <si>
    <t>Environmental quality</t>
  </si>
  <si>
    <t>Economic quality</t>
  </si>
  <si>
    <t>Sociocultural and functional quality</t>
  </si>
  <si>
    <t>Technical quality</t>
  </si>
  <si>
    <t>Process quality</t>
  </si>
  <si>
    <t>65% to &lt; 80%</t>
  </si>
  <si>
    <t>50% to &lt; 65%</t>
  </si>
  <si>
    <t>PLATINUM</t>
  </si>
  <si>
    <t>SILVER</t>
  </si>
  <si>
    <t>Client</t>
  </si>
  <si>
    <t>Date</t>
  </si>
  <si>
    <t>Contract Number</t>
  </si>
  <si>
    <t>Total performance index</t>
  </si>
  <si>
    <t>Secondary requirements</t>
  </si>
  <si>
    <t>Medal</t>
  </si>
  <si>
    <t>DGNB minimum performance indices</t>
  </si>
  <si>
    <t>Secondary requirements - main criteria group</t>
  </si>
  <si>
    <t>Total performance</t>
  </si>
  <si>
    <t>I hereby confirm that the above statements reflect the current state of the design.</t>
  </si>
  <si>
    <t>I hereby confirm that the above evaluation has been conducted according to DGNB requirements and has been checked for plausibility.</t>
  </si>
  <si>
    <t>Pre-certificate</t>
  </si>
  <si>
    <t>Certificate</t>
  </si>
  <si>
    <t>Signature/ Stamp</t>
  </si>
  <si>
    <t>DGNB minimum requirements</t>
  </si>
  <si>
    <t>Die folgenden Indikatoren bzw. Kriterien sind zwingend einzuhalten:
ENV1,5 "Stadtklima": Es müssen die Mindestanforderungen von 15 Punkten im Indikator 1: "Stadtklimatische Analyse des Quartiers" erreicht werden, ansonsten ist das Projekt von der Zertifizierung ausgeschlossen!
ENV2.4 "Biodiversität": es muss die Mindestanforderung von 10 Punkten im Indikator 2 "Gezielte Maßnahmen zur aktiven Ansiedlung neuer und heimischer Tierarten" erreicht werden, ansonsten ist das Projekt von der Zertifizierung ausgeschlossen!
SOC3.3 "Soziale und Erwerbswirtschaftliche Infrastruktur": es müssen die Mindestanforderung von 5 Punkten in den Bereichen Bildung und Nahversorgung erreicht (insgesamt 10 Punkte) werden, ansonsten ist das Projekt von der Zertifizierung ausgeschlossen!
PRO1.7 "Partizipation": es muss die Mindestanforderung von 15 Punkten Indikatoren 1-4 zur Sicherung der Mindest-Bürgerbeteiligung  erreicht werden, ansonsten ist das Projekt von der Zertifizierung ausgeschlossen!</t>
  </si>
  <si>
    <t>The following indicators or criteria must be fulfilled:
ENV1.5 "Urban Climate": The minimum requrement with 15 Points of Indikator 1: "Urban climate analysis of the district" must be fulfilled, otherwise the project is excluded from certification!
ENV2.4 "Biodiversity": The minimum requrement with 10 Points of Indikator 2: "Targeted measures for the active introduction of new and native species " must be fulfilled, otherwise the project is excluded from certification!
SOC3.3 "Social and commercial infrastructure": The minimum requrement with each 5 Points for Educaiton and Local supply (total 10 Points) must be fulfilled, otherwise the project is excluded from certification!
PRO1.7 "Participation": The minimum requrement with 15 Points of Indicator 1-4 must be fulfilled, otherwise the project is excluded from certification!</t>
  </si>
  <si>
    <t>*applies to all qualities (main criteria groups)</t>
  </si>
  <si>
    <t>Constructor</t>
  </si>
  <si>
    <t>DGNB Evaluation Matrix</t>
  </si>
  <si>
    <t>Main Criteria Group</t>
  </si>
  <si>
    <t>Share of total score</t>
  </si>
  <si>
    <t>Performance</t>
  </si>
  <si>
    <t>Key</t>
  </si>
  <si>
    <t>To be entered</t>
  </si>
  <si>
    <t>Calculated automatically</t>
  </si>
  <si>
    <t>System guideline</t>
  </si>
  <si>
    <t>Cell without content</t>
  </si>
  <si>
    <t>Please select the Variante for Industrial Site</t>
  </si>
  <si>
    <t>No.</t>
  </si>
  <si>
    <t>Criterion</t>
  </si>
  <si>
    <t>Indicator</t>
  </si>
  <si>
    <t>Evaluation points 
(EP - Auditor)</t>
  </si>
  <si>
    <t>Specific relevance factor</t>
  </si>
  <si>
    <t>Comment / Remark AUDITOR</t>
  </si>
  <si>
    <t>IST-Points (Indicator)</t>
  </si>
  <si>
    <t>IST-Points (Criteria)</t>
  </si>
  <si>
    <t>Max. Points</t>
  </si>
  <si>
    <t>Klimaneutraler Energiebedarf Mobilität MIV (Motorisierter Individualverkehr)</t>
  </si>
  <si>
    <t>AGENDA 2030 BONUS – KLIMAANPASSUNGSSTRATEGIE AUF
QUARTIERSEBENE - Analyse aller physikalischen Klimarisiken mit
zukünftigen Klimaentwicklungen und Umsetzung bzw. Vorhaltung
potenziell daraus resultierenden abmindernden Maßnahmen</t>
  </si>
  <si>
    <t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t>
  </si>
  <si>
    <t>Neu Boni</t>
  </si>
  <si>
    <r>
      <rPr>
        <b/>
        <sz val="10"/>
        <color rgb="FF00ACE9"/>
        <rFont val="Arial"/>
        <family val="2"/>
      </rPr>
      <t>INNOVATIONSRAUM</t>
    </r>
    <r>
      <rPr>
        <sz val="10"/>
        <color theme="1"/>
        <rFont val="Arial"/>
        <family val="2"/>
      </rPr>
      <t xml:space="preserve">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t>
    </r>
  </si>
  <si>
    <t>13.</t>
  </si>
  <si>
    <t>AGENDA 2030 BONUS – ZUKUNFTSGERICHTETE
KLIMAFOLGENRISIKOANALYSE UND ANPASSUNGSMASSNAHMEN
Analyse aller physikalischen Klimarisiken mit zukünftigen Klimaentwicklungen und Umsetzung bzw. Vorhaltung potenziell daraus resultierenden abmindernden Maßnahmen</t>
  </si>
  <si>
    <t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t>
  </si>
  <si>
    <t>Energieerzeugung im Quartier</t>
  </si>
  <si>
    <t>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t>
  </si>
  <si>
    <t>AGENDA 2030 BONUS – NUTZUNG ERNEUERBARER ENERGIETRÄGER UND ENERGIEERZEUGUNG</t>
  </si>
  <si>
    <t>Climate-neutral energy demand mobility  (motorized private transport)</t>
  </si>
  <si>
    <t>AGENDA 2030 BONUS – FORWARD-LOOKING
CLIMATE IMPACT RISK ANALYSIS AND ADAPTATION MEASURES
Analysis of all physical climate risks with future climate developments and implementation or provision of potentially resulting mitigating measures</t>
  </si>
  <si>
    <t>AGENDA 2030 BONUS - CLIMATE ADAPTATION STRATEGY AT THE DISTRICT LEVEL
Analysis of all physical climate risks with
future climate developments and implementation or provision potentially resulting mitigating measures</t>
  </si>
  <si>
    <t xml:space="preserve">As part of the verification process, it is stated separately and confirmed accordingly that all physical climate risks have been analyzed (indicators 3.1 to 11.1) and that future climate developments have been used as a basis for the risk analysis and the potentially resulting mitigating measures of these indicators.
A climate adaptation strategy specifically for the district is available for the planning area. </t>
  </si>
  <si>
    <r>
      <rPr>
        <b/>
        <sz val="10"/>
        <color rgb="FF00ACE9"/>
        <rFont val="Arial"/>
        <family val="2"/>
      </rPr>
      <t>INNOVATION AREA</t>
    </r>
    <r>
      <rPr>
        <sz val="10"/>
        <color theme="1"/>
        <rFont val="Arial"/>
        <family val="2"/>
      </rPr>
      <t xml:space="preserve">
Explanation: Alternative approaches for achieving an optimisation of lifecycle costs can also be selected and credited (scenario 1). In addition, at least one variant (scenario 2) with high expected CO2 or
Energy prices are calculated and presented to the client as part of the decision-making process and discussed.</t>
    </r>
  </si>
  <si>
    <t>AGENDA 2030 BONUS – USE OF RENEWABLE ENERGY SOURCES AND ENERGY GENERATION</t>
  </si>
  <si>
    <t>- The share of renewable energy sources in the regulated final energy demand (determination of final energy according to the rules of the Building Energy Act) is at least 65%. (5 points)
- The share of renewable energy sources in the regulated final energy requirement (determination of final energy according to the rules of the Building Energy Act) is at least 80%. (10 points)</t>
  </si>
  <si>
    <t>Percentage of the facade surface of buildings (without roof) that are used for energy. Photovoltaic surfaces outdoors (e.g. parking lot roofing) can be added to these facade surfaces.
30% - ≥ 50% of the facade areas have photovoltaics (incl. outdoor areas)</t>
  </si>
  <si>
    <t>Gewichtungstabelle Gewerbegebiet, Version 2020 // Erstellt durch die DGNB Geschäftsstelle, Stand 29.09.2022//Copyright DGNB GmbH</t>
  </si>
  <si>
    <t>Gewichtungstabelle Event Areal, Version 2020 // Erstellt durch die DGNB Geschäftsstelle, Stand 29.09.2022//Copyright DGNB GmbH</t>
  </si>
  <si>
    <t>Gewichtungstabelle Businessquartier , Version 2020 // Erstellt durch die DGNB Geschäftsstelle, Stand 29.09.2022//Copyright DGNB GmbH</t>
  </si>
  <si>
    <t>Gewichtungstabelle Stadtquartier, Version 2020 // Erstellt durch die DGNB Geschäftsstelle, Stand 29.09.2022//Copyright DGNB GmbH</t>
  </si>
  <si>
    <t>Gewichtungstabelle Quartiere, Version 2020 // Erstellt durch die DGNB Geschäftsstelle, Stand 29.09.2022//Copyright DGNB GmbH</t>
  </si>
  <si>
    <t>Mischung</t>
  </si>
  <si>
    <t>Nicht relevant für Bestand</t>
  </si>
  <si>
    <t>Not relevant for existing buildings</t>
  </si>
  <si>
    <t>Gewichtungstabelle Industirestandort, Version 2020 // Erstellt durch die DGNB Geschäftsstelle, Stand 24.05.2023//Copyright DGNB GmbH</t>
  </si>
  <si>
    <t>Verbesserungspotential</t>
  </si>
  <si>
    <t>Verbesserungspotential (modul Klima)</t>
  </si>
  <si>
    <t>Verbesserungspotential (z.B. Garagen)</t>
  </si>
  <si>
    <t>Anstoßen bei Stadt?</t>
  </si>
  <si>
    <t>optional</t>
  </si>
  <si>
    <t>Verbesserungspotential - Angebot Buro Happold</t>
  </si>
  <si>
    <t>Vorhanden</t>
  </si>
  <si>
    <t>Ewigkeitskosten für Sicherungsbauwerk</t>
  </si>
  <si>
    <t>Ökologische Baubegleitung für den Abriss</t>
  </si>
  <si>
    <t>3D-Modelle werden im Projekt genutzt</t>
  </si>
  <si>
    <t>Vorgesehen</t>
  </si>
  <si>
    <t>über Energiekonzept</t>
  </si>
  <si>
    <t>Betriebskostenbewertung im Energiekonzept</t>
  </si>
  <si>
    <t>Verschiedene Studie liegen vor --&gt; (Zusammenfassen zu OnePager durch BH?)</t>
  </si>
  <si>
    <t>Fahrradrepartureinrichtung vorgesehen</t>
  </si>
  <si>
    <t>Wird durch die Stadt bereitgestellt</t>
  </si>
  <si>
    <t>Bereits umgesetzt</t>
  </si>
  <si>
    <t>Wudf9yYj</t>
  </si>
  <si>
    <t>ExecuteCaller</t>
  </si>
  <si>
    <t>Adapter.Execute?by_BHoMAdapter_IExecuteCommand_ActionConfig_Boolean</t>
  </si>
  <si>
    <t>Superquartier</t>
  </si>
  <si>
    <t>{ "SelectedItem" : { "_t" : "System.Reflection.MethodBase", "TypeName" : "{ \"_t\" : \"System.Type\", \"Name\" : \"BH.UI.Base.Components.ExecuteCaller, BHoM_UI, Version=7.0.0.0, Culture=neutral, PublicKeyToken=null\", \"_bhomVersion\" : \"7.2\" }", "MethodName" : "Execute", "Parameters" : ["{ \"_t\" : \"System.Type\", \"Name\" : \"BH.Adapter.BHoMAdapter, BHoM_Adapter, Version=7.0.0.0, Culture=neutral, PublicKeyToken=null\", \"_bhomVersion\" : \"7.2\" }", "{ \"_t\" : \"System.Type\", \"Name\" : \"BH.oM.Adapter.IExecuteCommand\", \"_bhomVersion\" : \"7.2\" }", "{ \"_t\" : \"System.Type\", \"Name\" : \"BH.oM.Adapter.ActionConfig\", \"_bhomVersion\" : \"7.2\" }", "{ \"_t\" : \"System.Type\", \"Name\" : \"System.Boolean, mscorlib, Version=4.0.0.0, Culture=neutral, PublicKeyToken=b77a5c561934e089\", \"_bhomVersion\" : \"7.2\" }"], "_bhomVersion" : "7.2" }, "InputParams" : { "_t" : "System.Collections.Generic.List`1[[BH.oM.UI.ParamInfo, UI_oM, Version=7.0.0.0, Culture=neutral, PublicKeyToken=null]]", "_v" : [{ "_t" : "BH.oM.UI.ParamInfo", "DataType" : { "_t" : "System.Type", "Name" : "BH.Adapter.BHoMAdapter, BHoM_Adapter, Version=7.0.0.0, Culture=neutral, PublicKeyToken=null", "_bhomVersion" : "7.2" }, "Description" : "Adapter to the external software\r\nThis is a BH.Adapter.BHoMAdapter", "Kind" : "Input", "HasDefaultValue" : false, "DefaultValue" : null, "IsRequired" : true, "IsSelected" : true, "DefaultValueWarning" : "", "BHoM_Guid" : "7f5b0ccf-8edb-493b-a6b2-f1b4e2aaa6cf", "Name" : "adapter" }, { "_t" : "BH.oM.UI.ParamInfo", "DataType" : { "_t" : "System.Type", "Name" : "BH.oM.Adapter.IExecuteCommand", "_bhomVersion" : "7.2" }, "Description" : "Command to run\r\nThis is a BH.oM.Adapter.IExecuteCommand:\r\nClasses implementing IExecuteCommand are commands compatible with the `Execute` Adapter Action.\r\nThis can be of the following types: DownloadCommand, WindroseCommand, UTCIHeatPlotCommand, SunPathPlotCommand, SolarPanelTiltOptimisationCommand, RunSimulationCommand, RunExternalComfortCommand, HeatPlotCommand, GetTypologyCommand, GetMaterialCommand, DiurnalPlotCommand, RenameCommand, MoveCommand, CopyCommand, UpsertCommand, and more...", "Kind" : "Input", "HasDefaultValue" : false, "DefaultValue" : null, "IsRequired" : true, "IsSelected" : true, "DefaultValueWarning" : "", "BHoM_Guid" : "a0138b8d-4219-4a8a-9b32-75b7b1857446", "Name" : "command" }, { "_t" : "BH.oM.UI.ParamInfo", "DataType" : { "_t" : "System.Type", "Name" : "BH.oM.Adapter.ActionConfig", "_bhomVersion" : "7.2" }, "Description" : "Configuration for this Action. You can input an ActionConfig (it contains the configs common to all Toolkits); \nconsider that Toolkits may have a custom ActionConfig (e.g. GSAConfig, SpeckleConfig).\r\nThis is a BH.oM.Adapter.ActionConfig:\r\nConfigurations specific for an Adapter Action (Push, Pull, etc).\nConsider that your tookit might have a more specific implementation available. Try to look for [your toolkit name]ActionConfig.", "Kind" : "Input", "HasDefaultValue" : true, "DefaultValue" : null, "IsRequired" : false, "IsSelected" : true, "DefaultValueWarning" : "", "BHoM_Guid" : "52e0144c-3501-441f-8088-8b184676a364", "Name" : "actionConfig" }, { "_t" : "BH.oM.UI.ParamInfo", "DataType" : { "_t" : "System.Type", "Name" : "System.Boolean, mscorlib, Version=4.0.0.0, Culture=neutral, PublicKeyToken=b77a5c561934e089", "_bhomVersion" : "7.2" }, "Description" : "Execute the command\r\nThis is a Boolean", "Kind" : "Input", "HasDefaultValue" : true, "DefaultValue" : false, "IsRequired" : false, "IsSelected" : true, "DefaultValueWarning" : "", "BHoM_Guid" : "3a25abde-7de5-46e0-adbd-7a9ed1bef845", "Name" : "active" }] }, "OutputParams" : { "_t" : "System.Collections.Generic.List`1[[BH.oM.UI.ParamInfo, UI_oM, Version=7.0.0.0, Culture=neutral, PublicKeyToken=null]]", "_v" : [{ "_t" : "BH.oM.UI.ParamInfo", "DataType" : { "_t" : "System.Type", "Name" : "System.Collections.Generic.List`1, mscorlib, Version=4.0.0.0, Culture=neutral, PublicKeyToken=b77a5c561934e089", "GenericArguments" : [{ "_t" : "System.Type", "Name" : "System.Object, mscorlib, Version=4.0.0.0, Culture=neutral, PublicKeyToken=b77a5c561934e089", "_bhomVersion" : "7.2" }], "_bhomVersion" : "7.2" }, "Description" : "Output of the executed command.\r\nThis is a Object", "Kind" : "Output", "HasDefaultValue" : false, "DefaultValue" : null, "IsRequired" : false, "IsSelected" : true, "DefaultValueWarning" : "", "BHoM_Guid" : "3e626673-dce1-4dc9-8e09-a82758c8bba1", "Name" : "output" }, { "_t" : "BH.oM.UI.ParamInfo", "DataType" : { "_t" : "System.Type", "Name" : "System.Boolean, mscorlib, Version=4.0.0.0, Culture=neutral, PublicKeyToken=b77a5c561934e089", "_bhomVersion" : "7.2" }, "Description" : "True if the operation was successful.\r\nThis is a Boolean", "Kind" : "Output", "HasDefaultValue" : false, "DefaultValue" : null, "IsRequired" : false, "IsSelected" : true, "DefaultValueWarning" : "", "BHoM_Guid" : "075068be-33f2-4a3c-b2ea-1ce385fdfc4b", "Name" : "success" }] }, "BHoM_Guid" : "02518bde-9a34-42d0-b2d4-e7b9bd7d99ca", "_bhomVersion" : "7.2"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</si>
</sst>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000"/>
    <numFmt numFmtId="166" formatCode="#,##0.0&quot; m³/a&quot;"/>
  </numFmts>
  <fonts count="29" x14ac:knownFonts="1">
    <font>
      <sz val="10"/>
      <color theme="1"/>
      <name val="Arial"/>
      <family val="2"/>
    </font>
    <font>
      <b/>
      <sz val="10"/>
      <color theme="0"/>
      <name val="Arial"/>
      <family val="2"/>
    </font>
    <font>
      <b/>
      <sz val="10"/>
      <color theme="1"/>
      <name val="Arial"/>
      <family val="2"/>
    </font>
    <font>
      <sz val="10"/>
      <color theme="0"/>
      <name val="Arial"/>
      <family val="2"/>
    </font>
    <font>
      <b/>
      <sz val="12"/>
      <color theme="0"/>
      <name val="Arial"/>
      <family val="2"/>
    </font>
    <font>
      <sz val="8"/>
      <color theme="1"/>
      <name val="Arial"/>
      <family val="2"/>
    </font>
    <font>
      <sz val="18"/>
      <color theme="1"/>
      <name val="Arial"/>
      <family val="2"/>
    </font>
    <font>
      <b/>
      <sz val="10"/>
      <color rgb="FF3C4981"/>
      <name val="Arial"/>
      <family val="2"/>
    </font>
    <font>
      <b/>
      <sz val="10"/>
      <color rgb="FF4DAA50"/>
      <name val="Arial"/>
      <family val="2"/>
    </font>
    <font>
      <b/>
      <sz val="10"/>
      <color rgb="FFA5D867"/>
      <name val="Arial"/>
      <family val="2"/>
    </font>
    <font>
      <b/>
      <sz val="10"/>
      <color rgb="FF00ACE9"/>
      <name val="Arial"/>
      <family val="2"/>
    </font>
    <font>
      <vertAlign val="subscript"/>
      <sz val="10"/>
      <color theme="1"/>
      <name val="Arial"/>
      <family val="2"/>
    </font>
    <font>
      <b/>
      <vertAlign val="subscript"/>
      <sz val="10"/>
      <color theme="1"/>
      <name val="Arial"/>
      <family val="2"/>
    </font>
    <font>
      <sz val="10"/>
      <name val="Arial"/>
      <family val="2"/>
    </font>
    <font>
      <b/>
      <sz val="12"/>
      <color theme="1"/>
      <name val="Arial"/>
      <family val="2"/>
    </font>
    <font>
      <b/>
      <sz val="9"/>
      <color theme="1"/>
      <name val="Arial"/>
      <family val="2"/>
    </font>
    <font>
      <b/>
      <sz val="8"/>
      <color theme="1"/>
      <name val="Arial"/>
      <family val="2"/>
    </font>
    <font>
      <b/>
      <sz val="10"/>
      <color theme="3"/>
      <name val="Arial"/>
      <family val="2"/>
    </font>
    <font>
      <b/>
      <sz val="10"/>
      <name val="Arial"/>
      <family val="2"/>
    </font>
    <font>
      <b/>
      <sz val="10"/>
      <color rgb="FF92D050"/>
      <name val="Arial"/>
      <family val="2"/>
    </font>
    <font>
      <sz val="8"/>
      <name val="Arial"/>
      <family val="2"/>
    </font>
    <font>
      <b/>
      <sz val="10"/>
      <color rgb="FF243F80"/>
      <name val="Arial"/>
      <family val="2"/>
    </font>
    <font>
      <b/>
      <sz val="10"/>
      <color theme="4" tint="-0.499984740745262"/>
      <name val="Arial"/>
      <family val="2"/>
    </font>
    <font>
      <b/>
      <vertAlign val="subscript"/>
      <sz val="10"/>
      <color theme="4" tint="-0.499984740745262"/>
      <name val="Arial"/>
      <family val="2"/>
    </font>
    <font>
      <b/>
      <vertAlign val="subscript"/>
      <sz val="9"/>
      <color theme="4" tint="-0.499984740745262"/>
      <name val="Arial"/>
      <family val="2"/>
    </font>
    <font>
      <b/>
      <sz val="9"/>
      <color theme="4" tint="-0.499984740745262"/>
      <name val="Arial"/>
      <family val="2"/>
    </font>
    <font>
      <vertAlign val="subscript"/>
      <sz val="10"/>
      <name val="Arial"/>
      <family val="2"/>
    </font>
    <font>
      <b/>
      <sz val="10"/>
      <color rgb="FF00B0F0"/>
      <name val="Arial"/>
      <family val="2"/>
    </font>
    <font>
      <sz val="10"/>
      <color rgb="FF77787A"/>
      <name val="Arial"/>
      <family val="2"/>
    </font>
  </fonts>
  <fills count="15">
    <fill>
      <patternFill patternType="none"/>
    </fill>
    <fill>
      <patternFill patternType="gray125"/>
    </fill>
    <fill>
      <patternFill patternType="solid">
        <fgColor rgb="FF3C4981"/>
        <bgColor indexed="64"/>
      </patternFill>
    </fill>
    <fill>
      <patternFill patternType="solid">
        <fgColor rgb="FF4DAA50"/>
        <bgColor indexed="64"/>
      </patternFill>
    </fill>
    <fill>
      <patternFill patternType="solid">
        <fgColor rgb="FF9DA4C0"/>
        <bgColor indexed="64"/>
      </patternFill>
    </fill>
    <fill>
      <patternFill patternType="solid">
        <fgColor rgb="FFD47600"/>
        <bgColor indexed="64"/>
      </patternFill>
    </fill>
    <fill>
      <patternFill patternType="solid">
        <fgColor rgb="FFFFFF00"/>
        <bgColor indexed="64"/>
      </patternFill>
    </fill>
    <fill>
      <patternFill patternType="solid">
        <fgColor indexed="6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bgColor indexed="64"/>
      </patternFill>
    </fill>
    <fill>
      <patternFill patternType="solid">
        <fgColor theme="6"/>
        <bgColor indexed="64"/>
      </patternFill>
    </fill>
  </fills>
  <borders count="6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diagonal/>
    </border>
  </borders>
  <cellStyleXfs count="5">
    <xf numFmtId="0" fontId="0" fillId="0" borderId="0"/>
    <xf numFmtId="0" fontId="13" fillId="0" borderId="0"/>
    <xf numFmtId="0" fontId="13" fillId="0" borderId="0"/>
    <xf numFmtId="0" fontId="13" fillId="0" borderId="0"/>
    <xf numFmtId="0" fontId="13" fillId="0" borderId="0"/>
  </cellStyleXfs>
  <cellXfs count="601">
    <xf numFmtId="0" fontId="0" fillId="0" borderId="0" xfId="0"/>
    <xf numFmtId="0" fontId="0" fillId="0" borderId="10" xfId="0" applyBorder="1"/>
    <xf numFmtId="0" fontId="5" fillId="0" borderId="0" xfId="0" applyFont="1" applyAlignment="1">
      <alignment horizontal="left" vertical="center"/>
    </xf>
    <xf numFmtId="0" fontId="14" fillId="0" borderId="0" xfId="0" applyFont="1"/>
    <xf numFmtId="0" fontId="5" fillId="0" borderId="0" xfId="0" applyFont="1"/>
    <xf numFmtId="0" fontId="1" fillId="2" borderId="10" xfId="0" applyFont="1" applyFill="1" applyBorder="1"/>
    <xf numFmtId="0" fontId="16" fillId="8" borderId="10" xfId="0" applyFont="1" applyFill="1" applyBorder="1"/>
    <xf numFmtId="0" fontId="5" fillId="8" borderId="10" xfId="0" applyFont="1" applyFill="1" applyBorder="1"/>
    <xf numFmtId="0" fontId="15" fillId="8" borderId="10" xfId="0" applyFont="1" applyFill="1" applyBorder="1"/>
    <xf numFmtId="164" fontId="0" fillId="8" borderId="10" xfId="0" applyNumberFormat="1" applyFill="1" applyBorder="1" applyAlignment="1">
      <alignment horizontal="center" vertical="center"/>
    </xf>
    <xf numFmtId="0" fontId="0" fillId="0" borderId="10" xfId="0" applyBorder="1" applyAlignment="1">
      <alignment horizontal="center" vertical="center"/>
    </xf>
    <xf numFmtId="0" fontId="1" fillId="2" borderId="10" xfId="0" applyFont="1" applyFill="1" applyBorder="1" applyAlignment="1">
      <alignment horizontal="center" vertical="center"/>
    </xf>
    <xf numFmtId="164" fontId="0" fillId="0" borderId="10" xfId="0" applyNumberFormat="1" applyBorder="1" applyAlignment="1">
      <alignment horizontal="center" vertical="center"/>
    </xf>
    <xf numFmtId="0" fontId="1" fillId="2" borderId="10" xfId="0" applyFont="1" applyFill="1" applyBorder="1" applyAlignment="1">
      <alignment horizontal="center" vertical="center" wrapText="1"/>
    </xf>
    <xf numFmtId="0" fontId="2" fillId="0" borderId="10" xfId="0" applyFont="1" applyBorder="1" applyAlignment="1">
      <alignment horizontal="center" vertical="center"/>
    </xf>
    <xf numFmtId="0" fontId="2" fillId="0" borderId="10" xfId="0" applyFont="1" applyBorder="1" applyAlignment="1">
      <alignment wrapText="1"/>
    </xf>
    <xf numFmtId="16" fontId="2" fillId="0" borderId="10" xfId="0" applyNumberFormat="1" applyFont="1" applyBorder="1" applyAlignment="1">
      <alignment wrapText="1"/>
    </xf>
    <xf numFmtId="0" fontId="0" fillId="0" borderId="0" xfId="0" applyProtection="1">
      <protection hidden="1"/>
    </xf>
    <xf numFmtId="0" fontId="0" fillId="0" borderId="10" xfId="0" applyBorder="1" applyAlignment="1" applyProtection="1">
      <alignment horizontal="center" vertical="center"/>
      <protection hidden="1"/>
    </xf>
    <xf numFmtId="16" fontId="0" fillId="0" borderId="10" xfId="0" quotePrefix="1" applyNumberFormat="1" applyBorder="1" applyAlignment="1" applyProtection="1">
      <alignment horizontal="right" vertical="top"/>
      <protection hidden="1"/>
    </xf>
    <xf numFmtId="164" fontId="0" fillId="0" borderId="10" xfId="0" applyNumberFormat="1" applyBorder="1" applyAlignment="1" applyProtection="1">
      <alignment horizontal="center"/>
      <protection hidden="1"/>
    </xf>
    <xf numFmtId="0" fontId="2" fillId="0" borderId="10" xfId="0" applyFont="1" applyBorder="1" applyAlignment="1" applyProtection="1">
      <alignment horizontal="center" vertical="center"/>
      <protection hidden="1"/>
    </xf>
    <xf numFmtId="2" fontId="0" fillId="0" borderId="10" xfId="0" applyNumberFormat="1" applyBorder="1" applyAlignment="1">
      <alignment horizontal="center" vertical="center"/>
    </xf>
    <xf numFmtId="0" fontId="1" fillId="2" borderId="49" xfId="0" applyFont="1" applyFill="1" applyBorder="1" applyProtection="1">
      <protection hidden="1"/>
    </xf>
    <xf numFmtId="0" fontId="1" fillId="2" borderId="50" xfId="0" applyFont="1" applyFill="1" applyBorder="1" applyProtection="1">
      <protection hidden="1"/>
    </xf>
    <xf numFmtId="0" fontId="1" fillId="2" borderId="51" xfId="0" applyFont="1" applyFill="1" applyBorder="1" applyProtection="1">
      <protection hidden="1"/>
    </xf>
    <xf numFmtId="0" fontId="1" fillId="2" borderId="24" xfId="0" applyFont="1" applyFill="1" applyBorder="1" applyAlignment="1" applyProtection="1">
      <alignment horizontal="center" vertical="center" wrapText="1"/>
      <protection hidden="1"/>
    </xf>
    <xf numFmtId="164" fontId="0" fillId="0" borderId="12" xfId="0" applyNumberFormat="1" applyBorder="1" applyAlignment="1" applyProtection="1">
      <alignment horizontal="center"/>
      <protection hidden="1"/>
    </xf>
    <xf numFmtId="164" fontId="0" fillId="0" borderId="13" xfId="0" applyNumberFormat="1" applyBorder="1" applyAlignment="1" applyProtection="1">
      <alignment horizontal="center"/>
      <protection hidden="1"/>
    </xf>
    <xf numFmtId="164" fontId="0" fillId="0" borderId="15" xfId="0" applyNumberFormat="1" applyBorder="1" applyAlignment="1" applyProtection="1">
      <alignment horizontal="center"/>
      <protection hidden="1"/>
    </xf>
    <xf numFmtId="9" fontId="0" fillId="0" borderId="10" xfId="0" applyNumberFormat="1" applyBorder="1" applyAlignment="1" applyProtection="1">
      <alignment horizontal="center"/>
      <protection hidden="1"/>
    </xf>
    <xf numFmtId="164" fontId="2" fillId="0" borderId="15" xfId="0" applyNumberFormat="1" applyFont="1" applyBorder="1" applyAlignment="1" applyProtection="1">
      <alignment horizontal="center"/>
      <protection hidden="1"/>
    </xf>
    <xf numFmtId="0" fontId="0" fillId="0" borderId="14" xfId="0" applyBorder="1" applyAlignment="1" applyProtection="1">
      <alignment vertical="center"/>
      <protection hidden="1"/>
    </xf>
    <xf numFmtId="0" fontId="5"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5" borderId="13" xfId="0" applyFill="1" applyBorder="1" applyAlignment="1" applyProtection="1">
      <alignment horizontal="left" vertical="center"/>
      <protection hidden="1"/>
    </xf>
    <xf numFmtId="0" fontId="2" fillId="5" borderId="11" xfId="0" applyFont="1" applyFill="1" applyBorder="1" applyAlignment="1" applyProtection="1">
      <alignment horizontal="center" vertical="center"/>
      <protection hidden="1"/>
    </xf>
    <xf numFmtId="164" fontId="0" fillId="5" borderId="42" xfId="0" applyNumberFormat="1" applyFill="1" applyBorder="1" applyAlignment="1" applyProtection="1">
      <alignment horizontal="center" vertical="center"/>
      <protection hidden="1"/>
    </xf>
    <xf numFmtId="0" fontId="0" fillId="5" borderId="15" xfId="0" applyFill="1" applyBorder="1" applyAlignment="1" applyProtection="1">
      <alignment horizontal="left" vertical="center"/>
      <protection hidden="1"/>
    </xf>
    <xf numFmtId="0" fontId="2" fillId="5" borderId="14" xfId="0" applyFont="1" applyFill="1" applyBorder="1" applyAlignment="1" applyProtection="1">
      <alignment horizontal="center" vertical="center"/>
      <protection hidden="1"/>
    </xf>
    <xf numFmtId="0" fontId="2" fillId="5" borderId="16" xfId="0" applyFont="1" applyFill="1" applyBorder="1" applyAlignment="1" applyProtection="1">
      <alignment horizontal="center" vertical="center"/>
      <protection hidden="1"/>
    </xf>
    <xf numFmtId="164" fontId="0" fillId="5" borderId="27" xfId="0" applyNumberFormat="1" applyFill="1" applyBorder="1" applyAlignment="1" applyProtection="1">
      <alignment horizontal="center" vertical="center"/>
      <protection hidden="1"/>
    </xf>
    <xf numFmtId="0" fontId="0" fillId="5" borderId="18" xfId="0" applyFill="1" applyBorder="1" applyAlignment="1" applyProtection="1">
      <alignment horizontal="left" vertical="center"/>
      <protection hidden="1"/>
    </xf>
    <xf numFmtId="0" fontId="2" fillId="5" borderId="16" xfId="0" applyFont="1" applyFill="1" applyBorder="1" applyAlignment="1" applyProtection="1">
      <alignment horizontal="center" vertical="center" wrapText="1"/>
      <protection hidden="1"/>
    </xf>
    <xf numFmtId="0" fontId="2" fillId="0" borderId="0" xfId="0" applyFont="1" applyAlignment="1" applyProtection="1">
      <alignment horizontal="center" vertical="center"/>
      <protection hidden="1"/>
    </xf>
    <xf numFmtId="0" fontId="2" fillId="3" borderId="1" xfId="0" applyFont="1" applyFill="1" applyBorder="1" applyAlignment="1" applyProtection="1">
      <alignment horizontal="center"/>
      <protection hidden="1"/>
    </xf>
    <xf numFmtId="0" fontId="5" fillId="0" borderId="0" xfId="0" applyFont="1" applyAlignment="1" applyProtection="1">
      <alignment horizontal="center" vertical="center"/>
      <protection hidden="1"/>
    </xf>
    <xf numFmtId="0" fontId="1" fillId="4" borderId="16" xfId="0" applyFont="1" applyFill="1" applyBorder="1" applyAlignment="1" applyProtection="1">
      <alignment horizontal="center" vertical="center" wrapText="1"/>
      <protection hidden="1"/>
    </xf>
    <xf numFmtId="0" fontId="1" fillId="4" borderId="17" xfId="0" applyFont="1" applyFill="1" applyBorder="1" applyAlignment="1" applyProtection="1">
      <alignment horizontal="center" vertical="center" wrapText="1"/>
      <protection hidden="1"/>
    </xf>
    <xf numFmtId="0" fontId="2" fillId="0" borderId="11" xfId="0" applyFont="1" applyBorder="1" applyAlignment="1" applyProtection="1">
      <alignment horizontal="center" vertical="top"/>
      <protection hidden="1"/>
    </xf>
    <xf numFmtId="2" fontId="2" fillId="5" borderId="11" xfId="0" applyNumberFormat="1" applyFont="1" applyFill="1" applyBorder="1" applyAlignment="1" applyProtection="1">
      <alignment horizontal="center" vertical="center"/>
      <protection hidden="1"/>
    </xf>
    <xf numFmtId="0" fontId="2" fillId="0" borderId="12" xfId="0" applyFont="1" applyBorder="1" applyAlignment="1" applyProtection="1">
      <alignment horizontal="center" vertical="center"/>
      <protection hidden="1"/>
    </xf>
    <xf numFmtId="0" fontId="0" fillId="0" borderId="15" xfId="0" applyBorder="1" applyAlignment="1" applyProtection="1">
      <alignment vertical="top" wrapText="1"/>
      <protection hidden="1"/>
    </xf>
    <xf numFmtId="0" fontId="8" fillId="0" borderId="15" xfId="0" applyFont="1" applyBorder="1" applyAlignment="1" applyProtection="1">
      <alignment vertical="top"/>
      <protection hidden="1"/>
    </xf>
    <xf numFmtId="0" fontId="8" fillId="0" borderId="15" xfId="0" applyFont="1" applyBorder="1" applyAlignment="1" applyProtection="1">
      <alignment vertical="top" wrapText="1"/>
      <protection hidden="1"/>
    </xf>
    <xf numFmtId="0" fontId="2" fillId="0" borderId="14" xfId="0" applyFont="1" applyBorder="1" applyAlignment="1" applyProtection="1">
      <alignment horizontal="center" vertical="top"/>
      <protection hidden="1"/>
    </xf>
    <xf numFmtId="2" fontId="2" fillId="5" borderId="14" xfId="0" applyNumberFormat="1" applyFont="1" applyFill="1" applyBorder="1" applyAlignment="1" applyProtection="1">
      <alignment horizontal="center" vertical="center"/>
      <protection hidden="1"/>
    </xf>
    <xf numFmtId="0" fontId="0" fillId="0" borderId="10" xfId="0" applyBorder="1" applyAlignment="1" applyProtection="1">
      <alignment horizontal="right" vertical="top"/>
      <protection hidden="1"/>
    </xf>
    <xf numFmtId="0" fontId="0" fillId="0" borderId="18" xfId="0" applyBorder="1" applyAlignment="1" applyProtection="1">
      <alignment vertical="top" wrapText="1"/>
      <protection hidden="1"/>
    </xf>
    <xf numFmtId="0" fontId="0" fillId="0" borderId="17" xfId="0" applyBorder="1" applyAlignment="1" applyProtection="1">
      <alignment horizontal="center" vertical="center"/>
      <protection hidden="1"/>
    </xf>
    <xf numFmtId="0" fontId="0" fillId="0" borderId="10" xfId="0" quotePrefix="1" applyBorder="1" applyAlignment="1" applyProtection="1">
      <alignment vertical="top"/>
      <protection hidden="1"/>
    </xf>
    <xf numFmtId="0" fontId="2" fillId="7" borderId="11" xfId="0" applyFont="1" applyFill="1" applyBorder="1" applyAlignment="1" applyProtection="1">
      <alignment horizontal="center" vertical="top"/>
      <protection hidden="1"/>
    </xf>
    <xf numFmtId="2" fontId="2" fillId="5" borderId="11" xfId="0" applyNumberFormat="1" applyFont="1" applyFill="1" applyBorder="1" applyAlignment="1" applyProtection="1">
      <alignment horizontal="center"/>
      <protection hidden="1"/>
    </xf>
    <xf numFmtId="0" fontId="2" fillId="0" borderId="30" xfId="0" applyFont="1" applyBorder="1" applyAlignment="1" applyProtection="1">
      <alignment horizontal="center" vertical="top"/>
      <protection hidden="1"/>
    </xf>
    <xf numFmtId="2" fontId="2" fillId="5" borderId="30" xfId="0" applyNumberFormat="1" applyFont="1" applyFill="1" applyBorder="1" applyAlignment="1" applyProtection="1">
      <alignment horizontal="center" vertical="center"/>
      <protection hidden="1"/>
    </xf>
    <xf numFmtId="0" fontId="2" fillId="0" borderId="29" xfId="0" applyFont="1" applyBorder="1" applyAlignment="1" applyProtection="1">
      <alignment horizontal="center" vertical="center"/>
      <protection hidden="1"/>
    </xf>
    <xf numFmtId="2" fontId="2" fillId="5" borderId="14" xfId="0" applyNumberFormat="1" applyFont="1" applyFill="1" applyBorder="1" applyAlignment="1" applyProtection="1">
      <alignment horizontal="center"/>
      <protection hidden="1"/>
    </xf>
    <xf numFmtId="0" fontId="0" fillId="1" borderId="10" xfId="0" applyFill="1" applyBorder="1" applyProtection="1">
      <protection hidden="1"/>
    </xf>
    <xf numFmtId="0" fontId="9" fillId="0" borderId="15" xfId="0" applyFont="1" applyBorder="1" applyAlignment="1" applyProtection="1">
      <alignment vertical="top" wrapText="1"/>
      <protection hidden="1"/>
    </xf>
    <xf numFmtId="0" fontId="0" fillId="3" borderId="10" xfId="0"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0" fillId="0" borderId="10" xfId="0" quotePrefix="1" applyBorder="1" applyAlignment="1" applyProtection="1">
      <alignment horizontal="right" vertical="top"/>
      <protection hidden="1"/>
    </xf>
    <xf numFmtId="0" fontId="0" fillId="0" borderId="0" xfId="0" applyAlignment="1" applyProtection="1">
      <alignment vertical="top"/>
      <protection hidden="1"/>
    </xf>
    <xf numFmtId="0" fontId="0" fillId="0" borderId="15" xfId="0" applyBorder="1" applyAlignment="1" applyProtection="1">
      <alignment horizontal="left" vertical="top" wrapText="1"/>
      <protection hidden="1"/>
    </xf>
    <xf numFmtId="0" fontId="0" fillId="0" borderId="36" xfId="0" applyBorder="1" applyAlignment="1" applyProtection="1">
      <alignment horizontal="center" vertical="center"/>
      <protection hidden="1"/>
    </xf>
    <xf numFmtId="0" fontId="2" fillId="0" borderId="36" xfId="0" applyFont="1" applyBorder="1" applyAlignment="1" applyProtection="1">
      <alignment horizontal="center" vertical="center" wrapText="1"/>
      <protection hidden="1"/>
    </xf>
    <xf numFmtId="0" fontId="9" fillId="0" borderId="0" xfId="0" applyFont="1" applyAlignment="1" applyProtection="1">
      <alignment wrapText="1"/>
      <protection hidden="1"/>
    </xf>
    <xf numFmtId="0" fontId="0" fillId="0" borderId="10" xfId="0" applyBorder="1" applyAlignment="1" applyProtection="1">
      <alignment vertical="top" wrapText="1"/>
      <protection hidden="1"/>
    </xf>
    <xf numFmtId="2" fontId="2" fillId="9" borderId="10" xfId="0" applyNumberFormat="1" applyFont="1" applyFill="1" applyBorder="1" applyAlignment="1" applyProtection="1">
      <alignment horizontal="center" vertical="center"/>
      <protection hidden="1"/>
    </xf>
    <xf numFmtId="2" fontId="2" fillId="5" borderId="10" xfId="0" applyNumberFormat="1" applyFont="1" applyFill="1" applyBorder="1" applyAlignment="1" applyProtection="1">
      <alignment horizontal="center" vertical="center"/>
      <protection hidden="1"/>
    </xf>
    <xf numFmtId="0" fontId="3" fillId="10" borderId="10" xfId="0" applyFont="1" applyFill="1" applyBorder="1" applyAlignment="1" applyProtection="1">
      <alignment horizontal="center" vertical="center"/>
      <protection locked="0"/>
    </xf>
    <xf numFmtId="0" fontId="7" fillId="0" borderId="10" xfId="0" applyFont="1" applyBorder="1" applyAlignment="1" applyProtection="1">
      <alignment horizontal="left" vertical="top" wrapText="1"/>
      <protection hidden="1"/>
    </xf>
    <xf numFmtId="0" fontId="0" fillId="10" borderId="10" xfId="0" applyFill="1" applyBorder="1" applyAlignment="1" applyProtection="1">
      <alignment horizontal="center" vertical="center" wrapText="1"/>
      <protection hidden="1"/>
    </xf>
    <xf numFmtId="0" fontId="7" fillId="0" borderId="10" xfId="0" quotePrefix="1" applyFont="1" applyBorder="1" applyAlignment="1" applyProtection="1">
      <alignment horizontal="left" vertical="top" wrapText="1"/>
      <protection hidden="1"/>
    </xf>
    <xf numFmtId="0" fontId="8" fillId="0" borderId="10" xfId="0" applyFont="1" applyBorder="1" applyAlignment="1" applyProtection="1">
      <alignment vertical="top"/>
      <protection hidden="1"/>
    </xf>
    <xf numFmtId="0" fontId="0" fillId="0" borderId="10" xfId="0" quotePrefix="1" applyBorder="1" applyAlignment="1" applyProtection="1">
      <alignment horizontal="left" vertical="top" wrapText="1"/>
      <protection hidden="1"/>
    </xf>
    <xf numFmtId="0" fontId="8" fillId="0" borderId="10" xfId="0" applyFont="1" applyBorder="1" applyAlignment="1" applyProtection="1">
      <alignment vertical="top" wrapText="1"/>
      <protection hidden="1"/>
    </xf>
    <xf numFmtId="0" fontId="7" fillId="0" borderId="10" xfId="0" applyFont="1" applyBorder="1" applyAlignment="1" applyProtection="1">
      <alignment vertical="top" wrapText="1"/>
      <protection hidden="1"/>
    </xf>
    <xf numFmtId="0" fontId="2" fillId="0" borderId="10" xfId="0" applyFont="1" applyBorder="1" applyAlignment="1" applyProtection="1">
      <alignment horizontal="center"/>
      <protection hidden="1"/>
    </xf>
    <xf numFmtId="0" fontId="0" fillId="0" borderId="10" xfId="0" applyBorder="1" applyAlignment="1" applyProtection="1">
      <alignment vertical="top"/>
      <protection hidden="1"/>
    </xf>
    <xf numFmtId="0" fontId="7" fillId="0" borderId="10" xfId="0" applyFont="1" applyBorder="1" applyAlignment="1" applyProtection="1">
      <alignment vertical="top"/>
      <protection hidden="1"/>
    </xf>
    <xf numFmtId="2" fontId="2" fillId="5" borderId="10" xfId="0" applyNumberFormat="1" applyFont="1" applyFill="1" applyBorder="1" applyAlignment="1" applyProtection="1">
      <alignment horizontal="center"/>
      <protection hidden="1"/>
    </xf>
    <xf numFmtId="0" fontId="2" fillId="7" borderId="10" xfId="0" applyFont="1" applyFill="1" applyBorder="1" applyAlignment="1" applyProtection="1">
      <alignment horizontal="center"/>
      <protection hidden="1"/>
    </xf>
    <xf numFmtId="0" fontId="0" fillId="0" borderId="10" xfId="0" applyBorder="1" applyAlignment="1" applyProtection="1">
      <alignment horizontal="left" vertical="top" wrapText="1"/>
      <protection hidden="1"/>
    </xf>
    <xf numFmtId="0" fontId="2" fillId="0" borderId="10" xfId="0" applyFont="1" applyBorder="1" applyAlignment="1" applyProtection="1">
      <alignment horizontal="center" vertical="center" wrapText="1"/>
      <protection hidden="1"/>
    </xf>
    <xf numFmtId="0" fontId="9" fillId="0" borderId="10" xfId="0" applyFont="1" applyBorder="1" applyAlignment="1" applyProtection="1">
      <alignment vertical="top" wrapText="1"/>
      <protection hidden="1"/>
    </xf>
    <xf numFmtId="0" fontId="2" fillId="7" borderId="14" xfId="0" applyFont="1" applyFill="1" applyBorder="1" applyAlignment="1" applyProtection="1">
      <alignment horizontal="center" vertical="top"/>
      <protection hidden="1"/>
    </xf>
    <xf numFmtId="0" fontId="0" fillId="0" borderId="17" xfId="0" applyBorder="1" applyAlignment="1" applyProtection="1">
      <alignment vertical="top" wrapText="1"/>
      <protection hidden="1"/>
    </xf>
    <xf numFmtId="0" fontId="0" fillId="10" borderId="17" xfId="0" applyFill="1" applyBorder="1" applyAlignment="1" applyProtection="1">
      <alignment horizontal="center" vertical="center" wrapText="1"/>
      <protection hidden="1"/>
    </xf>
    <xf numFmtId="0" fontId="3" fillId="10" borderId="17" xfId="0" applyFont="1" applyFill="1" applyBorder="1" applyAlignment="1" applyProtection="1">
      <alignment horizontal="center" vertical="center"/>
      <protection locked="0"/>
    </xf>
    <xf numFmtId="2" fontId="2" fillId="9" borderId="29" xfId="0" applyNumberFormat="1" applyFont="1" applyFill="1" applyBorder="1" applyAlignment="1" applyProtection="1">
      <alignment horizontal="center" vertical="center"/>
      <protection hidden="1"/>
    </xf>
    <xf numFmtId="2" fontId="2" fillId="5" borderId="29" xfId="0" applyNumberFormat="1" applyFont="1" applyFill="1" applyBorder="1" applyAlignment="1" applyProtection="1">
      <alignment horizontal="center" vertical="center"/>
      <protection hidden="1"/>
    </xf>
    <xf numFmtId="0" fontId="3" fillId="10" borderId="29" xfId="0" applyFont="1" applyFill="1" applyBorder="1" applyAlignment="1" applyProtection="1">
      <alignment horizontal="center" vertical="center"/>
      <protection locked="0"/>
    </xf>
    <xf numFmtId="2" fontId="2" fillId="11" borderId="29" xfId="0" applyNumberFormat="1" applyFont="1" applyFill="1" applyBorder="1" applyAlignment="1" applyProtection="1">
      <alignment horizontal="center" vertical="center"/>
      <protection hidden="1"/>
    </xf>
    <xf numFmtId="0" fontId="0" fillId="12" borderId="10" xfId="0" applyFill="1" applyBorder="1" applyAlignment="1" applyProtection="1">
      <alignment horizontal="center" vertical="center" wrapText="1"/>
      <protection hidden="1"/>
    </xf>
    <xf numFmtId="2" fontId="2" fillId="11" borderId="10" xfId="0" applyNumberFormat="1" applyFont="1" applyFill="1" applyBorder="1" applyAlignment="1" applyProtection="1">
      <alignment horizontal="center" vertical="center"/>
      <protection hidden="1"/>
    </xf>
    <xf numFmtId="0" fontId="3" fillId="12" borderId="10" xfId="0" applyFont="1" applyFill="1" applyBorder="1" applyAlignment="1" applyProtection="1">
      <alignment horizontal="center" vertical="center"/>
      <protection locked="0"/>
    </xf>
    <xf numFmtId="0" fontId="0" fillId="12" borderId="17" xfId="0" applyFill="1" applyBorder="1" applyAlignment="1" applyProtection="1">
      <alignment horizontal="center" vertical="center" wrapText="1"/>
      <protection hidden="1"/>
    </xf>
    <xf numFmtId="0" fontId="3" fillId="12" borderId="17" xfId="0" applyFont="1" applyFill="1" applyBorder="1" applyAlignment="1" applyProtection="1">
      <alignment horizontal="center" vertical="center"/>
      <protection locked="0"/>
    </xf>
    <xf numFmtId="0" fontId="3" fillId="12" borderId="29" xfId="0" applyFont="1" applyFill="1" applyBorder="1" applyAlignment="1" applyProtection="1">
      <alignment horizontal="center" vertical="center"/>
      <protection locked="0"/>
    </xf>
    <xf numFmtId="0" fontId="0" fillId="0" borderId="10" xfId="0" applyBorder="1" applyAlignment="1" applyProtection="1">
      <alignment horizontal="left" vertical="center" wrapText="1"/>
      <protection hidden="1"/>
    </xf>
    <xf numFmtId="0" fontId="0" fillId="0" borderId="36" xfId="0" applyBorder="1" applyAlignment="1" applyProtection="1">
      <alignment horizontal="left" vertical="center" wrapText="1"/>
      <protection hidden="1"/>
    </xf>
    <xf numFmtId="0" fontId="1" fillId="2" borderId="23" xfId="0" applyFont="1" applyFill="1" applyBorder="1" applyAlignment="1" applyProtection="1">
      <alignment horizontal="center" vertical="center" wrapText="1"/>
      <protection hidden="1"/>
    </xf>
    <xf numFmtId="0" fontId="0" fillId="1" borderId="10" xfId="0" applyFill="1" applyBorder="1" applyAlignment="1" applyProtection="1">
      <alignment horizontal="center" vertical="center"/>
      <protection hidden="1"/>
    </xf>
    <xf numFmtId="0" fontId="2" fillId="0" borderId="10" xfId="0" applyFont="1" applyBorder="1" applyAlignment="1" applyProtection="1">
      <alignment horizontal="left" vertical="top" wrapText="1"/>
      <protection hidden="1"/>
    </xf>
    <xf numFmtId="0" fontId="2" fillId="0" borderId="10" xfId="0" applyFont="1" applyBorder="1" applyAlignment="1" applyProtection="1">
      <alignment horizontal="center" vertical="top"/>
      <protection hidden="1"/>
    </xf>
    <xf numFmtId="0" fontId="2" fillId="0" borderId="10" xfId="0" quotePrefix="1" applyFont="1" applyBorder="1" applyAlignment="1" applyProtection="1">
      <alignment horizontal="left" vertical="top" wrapText="1"/>
      <protection hidden="1"/>
    </xf>
    <xf numFmtId="0" fontId="2" fillId="1" borderId="10" xfId="0" applyFont="1" applyFill="1" applyBorder="1" applyAlignment="1" applyProtection="1">
      <alignment horizontal="center" vertical="center"/>
      <protection hidden="1"/>
    </xf>
    <xf numFmtId="164" fontId="0" fillId="5" borderId="13" xfId="0" applyNumberFormat="1" applyFill="1" applyBorder="1" applyAlignment="1" applyProtection="1">
      <alignment horizontal="center" vertical="center"/>
      <protection hidden="1"/>
    </xf>
    <xf numFmtId="164" fontId="0" fillId="5" borderId="15" xfId="0" applyNumberFormat="1" applyFill="1" applyBorder="1" applyAlignment="1" applyProtection="1">
      <alignment horizontal="center" vertical="center"/>
      <protection hidden="1"/>
    </xf>
    <xf numFmtId="164" fontId="0" fillId="5" borderId="18" xfId="0" applyNumberFormat="1" applyFill="1" applyBorder="1" applyAlignment="1" applyProtection="1">
      <alignment horizontal="center" vertical="center"/>
      <protection hidden="1"/>
    </xf>
    <xf numFmtId="0" fontId="0" fillId="0" borderId="17" xfId="0" quotePrefix="1" applyBorder="1" applyAlignment="1" applyProtection="1">
      <alignment horizontal="right" vertical="top"/>
      <protection hidden="1"/>
    </xf>
    <xf numFmtId="0" fontId="2" fillId="0" borderId="10" xfId="0" applyFont="1" applyBorder="1" applyAlignment="1" applyProtection="1">
      <alignment vertical="top"/>
      <protection hidden="1"/>
    </xf>
    <xf numFmtId="0" fontId="0" fillId="1" borderId="58" xfId="0" applyFill="1" applyBorder="1" applyAlignment="1" applyProtection="1">
      <alignment horizontal="center"/>
      <protection hidden="1"/>
    </xf>
    <xf numFmtId="0" fontId="2" fillId="0" borderId="37" xfId="0" applyFont="1" applyBorder="1" applyAlignment="1" applyProtection="1">
      <alignment horizontal="right" vertical="top"/>
      <protection hidden="1"/>
    </xf>
    <xf numFmtId="0" fontId="2" fillId="0" borderId="10" xfId="0" applyFont="1" applyBorder="1" applyAlignment="1" applyProtection="1">
      <alignment horizontal="right" vertical="top"/>
      <protection hidden="1"/>
    </xf>
    <xf numFmtId="0" fontId="0" fillId="1" borderId="10" xfId="0" applyFill="1" applyBorder="1" applyAlignment="1" applyProtection="1">
      <alignment horizontal="center"/>
      <protection hidden="1"/>
    </xf>
    <xf numFmtId="0" fontId="2" fillId="0" borderId="10" xfId="0" quotePrefix="1" applyFont="1" applyBorder="1" applyAlignment="1" applyProtection="1">
      <alignment horizontal="right" vertical="top"/>
      <protection hidden="1"/>
    </xf>
    <xf numFmtId="0" fontId="0" fillId="0" borderId="29" xfId="0" applyBorder="1" applyAlignment="1" applyProtection="1">
      <alignment horizontal="center" vertical="center"/>
      <protection hidden="1"/>
    </xf>
    <xf numFmtId="0" fontId="0" fillId="1" borderId="10" xfId="0" applyFill="1" applyBorder="1" applyAlignment="1" applyProtection="1">
      <alignment vertical="center"/>
      <protection hidden="1"/>
    </xf>
    <xf numFmtId="0" fontId="5" fillId="0" borderId="0" xfId="0" applyFont="1" applyAlignment="1" applyProtection="1">
      <alignment horizontal="left" vertical="center"/>
      <protection hidden="1"/>
    </xf>
    <xf numFmtId="0" fontId="0" fillId="0" borderId="59" xfId="0" applyBorder="1" applyProtection="1">
      <protection hidden="1"/>
    </xf>
    <xf numFmtId="0" fontId="2" fillId="0" borderId="15" xfId="0" applyFont="1" applyBorder="1" applyAlignment="1" applyProtection="1">
      <alignment vertical="top" wrapText="1"/>
      <protection hidden="1"/>
    </xf>
    <xf numFmtId="0" fontId="0" fillId="0" borderId="15" xfId="0" quotePrefix="1" applyBorder="1" applyAlignment="1" applyProtection="1">
      <alignment vertical="top" wrapText="1"/>
      <protection hidden="1"/>
    </xf>
    <xf numFmtId="0" fontId="0" fillId="0" borderId="15" xfId="0" quotePrefix="1" applyBorder="1" applyAlignment="1" applyProtection="1">
      <alignment horizontal="left" vertical="top" wrapText="1"/>
      <protection hidden="1"/>
    </xf>
    <xf numFmtId="0" fontId="13" fillId="0" borderId="15" xfId="0" applyFont="1" applyBorder="1" applyAlignment="1" applyProtection="1">
      <alignment vertical="top" wrapText="1"/>
      <protection hidden="1"/>
    </xf>
    <xf numFmtId="0" fontId="2" fillId="0" borderId="42" xfId="0" applyFont="1" applyBorder="1" applyAlignment="1" applyProtection="1">
      <alignment horizontal="center" vertical="center"/>
      <protection hidden="1"/>
    </xf>
    <xf numFmtId="0" fontId="2" fillId="0" borderId="25" xfId="0" applyFont="1" applyBorder="1" applyAlignment="1" applyProtection="1">
      <alignment horizontal="center" vertical="center"/>
      <protection hidden="1"/>
    </xf>
    <xf numFmtId="0" fontId="0" fillId="0" borderId="25" xfId="0"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2" fillId="1" borderId="14" xfId="0" applyFont="1" applyFill="1" applyBorder="1" applyAlignment="1" applyProtection="1">
      <alignment horizontal="center"/>
      <protection hidden="1"/>
    </xf>
    <xf numFmtId="0" fontId="0" fillId="0" borderId="29" xfId="0" quotePrefix="1" applyBorder="1" applyAlignment="1" applyProtection="1">
      <alignment horizontal="right" vertical="top"/>
      <protection hidden="1"/>
    </xf>
    <xf numFmtId="0" fontId="2" fillId="0" borderId="29" xfId="0" quotePrefix="1" applyFont="1" applyBorder="1" applyAlignment="1" applyProtection="1">
      <alignment horizontal="right" vertical="top"/>
      <protection hidden="1"/>
    </xf>
    <xf numFmtId="0" fontId="18" fillId="0" borderId="36" xfId="0" applyFont="1" applyBorder="1" applyAlignment="1" applyProtection="1">
      <alignment horizontal="right" vertical="top"/>
      <protection hidden="1"/>
    </xf>
    <xf numFmtId="0" fontId="0" fillId="3" borderId="36" xfId="0" applyFill="1" applyBorder="1" applyAlignment="1" applyProtection="1">
      <alignment horizontal="center" vertical="center"/>
      <protection locked="0"/>
    </xf>
    <xf numFmtId="0" fontId="2" fillId="0" borderId="36" xfId="0" applyFont="1" applyBorder="1" applyAlignment="1" applyProtection="1">
      <alignment horizontal="center" vertical="center"/>
      <protection hidden="1"/>
    </xf>
    <xf numFmtId="0" fontId="2" fillId="0" borderId="15" xfId="0" applyFont="1" applyBorder="1" applyAlignment="1" applyProtection="1">
      <alignment horizontal="left" vertical="top" wrapText="1"/>
      <protection hidden="1"/>
    </xf>
    <xf numFmtId="0" fontId="2" fillId="0" borderId="15" xfId="0" applyFont="1" applyBorder="1" applyAlignment="1" applyProtection="1">
      <alignment vertical="top"/>
      <protection hidden="1"/>
    </xf>
    <xf numFmtId="0" fontId="18" fillId="0" borderId="15" xfId="0" applyFont="1" applyBorder="1" applyAlignment="1" applyProtection="1">
      <alignment vertical="top"/>
      <protection hidden="1"/>
    </xf>
    <xf numFmtId="0" fontId="18" fillId="0" borderId="15" xfId="0" applyFont="1" applyBorder="1" applyAlignment="1" applyProtection="1">
      <alignment vertical="top" wrapText="1"/>
      <protection hidden="1"/>
    </xf>
    <xf numFmtId="0" fontId="18" fillId="0" borderId="15" xfId="0" applyFont="1" applyBorder="1" applyAlignment="1" applyProtection="1">
      <alignment horizontal="left" vertical="top" wrapText="1"/>
      <protection hidden="1"/>
    </xf>
    <xf numFmtId="0" fontId="0" fillId="1" borderId="37" xfId="0" applyFill="1" applyBorder="1" applyAlignment="1" applyProtection="1">
      <alignment vertical="center"/>
      <protection hidden="1"/>
    </xf>
    <xf numFmtId="0" fontId="2" fillId="7" borderId="30" xfId="0" applyFont="1" applyFill="1" applyBorder="1" applyAlignment="1" applyProtection="1">
      <alignment horizontal="center" vertical="top"/>
      <protection hidden="1"/>
    </xf>
    <xf numFmtId="2" fontId="2" fillId="5" borderId="63" xfId="0" applyNumberFormat="1" applyFont="1" applyFill="1" applyBorder="1" applyAlignment="1" applyProtection="1">
      <alignment horizontal="center"/>
      <protection hidden="1"/>
    </xf>
    <xf numFmtId="2" fontId="2" fillId="5" borderId="30" xfId="0" applyNumberFormat="1" applyFont="1" applyFill="1" applyBorder="1" applyAlignment="1" applyProtection="1">
      <alignment horizontal="center"/>
      <protection hidden="1"/>
    </xf>
    <xf numFmtId="49" fontId="21" fillId="0" borderId="25" xfId="0" applyNumberFormat="1" applyFont="1" applyBorder="1" applyAlignment="1" applyProtection="1">
      <alignment vertical="top"/>
      <protection hidden="1"/>
    </xf>
    <xf numFmtId="2" fontId="2" fillId="5" borderId="61" xfId="0" applyNumberFormat="1" applyFont="1" applyFill="1" applyBorder="1" applyAlignment="1" applyProtection="1">
      <alignment horizontal="center" vertical="center"/>
      <protection hidden="1"/>
    </xf>
    <xf numFmtId="2" fontId="2" fillId="5" borderId="32" xfId="0" applyNumberFormat="1" applyFont="1" applyFill="1" applyBorder="1" applyAlignment="1" applyProtection="1">
      <alignment horizontal="center" vertical="center"/>
      <protection hidden="1"/>
    </xf>
    <xf numFmtId="0" fontId="18" fillId="3" borderId="15" xfId="0" applyFont="1" applyFill="1" applyBorder="1" applyAlignment="1" applyProtection="1">
      <alignment horizontal="left"/>
      <protection locked="0"/>
    </xf>
    <xf numFmtId="0" fontId="18" fillId="0" borderId="26" xfId="0" applyFont="1" applyBorder="1" applyAlignment="1" applyProtection="1">
      <alignment vertical="top" wrapText="1"/>
      <protection hidden="1"/>
    </xf>
    <xf numFmtId="0" fontId="13" fillId="0" borderId="10" xfId="0" quotePrefix="1" applyFont="1" applyBorder="1" applyAlignment="1" applyProtection="1">
      <alignment horizontal="right" vertical="top"/>
      <protection hidden="1"/>
    </xf>
    <xf numFmtId="0" fontId="13" fillId="0" borderId="25" xfId="0" quotePrefix="1" applyFont="1" applyBorder="1" applyAlignment="1" applyProtection="1">
      <alignment horizontal="right" vertical="top"/>
      <protection hidden="1"/>
    </xf>
    <xf numFmtId="0" fontId="13" fillId="0" borderId="36" xfId="0" quotePrefix="1" applyFont="1" applyBorder="1" applyAlignment="1" applyProtection="1">
      <alignment horizontal="center" vertical="top" wrapText="1"/>
      <protection hidden="1"/>
    </xf>
    <xf numFmtId="0" fontId="13" fillId="0" borderId="10" xfId="0" quotePrefix="1" applyFont="1" applyBorder="1" applyAlignment="1" applyProtection="1">
      <alignment horizontal="right" vertical="top" wrapText="1"/>
      <protection hidden="1"/>
    </xf>
    <xf numFmtId="49" fontId="13" fillId="0" borderId="10" xfId="0" quotePrefix="1" applyNumberFormat="1" applyFont="1" applyBorder="1" applyAlignment="1" applyProtection="1">
      <alignment horizontal="right" vertical="top"/>
      <protection hidden="1"/>
    </xf>
    <xf numFmtId="0" fontId="13" fillId="0" borderId="17" xfId="0" quotePrefix="1" applyFont="1" applyBorder="1" applyAlignment="1" applyProtection="1">
      <alignment horizontal="right" vertical="top"/>
      <protection hidden="1"/>
    </xf>
    <xf numFmtId="0" fontId="13" fillId="0" borderId="18" xfId="0" applyFont="1" applyBorder="1" applyAlignment="1" applyProtection="1">
      <alignment vertical="top" wrapText="1"/>
      <protection hidden="1"/>
    </xf>
    <xf numFmtId="0" fontId="13" fillId="0" borderId="31" xfId="0" applyFont="1" applyBorder="1" applyAlignment="1" applyProtection="1">
      <alignment vertical="top" wrapText="1"/>
      <protection hidden="1"/>
    </xf>
    <xf numFmtId="164" fontId="0" fillId="0" borderId="41" xfId="0" applyNumberFormat="1" applyBorder="1" applyAlignment="1" applyProtection="1">
      <alignment horizontal="center"/>
      <protection hidden="1"/>
    </xf>
    <xf numFmtId="0" fontId="0" fillId="0" borderId="0" xfId="0" applyAlignment="1" applyProtection="1">
      <alignment horizontal="left"/>
      <protection hidden="1"/>
    </xf>
    <xf numFmtId="0" fontId="0" fillId="0" borderId="0" xfId="0" applyAlignment="1" applyProtection="1">
      <alignment horizontal="left" vertical="center"/>
      <protection hidden="1"/>
    </xf>
    <xf numFmtId="0" fontId="1" fillId="2" borderId="49" xfId="0" applyFont="1" applyFill="1" applyBorder="1" applyAlignment="1" applyProtection="1">
      <alignment horizontal="left" vertical="center" wrapText="1"/>
      <protection hidden="1"/>
    </xf>
    <xf numFmtId="0" fontId="2" fillId="3" borderId="50" xfId="0" applyFont="1" applyFill="1" applyBorder="1" applyAlignment="1" applyProtection="1">
      <alignment horizontal="left" vertical="center"/>
      <protection locked="0"/>
    </xf>
    <xf numFmtId="0" fontId="2" fillId="0" borderId="51" xfId="0" applyFont="1" applyBorder="1" applyAlignment="1" applyProtection="1">
      <alignment horizontal="left" vertical="center"/>
      <protection hidden="1"/>
    </xf>
    <xf numFmtId="0" fontId="0" fillId="1" borderId="29" xfId="0" applyFill="1" applyBorder="1" applyAlignment="1" applyProtection="1">
      <alignment horizontal="center" vertical="center"/>
      <protection hidden="1"/>
    </xf>
    <xf numFmtId="0" fontId="0" fillId="3" borderId="29" xfId="0" applyFill="1" applyBorder="1" applyAlignment="1" applyProtection="1">
      <alignment horizontal="center" vertical="center"/>
      <protection locked="0"/>
    </xf>
    <xf numFmtId="0" fontId="2" fillId="0" borderId="25" xfId="0" applyFont="1" applyBorder="1" applyAlignment="1" applyProtection="1">
      <alignment horizontal="center"/>
      <protection hidden="1"/>
    </xf>
    <xf numFmtId="0" fontId="2" fillId="0" borderId="25" xfId="0" applyFont="1" applyBorder="1" applyAlignment="1" applyProtection="1">
      <alignment horizontal="center" vertical="top"/>
      <protection hidden="1"/>
    </xf>
    <xf numFmtId="0" fontId="2" fillId="0" borderId="42" xfId="0" applyFont="1" applyBorder="1" applyAlignment="1" applyProtection="1">
      <alignment horizontal="center"/>
      <protection hidden="1"/>
    </xf>
    <xf numFmtId="0" fontId="2" fillId="7" borderId="62" xfId="0" applyFont="1" applyFill="1" applyBorder="1" applyAlignment="1" applyProtection="1">
      <alignment horizontal="center"/>
      <protection hidden="1"/>
    </xf>
    <xf numFmtId="0" fontId="2" fillId="0" borderId="62" xfId="0" applyFont="1" applyBorder="1" applyAlignment="1" applyProtection="1">
      <alignment horizontal="center"/>
      <protection hidden="1"/>
    </xf>
    <xf numFmtId="0" fontId="0" fillId="1" borderId="25" xfId="0" applyFill="1" applyBorder="1" applyAlignment="1" applyProtection="1">
      <alignment horizontal="center"/>
      <protection hidden="1"/>
    </xf>
    <xf numFmtId="0" fontId="0" fillId="0" borderId="0" xfId="0" applyAlignment="1" applyProtection="1">
      <alignment horizontal="left" vertical="center"/>
      <protection locked="0"/>
    </xf>
    <xf numFmtId="0" fontId="9" fillId="0" borderId="0" xfId="0" applyFont="1" applyAlignment="1" applyProtection="1">
      <alignment horizontal="left" vertical="center" wrapText="1"/>
      <protection locked="0"/>
    </xf>
    <xf numFmtId="0" fontId="0" fillId="0" borderId="0" xfId="0" applyAlignment="1" applyProtection="1">
      <alignment horizontal="left" vertical="center" wrapText="1"/>
      <protection locked="0"/>
    </xf>
    <xf numFmtId="165" fontId="0" fillId="0" borderId="0" xfId="0" applyNumberFormat="1" applyAlignment="1" applyProtection="1">
      <alignment horizontal="left" vertical="center" wrapText="1"/>
      <protection locked="0"/>
    </xf>
    <xf numFmtId="0" fontId="2" fillId="7" borderId="42" xfId="0" applyFont="1" applyFill="1" applyBorder="1" applyAlignment="1" applyProtection="1">
      <alignment horizontal="center"/>
      <protection hidden="1"/>
    </xf>
    <xf numFmtId="0" fontId="0" fillId="0" borderId="0" xfId="0" applyAlignment="1" applyProtection="1">
      <alignment horizontal="center" wrapText="1"/>
      <protection hidden="1"/>
    </xf>
    <xf numFmtId="0" fontId="13" fillId="0" borderId="15" xfId="0" applyFont="1" applyBorder="1" applyAlignment="1" applyProtection="1">
      <alignment horizontal="left" vertical="top" wrapText="1"/>
      <protection hidden="1"/>
    </xf>
    <xf numFmtId="0" fontId="2" fillId="0" borderId="12" xfId="0" applyFont="1" applyBorder="1" applyAlignment="1" applyProtection="1">
      <alignment vertical="top"/>
      <protection hidden="1"/>
    </xf>
    <xf numFmtId="49" fontId="21" fillId="0" borderId="59" xfId="0" applyNumberFormat="1" applyFont="1" applyBorder="1" applyAlignment="1" applyProtection="1">
      <alignment vertical="top"/>
      <protection hidden="1"/>
    </xf>
    <xf numFmtId="0" fontId="18" fillId="0" borderId="0" xfId="0" applyFont="1" applyAlignment="1" applyProtection="1">
      <alignment horizontal="left" vertical="top" wrapText="1"/>
      <protection hidden="1"/>
    </xf>
    <xf numFmtId="0" fontId="0" fillId="0" borderId="0" xfId="0" applyAlignment="1" applyProtection="1">
      <alignment vertical="top" wrapText="1"/>
      <protection hidden="1"/>
    </xf>
    <xf numFmtId="0" fontId="2" fillId="0" borderId="0" xfId="0" applyFont="1" applyAlignment="1" applyProtection="1">
      <alignment vertical="top" wrapText="1"/>
      <protection hidden="1"/>
    </xf>
    <xf numFmtId="49" fontId="21" fillId="0" borderId="59" xfId="0" applyNumberFormat="1" applyFont="1" applyBorder="1" applyAlignment="1" applyProtection="1">
      <alignment horizontal="left" vertical="top"/>
      <protection hidden="1"/>
    </xf>
    <xf numFmtId="0" fontId="0" fillId="0" borderId="59" xfId="0" quotePrefix="1" applyBorder="1" applyAlignment="1" applyProtection="1">
      <alignment vertical="top" wrapText="1"/>
      <protection hidden="1"/>
    </xf>
    <xf numFmtId="49" fontId="21" fillId="0" borderId="0" xfId="0" applyNumberFormat="1" applyFont="1" applyAlignment="1" applyProtection="1">
      <alignment horizontal="left" vertical="top"/>
      <protection hidden="1"/>
    </xf>
    <xf numFmtId="0" fontId="18" fillId="0" borderId="0" xfId="0" quotePrefix="1" applyFont="1" applyAlignment="1" applyProtection="1">
      <alignment horizontal="left" vertical="top" wrapText="1"/>
      <protection hidden="1"/>
    </xf>
    <xf numFmtId="0" fontId="8" fillId="0" borderId="0" xfId="0" quotePrefix="1" applyFont="1" applyAlignment="1" applyProtection="1">
      <alignment horizontal="left" vertical="top"/>
      <protection hidden="1"/>
    </xf>
    <xf numFmtId="0" fontId="8" fillId="0" borderId="0" xfId="0" applyFont="1" applyAlignment="1" applyProtection="1">
      <alignment vertical="top"/>
      <protection hidden="1"/>
    </xf>
    <xf numFmtId="0" fontId="0" fillId="0" borderId="0" xfId="0" quotePrefix="1" applyAlignment="1" applyProtection="1">
      <alignment horizontal="left" vertical="top" wrapText="1"/>
      <protection hidden="1"/>
    </xf>
    <xf numFmtId="0" fontId="8" fillId="0" borderId="0" xfId="0" applyFont="1" applyAlignment="1" applyProtection="1">
      <alignment vertical="top" wrapText="1"/>
      <protection hidden="1"/>
    </xf>
    <xf numFmtId="49" fontId="21" fillId="0" borderId="25" xfId="0" applyNumberFormat="1" applyFont="1" applyBorder="1" applyAlignment="1" applyProtection="1">
      <alignment vertical="top" wrapText="1"/>
      <protection hidden="1"/>
    </xf>
    <xf numFmtId="0" fontId="0" fillId="0" borderId="10" xfId="0" quotePrefix="1" applyBorder="1" applyAlignment="1" applyProtection="1">
      <alignment horizontal="right" vertical="top" wrapText="1"/>
      <protection hidden="1"/>
    </xf>
    <xf numFmtId="0" fontId="8" fillId="0" borderId="10" xfId="0" quotePrefix="1" applyFont="1" applyBorder="1" applyAlignment="1" applyProtection="1">
      <alignment vertical="top" wrapText="1"/>
      <protection hidden="1"/>
    </xf>
    <xf numFmtId="0" fontId="2" fillId="0" borderId="10" xfId="0" applyFont="1" applyBorder="1" applyAlignment="1" applyProtection="1">
      <alignment vertical="top" wrapText="1"/>
      <protection hidden="1"/>
    </xf>
    <xf numFmtId="0" fontId="2" fillId="0" borderId="10" xfId="0" applyFont="1" applyBorder="1" applyAlignment="1" applyProtection="1">
      <alignment horizontal="right" vertical="top" wrapText="1"/>
      <protection hidden="1"/>
    </xf>
    <xf numFmtId="0" fontId="2" fillId="0" borderId="10" xfId="0" quotePrefix="1" applyFont="1" applyBorder="1" applyAlignment="1" applyProtection="1">
      <alignment horizontal="right" vertical="top" wrapText="1"/>
      <protection hidden="1"/>
    </xf>
    <xf numFmtId="49" fontId="21" fillId="0" borderId="10" xfId="0" applyNumberFormat="1" applyFont="1" applyBorder="1" applyAlignment="1" applyProtection="1">
      <alignment vertical="top" wrapText="1"/>
      <protection hidden="1"/>
    </xf>
    <xf numFmtId="0" fontId="18" fillId="0" borderId="10" xfId="0" applyFont="1" applyBorder="1" applyAlignment="1" applyProtection="1">
      <alignment horizontal="left" vertical="top" wrapText="1"/>
      <protection hidden="1"/>
    </xf>
    <xf numFmtId="0" fontId="0" fillId="0" borderId="10" xfId="0" quotePrefix="1" applyBorder="1" applyAlignment="1" applyProtection="1">
      <alignment vertical="top" wrapText="1"/>
      <protection hidden="1"/>
    </xf>
    <xf numFmtId="0" fontId="18" fillId="0" borderId="10" xfId="0" quotePrefix="1" applyFont="1" applyBorder="1" applyAlignment="1" applyProtection="1">
      <alignment horizontal="left" vertical="top" wrapText="1"/>
      <protection hidden="1"/>
    </xf>
    <xf numFmtId="0" fontId="18" fillId="0" borderId="10" xfId="0" applyFont="1" applyBorder="1" applyAlignment="1" applyProtection="1">
      <alignment vertical="top" wrapText="1"/>
      <protection hidden="1"/>
    </xf>
    <xf numFmtId="0" fontId="2" fillId="0" borderId="59" xfId="0" applyFont="1" applyBorder="1" applyAlignment="1" applyProtection="1">
      <alignment horizontal="left" vertical="top"/>
      <protection hidden="1"/>
    </xf>
    <xf numFmtId="0" fontId="0" fillId="0" borderId="0" xfId="0" applyAlignment="1">
      <alignment wrapText="1"/>
    </xf>
    <xf numFmtId="0" fontId="2" fillId="0" borderId="40" xfId="0" applyFont="1" applyBorder="1" applyAlignment="1" applyProtection="1">
      <alignment horizontal="center" vertical="top"/>
      <protection hidden="1"/>
    </xf>
    <xf numFmtId="0" fontId="2" fillId="0" borderId="13" xfId="0" applyFont="1" applyBorder="1" applyAlignment="1" applyProtection="1">
      <alignment vertical="top"/>
      <protection hidden="1"/>
    </xf>
    <xf numFmtId="0" fontId="27" fillId="0" borderId="15" xfId="0" quotePrefix="1" applyFont="1" applyBorder="1" applyAlignment="1" applyProtection="1">
      <alignment horizontal="left" vertical="top" wrapText="1"/>
      <protection hidden="1"/>
    </xf>
    <xf numFmtId="0" fontId="2" fillId="0" borderId="29" xfId="0" applyFont="1" applyBorder="1" applyAlignment="1" applyProtection="1">
      <alignment vertical="top"/>
      <protection hidden="1"/>
    </xf>
    <xf numFmtId="0" fontId="2" fillId="0" borderId="31" xfId="0" applyFont="1" applyBorder="1" applyAlignment="1" applyProtection="1">
      <alignment vertical="top"/>
      <protection hidden="1"/>
    </xf>
    <xf numFmtId="0" fontId="21" fillId="0" borderId="25" xfId="0" applyFont="1" applyBorder="1" applyAlignment="1" applyProtection="1">
      <alignment vertical="top"/>
      <protection hidden="1"/>
    </xf>
    <xf numFmtId="49" fontId="22" fillId="0" borderId="25" xfId="0" applyNumberFormat="1" applyFont="1" applyBorder="1" applyAlignment="1" applyProtection="1">
      <alignment vertical="top" wrapText="1"/>
      <protection hidden="1"/>
    </xf>
    <xf numFmtId="0" fontId="0" fillId="0" borderId="25" xfId="0" applyBorder="1" applyAlignment="1" applyProtection="1">
      <alignment vertical="top" wrapText="1"/>
      <protection hidden="1"/>
    </xf>
    <xf numFmtId="0" fontId="2" fillId="0" borderId="25" xfId="0" applyFont="1" applyBorder="1" applyAlignment="1" applyProtection="1">
      <alignment vertical="top" wrapText="1"/>
      <protection hidden="1"/>
    </xf>
    <xf numFmtId="0" fontId="21" fillId="0" borderId="26" xfId="0" applyFont="1" applyBorder="1" applyAlignment="1" applyProtection="1">
      <alignment vertical="top" wrapText="1"/>
      <protection hidden="1"/>
    </xf>
    <xf numFmtId="0" fontId="18" fillId="0" borderId="25" xfId="0" applyFont="1" applyBorder="1" applyAlignment="1" applyProtection="1">
      <alignment vertical="top" wrapText="1"/>
      <protection hidden="1"/>
    </xf>
    <xf numFmtId="0" fontId="2" fillId="0" borderId="14" xfId="0" applyFont="1" applyBorder="1" applyAlignment="1" applyProtection="1">
      <alignment horizontal="right" vertical="top"/>
      <protection hidden="1"/>
    </xf>
    <xf numFmtId="0" fontId="2" fillId="0" borderId="37" xfId="0" applyFont="1" applyBorder="1" applyAlignment="1" applyProtection="1">
      <alignment vertical="top"/>
      <protection hidden="1"/>
    </xf>
    <xf numFmtId="0" fontId="10" fillId="0" borderId="15" xfId="0" applyFont="1" applyBorder="1" applyAlignment="1" applyProtection="1">
      <alignment vertical="top" wrapText="1"/>
      <protection hidden="1"/>
    </xf>
    <xf numFmtId="0" fontId="2" fillId="0" borderId="15" xfId="0" quotePrefix="1" applyFont="1" applyBorder="1" applyAlignment="1" applyProtection="1">
      <alignment horizontal="left" vertical="top" wrapText="1"/>
      <protection hidden="1"/>
    </xf>
    <xf numFmtId="0" fontId="9" fillId="0" borderId="25" xfId="0" quotePrefix="1" applyFont="1" applyBorder="1" applyAlignment="1" applyProtection="1">
      <alignment vertical="top" wrapText="1"/>
      <protection hidden="1"/>
    </xf>
    <xf numFmtId="0" fontId="2" fillId="0" borderId="11" xfId="0" applyFont="1" applyBorder="1" applyAlignment="1" applyProtection="1">
      <alignment horizontal="right" vertical="top"/>
      <protection hidden="1"/>
    </xf>
    <xf numFmtId="49" fontId="21" fillId="0" borderId="25" xfId="0" applyNumberFormat="1" applyFont="1" applyBorder="1" applyAlignment="1" applyProtection="1">
      <alignment horizontal="left" vertical="top" wrapText="1"/>
      <protection hidden="1"/>
    </xf>
    <xf numFmtId="0" fontId="13" fillId="0" borderId="29" xfId="0" quotePrefix="1" applyFont="1" applyBorder="1" applyAlignment="1" applyProtection="1">
      <alignment horizontal="right" vertical="top"/>
      <protection hidden="1"/>
    </xf>
    <xf numFmtId="0" fontId="0" fillId="0" borderId="0" xfId="0" applyAlignment="1">
      <alignment vertical="top" wrapText="1"/>
    </xf>
    <xf numFmtId="49" fontId="2" fillId="0" borderId="25" xfId="0" applyNumberFormat="1" applyFont="1" applyBorder="1" applyAlignment="1" applyProtection="1">
      <alignment vertical="top" wrapText="1"/>
      <protection hidden="1"/>
    </xf>
    <xf numFmtId="0" fontId="13" fillId="0" borderId="25" xfId="0" applyFont="1" applyBorder="1" applyAlignment="1" applyProtection="1">
      <alignment vertical="top" wrapText="1"/>
      <protection hidden="1"/>
    </xf>
    <xf numFmtId="0" fontId="0" fillId="0" borderId="63" xfId="0" applyBorder="1" applyAlignment="1" applyProtection="1">
      <alignment vertical="top"/>
      <protection hidden="1"/>
    </xf>
    <xf numFmtId="0" fontId="27" fillId="0" borderId="15" xfId="0" applyFont="1" applyBorder="1" applyAlignment="1" applyProtection="1">
      <alignment vertical="top" wrapText="1"/>
      <protection hidden="1"/>
    </xf>
    <xf numFmtId="0" fontId="19" fillId="0" borderId="15" xfId="0" applyFont="1" applyBorder="1" applyAlignment="1" applyProtection="1">
      <alignment vertical="top" wrapText="1"/>
      <protection hidden="1"/>
    </xf>
    <xf numFmtId="0" fontId="13" fillId="0" borderId="0" xfId="0" quotePrefix="1" applyFont="1" applyAlignment="1" applyProtection="1">
      <alignment horizontal="right" vertical="top"/>
      <protection hidden="1"/>
    </xf>
    <xf numFmtId="49" fontId="21" fillId="0" borderId="62" xfId="0" applyNumberFormat="1" applyFont="1" applyBorder="1" applyAlignment="1" applyProtection="1">
      <alignment vertical="top" wrapText="1"/>
      <protection hidden="1"/>
    </xf>
    <xf numFmtId="0" fontId="0" fillId="0" borderId="18" xfId="0" quotePrefix="1" applyBorder="1" applyAlignment="1" applyProtection="1">
      <alignment horizontal="left" vertical="top" wrapText="1"/>
      <protection hidden="1"/>
    </xf>
    <xf numFmtId="0" fontId="13" fillId="0" borderId="54" xfId="0" applyFont="1" applyBorder="1" applyAlignment="1" applyProtection="1">
      <alignment horizontal="left" wrapText="1"/>
      <protection hidden="1"/>
    </xf>
    <xf numFmtId="0" fontId="13" fillId="0" borderId="54" xfId="0" applyFont="1" applyBorder="1" applyAlignment="1" applyProtection="1">
      <alignment vertical="top"/>
      <protection hidden="1"/>
    </xf>
    <xf numFmtId="0" fontId="13" fillId="0" borderId="57" xfId="0" applyFont="1" applyBorder="1" applyAlignment="1" applyProtection="1">
      <alignment vertical="top"/>
      <protection hidden="1"/>
    </xf>
    <xf numFmtId="0" fontId="28" fillId="0" borderId="0" xfId="0" applyFont="1" applyAlignment="1" applyProtection="1">
      <alignment wrapText="1"/>
      <protection hidden="1"/>
    </xf>
    <xf numFmtId="0" fontId="28" fillId="0" borderId="0" xfId="0" applyFont="1" applyAlignment="1" applyProtection="1">
      <alignment vertical="center" wrapText="1"/>
      <protection hidden="1"/>
    </xf>
    <xf numFmtId="0" fontId="2" fillId="0" borderId="12" xfId="0" applyFont="1" applyBorder="1" applyAlignment="1" applyProtection="1">
      <alignment horizontal="center" vertical="center" wrapText="1"/>
      <protection hidden="1"/>
    </xf>
    <xf numFmtId="166" fontId="18" fillId="0" borderId="19" xfId="2" applyNumberFormat="1" applyFont="1" applyBorder="1" applyProtection="1">
      <protection hidden="1"/>
    </xf>
    <xf numFmtId="0" fontId="2" fillId="5" borderId="11" xfId="0" applyFont="1" applyFill="1" applyBorder="1" applyAlignment="1" applyProtection="1">
      <alignment horizontal="center" vertical="center" wrapText="1"/>
      <protection hidden="1"/>
    </xf>
    <xf numFmtId="0" fontId="0" fillId="1" borderId="62" xfId="0" applyFill="1" applyBorder="1" applyAlignment="1" applyProtection="1">
      <alignment horizontal="center"/>
      <protection hidden="1"/>
    </xf>
    <xf numFmtId="0" fontId="2" fillId="0" borderId="37" xfId="0" quotePrefix="1" applyFont="1" applyBorder="1" applyAlignment="1" applyProtection="1">
      <alignment horizontal="right" vertical="top"/>
      <protection hidden="1"/>
    </xf>
    <xf numFmtId="0" fontId="0" fillId="6" borderId="0" xfId="0" applyFill="1"/>
    <xf numFmtId="0" fontId="0" fillId="3" borderId="37" xfId="0" applyFill="1" applyBorder="1" applyAlignment="1" applyProtection="1">
      <alignment horizontal="center" vertical="center"/>
      <protection locked="0"/>
    </xf>
    <xf numFmtId="0" fontId="2" fillId="0" borderId="37" xfId="0" applyFont="1" applyBorder="1" applyAlignment="1" applyProtection="1">
      <alignment horizontal="center" vertical="center"/>
      <protection hidden="1"/>
    </xf>
    <xf numFmtId="49" fontId="21" fillId="0" borderId="15" xfId="0" applyNumberFormat="1" applyFont="1" applyBorder="1" applyAlignment="1" applyProtection="1">
      <alignment vertical="top"/>
      <protection hidden="1"/>
    </xf>
    <xf numFmtId="0" fontId="0" fillId="0" borderId="34" xfId="0" applyBorder="1" applyAlignment="1" applyProtection="1">
      <alignment horizontal="left" vertical="top" wrapText="1"/>
      <protection hidden="1"/>
    </xf>
    <xf numFmtId="164" fontId="0" fillId="5" borderId="57" xfId="0" applyNumberFormat="1" applyFill="1" applyBorder="1" applyAlignment="1" applyProtection="1">
      <alignment horizontal="center" vertical="center"/>
      <protection hidden="1"/>
    </xf>
    <xf numFmtId="164" fontId="0" fillId="5" borderId="26" xfId="0" applyNumberFormat="1" applyFill="1" applyBorder="1" applyAlignment="1" applyProtection="1">
      <alignment horizontal="center" vertical="center"/>
      <protection hidden="1"/>
    </xf>
    <xf numFmtId="164" fontId="0" fillId="5" borderId="28" xfId="0" applyNumberFormat="1" applyFill="1" applyBorder="1" applyAlignment="1" applyProtection="1">
      <alignment horizontal="center" vertical="center"/>
      <protection hidden="1"/>
    </xf>
    <xf numFmtId="0" fontId="2" fillId="5" borderId="49" xfId="0" applyFont="1" applyFill="1" applyBorder="1" applyAlignment="1" applyProtection="1">
      <alignment horizontal="center" vertical="center" wrapText="1"/>
      <protection hidden="1"/>
    </xf>
    <xf numFmtId="0" fontId="2" fillId="5" borderId="1" xfId="0" applyFont="1" applyFill="1" applyBorder="1" applyAlignment="1" applyProtection="1">
      <alignment horizontal="center" vertical="center" wrapText="1"/>
      <protection hidden="1"/>
    </xf>
    <xf numFmtId="164" fontId="0" fillId="5" borderId="54" xfId="0" applyNumberFormat="1" applyFill="1" applyBorder="1" applyAlignment="1" applyProtection="1">
      <alignment horizontal="center" vertical="center"/>
      <protection hidden="1"/>
    </xf>
    <xf numFmtId="164" fontId="0" fillId="5" borderId="56" xfId="0" applyNumberFormat="1" applyFill="1" applyBorder="1" applyAlignment="1" applyProtection="1">
      <alignment horizontal="center" vertical="center"/>
      <protection hidden="1"/>
    </xf>
    <xf numFmtId="0" fontId="0" fillId="0" borderId="14"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15" xfId="0" applyBorder="1" applyAlignment="1" applyProtection="1">
      <alignment horizontal="center"/>
      <protection hidden="1"/>
    </xf>
    <xf numFmtId="0" fontId="2" fillId="0" borderId="25" xfId="0" applyFont="1" applyBorder="1" applyAlignment="1" applyProtection="1">
      <alignment horizontal="center"/>
      <protection hidden="1"/>
    </xf>
    <xf numFmtId="0" fontId="2" fillId="0" borderId="26" xfId="0" applyFont="1" applyBorder="1" applyAlignment="1" applyProtection="1">
      <alignment horizontal="center"/>
      <protection hidden="1"/>
    </xf>
    <xf numFmtId="0" fontId="0" fillId="3" borderId="14"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0" fillId="3" borderId="15" xfId="0" applyFill="1" applyBorder="1" applyAlignment="1" applyProtection="1">
      <alignment horizontal="left"/>
      <protection locked="0"/>
    </xf>
    <xf numFmtId="0" fontId="4" fillId="2" borderId="2" xfId="0" applyFont="1" applyFill="1" applyBorder="1" applyAlignment="1" applyProtection="1">
      <alignment horizontal="center" vertical="center"/>
      <protection hidden="1"/>
    </xf>
    <xf numFmtId="0" fontId="4" fillId="2" borderId="3" xfId="0" applyFont="1" applyFill="1" applyBorder="1" applyAlignment="1" applyProtection="1">
      <alignment horizontal="center" vertical="center"/>
      <protection hidden="1"/>
    </xf>
    <xf numFmtId="0" fontId="4" fillId="2" borderId="4" xfId="0" applyFont="1" applyFill="1" applyBorder="1" applyAlignment="1" applyProtection="1">
      <alignment horizontal="center" vertical="center"/>
      <protection hidden="1"/>
    </xf>
    <xf numFmtId="0" fontId="4" fillId="2" borderId="5" xfId="0" applyFont="1" applyFill="1" applyBorder="1" applyAlignment="1" applyProtection="1">
      <alignment horizontal="center" vertical="center"/>
      <protection hidden="1"/>
    </xf>
    <xf numFmtId="0" fontId="4" fillId="2" borderId="6" xfId="0" applyFont="1" applyFill="1" applyBorder="1" applyAlignment="1" applyProtection="1">
      <alignment horizontal="center" vertical="center"/>
      <protection hidden="1"/>
    </xf>
    <xf numFmtId="0" fontId="4" fillId="2" borderId="7" xfId="0" applyFont="1" applyFill="1" applyBorder="1" applyAlignment="1" applyProtection="1">
      <alignment horizontal="center" vertical="center"/>
      <protection hidden="1"/>
    </xf>
    <xf numFmtId="0" fontId="0" fillId="5" borderId="11" xfId="0" applyFill="1" applyBorder="1" applyAlignment="1" applyProtection="1">
      <alignment horizontal="left"/>
      <protection locked="0"/>
    </xf>
    <xf numFmtId="0" fontId="0" fillId="5" borderId="12" xfId="0" applyFill="1" applyBorder="1" applyAlignment="1" applyProtection="1">
      <alignment horizontal="left"/>
      <protection locked="0"/>
    </xf>
    <xf numFmtId="0" fontId="0" fillId="5" borderId="13" xfId="0" applyFill="1" applyBorder="1" applyAlignment="1" applyProtection="1">
      <alignment horizontal="left"/>
      <protection locked="0"/>
    </xf>
    <xf numFmtId="0" fontId="5" fillId="0" borderId="6" xfId="0" applyFont="1" applyBorder="1" applyAlignment="1" applyProtection="1">
      <alignment horizontal="center" wrapText="1"/>
      <protection hidden="1"/>
    </xf>
    <xf numFmtId="0" fontId="13" fillId="14" borderId="20" xfId="3" applyFill="1" applyBorder="1" applyAlignment="1" applyProtection="1">
      <alignment horizontal="center"/>
      <protection locked="0"/>
    </xf>
    <xf numFmtId="0" fontId="13" fillId="14" borderId="21" xfId="3" applyFill="1" applyBorder="1" applyAlignment="1" applyProtection="1">
      <alignment horizontal="center"/>
      <protection locked="0"/>
    </xf>
    <xf numFmtId="0" fontId="1" fillId="2" borderId="0" xfId="0" applyFont="1" applyFill="1" applyAlignment="1" applyProtection="1">
      <alignment horizontal="left"/>
      <protection hidden="1"/>
    </xf>
    <xf numFmtId="0" fontId="1" fillId="2" borderId="9" xfId="0" applyFont="1" applyFill="1" applyBorder="1" applyAlignment="1" applyProtection="1">
      <alignment horizontal="left"/>
      <protection hidden="1"/>
    </xf>
    <xf numFmtId="0" fontId="0" fillId="0" borderId="0" xfId="0" applyAlignment="1" applyProtection="1">
      <alignment horizontal="left" vertical="center" wrapText="1"/>
      <protection hidden="1"/>
    </xf>
    <xf numFmtId="0" fontId="0" fillId="0" borderId="9" xfId="0" applyBorder="1" applyAlignment="1" applyProtection="1">
      <alignment horizontal="left" vertical="center" wrapText="1"/>
      <protection hidden="1"/>
    </xf>
    <xf numFmtId="0" fontId="3" fillId="3" borderId="10" xfId="0" applyFont="1" applyFill="1" applyBorder="1" applyAlignment="1" applyProtection="1">
      <alignment horizontal="left"/>
      <protection locked="0"/>
    </xf>
    <xf numFmtId="0" fontId="3" fillId="3" borderId="15" xfId="0" applyFont="1" applyFill="1" applyBorder="1" applyAlignment="1" applyProtection="1">
      <alignment horizontal="left"/>
      <protection locked="0"/>
    </xf>
    <xf numFmtId="0" fontId="0" fillId="3" borderId="16" xfId="0" applyFill="1" applyBorder="1" applyAlignment="1" applyProtection="1">
      <alignment horizontal="left"/>
      <protection locked="0"/>
    </xf>
    <xf numFmtId="0" fontId="0" fillId="3" borderId="17" xfId="0" applyFill="1" applyBorder="1" applyAlignment="1" applyProtection="1">
      <alignment horizontal="left"/>
      <protection locked="0"/>
    </xf>
    <xf numFmtId="0" fontId="0" fillId="3" borderId="18" xfId="0" applyFill="1" applyBorder="1" applyAlignment="1" applyProtection="1">
      <alignment horizontal="left"/>
      <protection locked="0"/>
    </xf>
    <xf numFmtId="0" fontId="1" fillId="2" borderId="22" xfId="0" applyFont="1" applyFill="1" applyBorder="1" applyAlignment="1" applyProtection="1">
      <alignment horizontal="center" vertical="center" wrapText="1"/>
      <protection hidden="1"/>
    </xf>
    <xf numFmtId="0" fontId="1" fillId="2" borderId="23" xfId="0" applyFont="1" applyFill="1" applyBorder="1" applyAlignment="1" applyProtection="1">
      <alignment horizontal="center" vertical="center" wrapText="1"/>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0" fillId="0" borderId="14" xfId="0" applyBorder="1" applyAlignment="1" applyProtection="1">
      <alignment horizontal="left"/>
      <protection hidden="1"/>
    </xf>
    <xf numFmtId="0" fontId="0" fillId="0" borderId="10" xfId="0" applyBorder="1" applyAlignment="1" applyProtection="1">
      <alignment horizontal="left"/>
      <protection hidden="1"/>
    </xf>
    <xf numFmtId="0" fontId="0" fillId="0" borderId="16" xfId="0" applyBorder="1" applyAlignment="1" applyProtection="1">
      <alignment horizontal="left"/>
      <protection hidden="1"/>
    </xf>
    <xf numFmtId="0" fontId="0" fillId="0" borderId="17" xfId="0" applyBorder="1" applyAlignment="1" applyProtection="1">
      <alignment horizontal="left"/>
      <protection hidden="1"/>
    </xf>
    <xf numFmtId="0" fontId="0" fillId="0" borderId="10" xfId="0" applyBorder="1" applyAlignment="1" applyProtection="1">
      <alignment horizontal="center" wrapText="1"/>
      <protection hidden="1"/>
    </xf>
    <xf numFmtId="0" fontId="0" fillId="0" borderId="17" xfId="0" applyBorder="1" applyAlignment="1" applyProtection="1">
      <alignment horizontal="center"/>
      <protection hidden="1"/>
    </xf>
    <xf numFmtId="0" fontId="0" fillId="0" borderId="18" xfId="0" applyBorder="1" applyAlignment="1" applyProtection="1">
      <alignment horizontal="center"/>
      <protection hidden="1"/>
    </xf>
    <xf numFmtId="0" fontId="0" fillId="0" borderId="15" xfId="0" applyBorder="1" applyAlignment="1" applyProtection="1">
      <alignment horizontal="left"/>
      <protection hidden="1"/>
    </xf>
    <xf numFmtId="0" fontId="0" fillId="0" borderId="18" xfId="0" applyBorder="1" applyAlignment="1" applyProtection="1">
      <alignment horizontal="left"/>
      <protection hidden="1"/>
    </xf>
    <xf numFmtId="0" fontId="0" fillId="0" borderId="29" xfId="0" applyBorder="1" applyAlignment="1" applyProtection="1">
      <alignment horizontal="center"/>
      <protection hidden="1"/>
    </xf>
    <xf numFmtId="0" fontId="2" fillId="0" borderId="27" xfId="0" applyFont="1" applyBorder="1" applyAlignment="1" applyProtection="1">
      <alignment horizontal="center"/>
      <protection hidden="1"/>
    </xf>
    <xf numFmtId="0" fontId="2" fillId="0" borderId="28" xfId="0" applyFont="1" applyBorder="1" applyAlignment="1" applyProtection="1">
      <alignment horizontal="center"/>
      <protection hidden="1"/>
    </xf>
    <xf numFmtId="0" fontId="1" fillId="2" borderId="19" xfId="0" applyFont="1" applyFill="1" applyBorder="1" applyAlignment="1" applyProtection="1">
      <alignment horizontal="left"/>
      <protection hidden="1"/>
    </xf>
    <xf numFmtId="0" fontId="1" fillId="2" borderId="20" xfId="0" applyFont="1" applyFill="1" applyBorder="1" applyAlignment="1" applyProtection="1">
      <alignment horizontal="left"/>
      <protection hidden="1"/>
    </xf>
    <xf numFmtId="0" fontId="1" fillId="2" borderId="21" xfId="0" applyFont="1" applyFill="1" applyBorder="1" applyAlignment="1" applyProtection="1">
      <alignment horizontal="left"/>
      <protection hidden="1"/>
    </xf>
    <xf numFmtId="0" fontId="2" fillId="0" borderId="12" xfId="0" applyFont="1" applyBorder="1" applyAlignment="1" applyProtection="1">
      <alignment horizontal="center" vertical="center" wrapText="1"/>
      <protection hidden="1"/>
    </xf>
    <xf numFmtId="0" fontId="2" fillId="0" borderId="13"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2" fillId="0" borderId="11" xfId="0" applyFont="1" applyBorder="1" applyAlignment="1" applyProtection="1">
      <alignment horizontal="center" vertical="center" wrapText="1"/>
      <protection hidden="1"/>
    </xf>
    <xf numFmtId="0" fontId="0" fillId="0" borderId="14"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0" fillId="0" borderId="40" xfId="0" applyBorder="1" applyAlignment="1" applyProtection="1">
      <alignment horizontal="left" vertical="center" wrapText="1"/>
      <protection hidden="1"/>
    </xf>
    <xf numFmtId="0" fontId="0" fillId="0" borderId="36" xfId="0" applyBorder="1" applyAlignment="1" applyProtection="1">
      <alignment horizontal="left" vertical="center" wrapText="1"/>
      <protection hidden="1"/>
    </xf>
    <xf numFmtId="0" fontId="0" fillId="0" borderId="43" xfId="0" applyBorder="1" applyAlignment="1" applyProtection="1">
      <alignment horizontal="left"/>
      <protection hidden="1"/>
    </xf>
    <xf numFmtId="0" fontId="0" fillId="0" borderId="44" xfId="0" applyBorder="1" applyAlignment="1" applyProtection="1">
      <alignment horizontal="left"/>
      <protection hidden="1"/>
    </xf>
    <xf numFmtId="0" fontId="0" fillId="0" borderId="45" xfId="0" applyBorder="1" applyAlignment="1" applyProtection="1">
      <alignment horizontal="left"/>
      <protection hidden="1"/>
    </xf>
    <xf numFmtId="0" fontId="0" fillId="0" borderId="25" xfId="0" applyBorder="1" applyAlignment="1" applyProtection="1">
      <alignment horizontal="center" vertical="center" wrapText="1"/>
      <protection hidden="1"/>
    </xf>
    <xf numFmtId="0" fontId="0" fillId="0" borderId="26" xfId="0" applyBorder="1" applyAlignment="1" applyProtection="1">
      <alignment horizontal="center" vertical="center" wrapText="1"/>
      <protection hidden="1"/>
    </xf>
    <xf numFmtId="0" fontId="0" fillId="0" borderId="47" xfId="0" applyBorder="1" applyAlignment="1" applyProtection="1">
      <alignment horizontal="center" vertical="center" wrapText="1"/>
      <protection hidden="1"/>
    </xf>
    <xf numFmtId="0" fontId="0" fillId="0" borderId="48" xfId="0" applyBorder="1" applyAlignment="1" applyProtection="1">
      <alignment horizontal="center" vertical="center" wrapText="1"/>
      <protection hidden="1"/>
    </xf>
    <xf numFmtId="0" fontId="0" fillId="0" borderId="29" xfId="0" applyBorder="1" applyAlignment="1" applyProtection="1">
      <alignment horizontal="left" vertical="center" wrapText="1"/>
      <protection hidden="1"/>
    </xf>
    <xf numFmtId="0" fontId="0" fillId="0" borderId="31" xfId="0" applyBorder="1" applyAlignment="1" applyProtection="1">
      <alignment horizontal="left" vertical="center" wrapText="1"/>
      <protection hidden="1"/>
    </xf>
    <xf numFmtId="0" fontId="0" fillId="0" borderId="15"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30" xfId="0" applyBorder="1" applyAlignment="1" applyProtection="1">
      <alignment horizontal="left" vertical="center"/>
      <protection hidden="1"/>
    </xf>
    <xf numFmtId="0" fontId="0" fillId="0" borderId="14" xfId="0" applyBorder="1" applyAlignment="1" applyProtection="1">
      <alignment horizontal="left" vertical="center"/>
      <protection hidden="1"/>
    </xf>
    <xf numFmtId="0" fontId="0" fillId="0" borderId="40" xfId="0" applyBorder="1" applyAlignment="1" applyProtection="1">
      <alignment horizontal="left" vertical="center"/>
      <protection hidden="1"/>
    </xf>
    <xf numFmtId="0" fontId="0" fillId="0" borderId="46" xfId="0" applyBorder="1" applyAlignment="1" applyProtection="1">
      <alignment horizontal="left" vertical="center" wrapText="1"/>
      <protection hidden="1"/>
    </xf>
    <xf numFmtId="0" fontId="0" fillId="0" borderId="64" xfId="0" applyBorder="1" applyAlignment="1" applyProtection="1">
      <alignment horizontal="left" vertical="center" wrapText="1"/>
      <protection hidden="1"/>
    </xf>
    <xf numFmtId="165" fontId="0" fillId="0" borderId="36" xfId="0" applyNumberFormat="1" applyBorder="1" applyAlignment="1" applyProtection="1">
      <alignment horizontal="center" vertical="top"/>
      <protection hidden="1"/>
    </xf>
    <xf numFmtId="165" fontId="0" fillId="0" borderId="37" xfId="0" applyNumberFormat="1" applyBorder="1" applyAlignment="1" applyProtection="1">
      <alignment horizontal="center" vertical="top"/>
      <protection hidden="1"/>
    </xf>
    <xf numFmtId="165" fontId="0" fillId="0" borderId="29" xfId="0" applyNumberFormat="1" applyBorder="1" applyAlignment="1" applyProtection="1">
      <alignment horizontal="center" vertical="top"/>
      <protection hidden="1"/>
    </xf>
    <xf numFmtId="0" fontId="3" fillId="3" borderId="14" xfId="0" applyFont="1" applyFill="1" applyBorder="1" applyAlignment="1" applyProtection="1">
      <alignment horizontal="left" vertical="center" wrapText="1"/>
      <protection locked="0"/>
    </xf>
    <xf numFmtId="0" fontId="3" fillId="3" borderId="10"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left" vertical="center" wrapText="1"/>
      <protection locked="0"/>
    </xf>
    <xf numFmtId="164" fontId="0" fillId="0" borderId="36" xfId="0" applyNumberFormat="1" applyBorder="1" applyAlignment="1" applyProtection="1">
      <alignment horizontal="center" vertical="top"/>
      <protection hidden="1"/>
    </xf>
    <xf numFmtId="164" fontId="0" fillId="0" borderId="37" xfId="0" applyNumberFormat="1" applyBorder="1" applyAlignment="1" applyProtection="1">
      <alignment horizontal="center" vertical="top"/>
      <protection hidden="1"/>
    </xf>
    <xf numFmtId="0" fontId="0" fillId="1" borderId="40" xfId="0" applyFill="1" applyBorder="1" applyAlignment="1" applyProtection="1">
      <alignment horizontal="center" vertical="top"/>
      <protection hidden="1"/>
    </xf>
    <xf numFmtId="0" fontId="0" fillId="1" borderId="46" xfId="0" applyFill="1" applyBorder="1" applyAlignment="1" applyProtection="1">
      <alignment horizontal="center" vertical="top"/>
      <protection hidden="1"/>
    </xf>
    <xf numFmtId="0" fontId="2" fillId="1" borderId="40" xfId="0" applyFont="1" applyFill="1" applyBorder="1" applyAlignment="1" applyProtection="1">
      <alignment horizontal="center"/>
      <protection hidden="1"/>
    </xf>
    <xf numFmtId="0" fontId="2" fillId="1" borderId="46" xfId="0" applyFont="1" applyFill="1" applyBorder="1" applyAlignment="1" applyProtection="1">
      <alignment horizontal="center"/>
      <protection hidden="1"/>
    </xf>
    <xf numFmtId="0" fontId="0" fillId="1" borderId="47" xfId="0" applyFill="1" applyBorder="1" applyAlignment="1" applyProtection="1">
      <alignment horizontal="center"/>
      <protection hidden="1"/>
    </xf>
    <xf numFmtId="0" fontId="0" fillId="1" borderId="58" xfId="0" applyFill="1" applyBorder="1" applyAlignment="1" applyProtection="1">
      <alignment horizontal="center"/>
      <protection hidden="1"/>
    </xf>
    <xf numFmtId="0" fontId="2" fillId="0" borderId="10" xfId="0" applyFont="1" applyBorder="1" applyAlignment="1" applyProtection="1">
      <alignment horizontal="right" vertical="top"/>
      <protection hidden="1"/>
    </xf>
    <xf numFmtId="0" fontId="21" fillId="0" borderId="25" xfId="0" applyFont="1" applyBorder="1" applyAlignment="1" applyProtection="1">
      <alignment horizontal="left" vertical="top"/>
      <protection hidden="1"/>
    </xf>
    <xf numFmtId="0" fontId="21" fillId="0" borderId="26" xfId="0" applyFont="1" applyBorder="1" applyAlignment="1" applyProtection="1">
      <alignment horizontal="left" vertical="top"/>
      <protection hidden="1"/>
    </xf>
    <xf numFmtId="0" fontId="2" fillId="0" borderId="10" xfId="0" applyFont="1" applyBorder="1" applyAlignment="1" applyProtection="1">
      <alignment horizontal="left" vertical="top"/>
      <protection hidden="1"/>
    </xf>
    <xf numFmtId="0" fontId="2" fillId="0" borderId="15" xfId="0" applyFont="1" applyBorder="1" applyAlignment="1" applyProtection="1">
      <alignment horizontal="left" vertical="top"/>
      <protection hidden="1"/>
    </xf>
    <xf numFmtId="0" fontId="0" fillId="1" borderId="10" xfId="0" applyFill="1" applyBorder="1" applyAlignment="1" applyProtection="1">
      <alignment horizontal="center" vertical="center"/>
      <protection hidden="1"/>
    </xf>
    <xf numFmtId="0" fontId="2" fillId="1" borderId="53" xfId="0" applyFont="1" applyFill="1" applyBorder="1" applyAlignment="1" applyProtection="1">
      <alignment horizontal="center"/>
      <protection hidden="1"/>
    </xf>
    <xf numFmtId="0" fontId="2" fillId="1" borderId="34" xfId="0" applyFont="1" applyFill="1" applyBorder="1" applyAlignment="1" applyProtection="1">
      <alignment horizontal="center"/>
      <protection hidden="1"/>
    </xf>
    <xf numFmtId="0" fontId="2" fillId="0" borderId="36" xfId="0" applyFont="1" applyBorder="1" applyAlignment="1" applyProtection="1">
      <alignment horizontal="right" vertical="top"/>
      <protection hidden="1"/>
    </xf>
    <xf numFmtId="0" fontId="2" fillId="0" borderId="29" xfId="0" applyFont="1" applyBorder="1" applyAlignment="1" applyProtection="1">
      <alignment horizontal="right" vertical="top"/>
      <protection hidden="1"/>
    </xf>
    <xf numFmtId="0" fontId="0" fillId="0" borderId="10" xfId="0" quotePrefix="1" applyBorder="1" applyAlignment="1" applyProtection="1">
      <alignment horizontal="right" vertical="top"/>
      <protection hidden="1"/>
    </xf>
    <xf numFmtId="0" fontId="2" fillId="1" borderId="10" xfId="0" applyFont="1" applyFill="1" applyBorder="1" applyAlignment="1" applyProtection="1">
      <alignment horizontal="center" vertical="center"/>
      <protection hidden="1"/>
    </xf>
    <xf numFmtId="0" fontId="2" fillId="1" borderId="14" xfId="0" applyFont="1" applyFill="1" applyBorder="1" applyAlignment="1" applyProtection="1">
      <alignment horizontal="center"/>
      <protection hidden="1"/>
    </xf>
    <xf numFmtId="0" fontId="0" fillId="1" borderId="10" xfId="0" applyFill="1" applyBorder="1" applyAlignment="1" applyProtection="1">
      <alignment horizontal="center"/>
      <protection hidden="1"/>
    </xf>
    <xf numFmtId="164" fontId="0" fillId="0" borderId="29" xfId="0" applyNumberFormat="1" applyBorder="1" applyAlignment="1" applyProtection="1">
      <alignment horizontal="center" vertical="top"/>
      <protection hidden="1"/>
    </xf>
    <xf numFmtId="0" fontId="0" fillId="1" borderId="62" xfId="0" applyFill="1" applyBorder="1" applyAlignment="1" applyProtection="1">
      <alignment horizontal="center"/>
      <protection hidden="1"/>
    </xf>
    <xf numFmtId="0" fontId="21" fillId="0" borderId="25" xfId="0" applyFont="1" applyBorder="1" applyAlignment="1" applyProtection="1">
      <alignment horizontal="left" vertical="top" wrapText="1"/>
      <protection hidden="1"/>
    </xf>
    <xf numFmtId="0" fontId="21" fillId="0" borderId="26" xfId="0" applyFont="1" applyBorder="1" applyAlignment="1" applyProtection="1">
      <alignment horizontal="left" vertical="top" wrapText="1"/>
      <protection hidden="1"/>
    </xf>
    <xf numFmtId="0" fontId="2" fillId="0" borderId="36" xfId="0" quotePrefix="1" applyFont="1" applyBorder="1" applyAlignment="1" applyProtection="1">
      <alignment horizontal="right" vertical="top"/>
      <protection hidden="1"/>
    </xf>
    <xf numFmtId="0" fontId="0" fillId="1" borderId="30" xfId="0" applyFill="1" applyBorder="1" applyAlignment="1" applyProtection="1">
      <alignment horizontal="center" vertical="top"/>
      <protection hidden="1"/>
    </xf>
    <xf numFmtId="0" fontId="2" fillId="1" borderId="30" xfId="0" applyFont="1" applyFill="1" applyBorder="1" applyAlignment="1" applyProtection="1">
      <alignment horizontal="center"/>
      <protection hidden="1"/>
    </xf>
    <xf numFmtId="0" fontId="0" fillId="1" borderId="36" xfId="0" applyFill="1" applyBorder="1" applyAlignment="1" applyProtection="1">
      <alignment horizontal="center"/>
      <protection hidden="1"/>
    </xf>
    <xf numFmtId="0" fontId="0" fillId="1" borderId="37" xfId="0" applyFill="1" applyBorder="1" applyAlignment="1" applyProtection="1">
      <alignment horizontal="center"/>
      <protection hidden="1"/>
    </xf>
    <xf numFmtId="0" fontId="0" fillId="1" borderId="29" xfId="0" applyFill="1" applyBorder="1" applyAlignment="1" applyProtection="1">
      <alignment horizontal="center"/>
      <protection hidden="1"/>
    </xf>
    <xf numFmtId="0" fontId="0" fillId="1" borderId="14" xfId="0" applyFill="1" applyBorder="1" applyAlignment="1" applyProtection="1">
      <alignment horizontal="center" vertical="top"/>
      <protection hidden="1"/>
    </xf>
    <xf numFmtId="0" fontId="13" fillId="0" borderId="10" xfId="0" quotePrefix="1" applyFont="1" applyBorder="1" applyAlignment="1" applyProtection="1">
      <alignment horizontal="right" vertical="top"/>
      <protection hidden="1"/>
    </xf>
    <xf numFmtId="0" fontId="0" fillId="1" borderId="16" xfId="0" applyFill="1" applyBorder="1" applyAlignment="1" applyProtection="1">
      <alignment horizontal="center" vertical="top"/>
      <protection hidden="1"/>
    </xf>
    <xf numFmtId="0" fontId="2" fillId="1" borderId="16" xfId="0" applyFont="1" applyFill="1" applyBorder="1" applyAlignment="1" applyProtection="1">
      <alignment horizontal="center"/>
      <protection hidden="1"/>
    </xf>
    <xf numFmtId="0" fontId="0" fillId="1" borderId="25" xfId="0" applyFill="1" applyBorder="1" applyAlignment="1" applyProtection="1">
      <alignment horizontal="center"/>
      <protection hidden="1"/>
    </xf>
    <xf numFmtId="0" fontId="0" fillId="1" borderId="27" xfId="0" applyFill="1" applyBorder="1" applyAlignment="1" applyProtection="1">
      <alignment horizontal="center"/>
      <protection hidden="1"/>
    </xf>
    <xf numFmtId="0" fontId="3" fillId="3" borderId="16" xfId="0" applyFont="1" applyFill="1" applyBorder="1" applyAlignment="1" applyProtection="1">
      <alignment horizontal="left" vertical="center" wrapText="1"/>
      <protection locked="0"/>
    </xf>
    <xf numFmtId="0" fontId="3" fillId="3" borderId="17" xfId="0" applyFont="1" applyFill="1" applyBorder="1" applyAlignment="1" applyProtection="1">
      <alignment horizontal="left" vertical="center" wrapText="1"/>
      <protection locked="0"/>
    </xf>
    <xf numFmtId="0" fontId="3" fillId="3" borderId="18" xfId="0" applyFont="1" applyFill="1" applyBorder="1" applyAlignment="1" applyProtection="1">
      <alignment horizontal="left" vertical="center" wrapText="1"/>
      <protection locked="0"/>
    </xf>
    <xf numFmtId="0" fontId="2" fillId="0" borderId="36" xfId="0" applyFont="1" applyBorder="1" applyAlignment="1" applyProtection="1">
      <alignment horizontal="left" vertical="top"/>
      <protection hidden="1"/>
    </xf>
    <xf numFmtId="0" fontId="2" fillId="0" borderId="41" xfId="0" applyFont="1" applyBorder="1" applyAlignment="1" applyProtection="1">
      <alignment horizontal="left" vertical="top"/>
      <protection hidden="1"/>
    </xf>
    <xf numFmtId="0" fontId="2" fillId="0" borderId="12" xfId="0" applyFont="1" applyBorder="1" applyAlignment="1" applyProtection="1">
      <alignment horizontal="right" vertical="top"/>
      <protection hidden="1"/>
    </xf>
    <xf numFmtId="0" fontId="21" fillId="0" borderId="42" xfId="0" applyFont="1" applyBorder="1" applyAlignment="1" applyProtection="1">
      <alignment horizontal="left" vertical="top"/>
      <protection hidden="1"/>
    </xf>
    <xf numFmtId="0" fontId="21" fillId="0" borderId="57" xfId="0" applyFont="1" applyBorder="1" applyAlignment="1" applyProtection="1">
      <alignment horizontal="left" vertical="top"/>
      <protection hidden="1"/>
    </xf>
    <xf numFmtId="0" fontId="2" fillId="0" borderId="17" xfId="0" applyFont="1" applyBorder="1" applyAlignment="1" applyProtection="1">
      <alignment horizontal="right" vertical="top"/>
      <protection hidden="1"/>
    </xf>
    <xf numFmtId="0" fontId="2" fillId="0" borderId="37" xfId="0" applyFont="1" applyBorder="1" applyAlignment="1" applyProtection="1">
      <alignment horizontal="right" vertical="top"/>
      <protection hidden="1"/>
    </xf>
    <xf numFmtId="0" fontId="0" fillId="1" borderId="12" xfId="0" applyFill="1" applyBorder="1" applyAlignment="1" applyProtection="1">
      <alignment horizontal="center"/>
      <protection hidden="1"/>
    </xf>
    <xf numFmtId="0" fontId="2" fillId="0" borderId="10" xfId="0" quotePrefix="1" applyFont="1" applyBorder="1" applyAlignment="1" applyProtection="1">
      <alignment horizontal="right" vertical="top"/>
      <protection hidden="1"/>
    </xf>
    <xf numFmtId="0" fontId="2" fillId="1" borderId="32" xfId="0" applyFont="1" applyFill="1" applyBorder="1" applyAlignment="1" applyProtection="1">
      <alignment horizontal="center"/>
      <protection hidden="1"/>
    </xf>
    <xf numFmtId="0" fontId="2" fillId="1" borderId="65" xfId="0" applyFont="1" applyFill="1" applyBorder="1" applyAlignment="1" applyProtection="1">
      <alignment horizontal="center"/>
      <protection hidden="1"/>
    </xf>
    <xf numFmtId="0" fontId="2" fillId="0" borderId="62" xfId="0" applyFont="1" applyBorder="1" applyAlignment="1" applyProtection="1">
      <alignment horizontal="left" vertical="top"/>
      <protection hidden="1"/>
    </xf>
    <xf numFmtId="0" fontId="2" fillId="0" borderId="59" xfId="0" applyFont="1" applyBorder="1" applyAlignment="1" applyProtection="1">
      <alignment horizontal="left" vertical="top"/>
      <protection hidden="1"/>
    </xf>
    <xf numFmtId="0" fontId="2" fillId="0" borderId="60" xfId="0" applyFont="1" applyBorder="1" applyAlignment="1" applyProtection="1">
      <alignment horizontal="left" vertical="top"/>
      <protection hidden="1"/>
    </xf>
    <xf numFmtId="0" fontId="0" fillId="0" borderId="36" xfId="0" quotePrefix="1" applyBorder="1" applyAlignment="1" applyProtection="1">
      <alignment horizontal="right" vertical="top"/>
      <protection hidden="1"/>
    </xf>
    <xf numFmtId="0" fontId="0" fillId="0" borderId="29" xfId="0" quotePrefix="1" applyBorder="1" applyAlignment="1" applyProtection="1">
      <alignment horizontal="right" vertical="top"/>
      <protection hidden="1"/>
    </xf>
    <xf numFmtId="0" fontId="9" fillId="0" borderId="25" xfId="0" quotePrefix="1" applyFont="1" applyBorder="1" applyAlignment="1" applyProtection="1">
      <alignment horizontal="left" vertical="top" wrapText="1"/>
      <protection hidden="1"/>
    </xf>
    <xf numFmtId="0" fontId="9" fillId="0" borderId="26" xfId="0" quotePrefix="1" applyFont="1" applyBorder="1" applyAlignment="1" applyProtection="1">
      <alignment horizontal="left" vertical="top" wrapText="1"/>
      <protection hidden="1"/>
    </xf>
    <xf numFmtId="0" fontId="1" fillId="2" borderId="16" xfId="0" applyFont="1" applyFill="1" applyBorder="1" applyAlignment="1" applyProtection="1">
      <alignment horizontal="left" vertical="center"/>
      <protection hidden="1"/>
    </xf>
    <xf numFmtId="0" fontId="1" fillId="2" borderId="17" xfId="0" applyFont="1" applyFill="1" applyBorder="1" applyAlignment="1" applyProtection="1">
      <alignment horizontal="left" vertical="center"/>
      <protection hidden="1"/>
    </xf>
    <xf numFmtId="0" fontId="1" fillId="2" borderId="11" xfId="0" applyFont="1" applyFill="1" applyBorder="1" applyAlignment="1" applyProtection="1">
      <alignment horizontal="center" vertical="center"/>
      <protection hidden="1"/>
    </xf>
    <xf numFmtId="0" fontId="1" fillId="2" borderId="16" xfId="0" applyFont="1" applyFill="1" applyBorder="1" applyAlignment="1" applyProtection="1">
      <alignment horizontal="center" vertical="center"/>
      <protection hidden="1"/>
    </xf>
    <xf numFmtId="0" fontId="1" fillId="2" borderId="12" xfId="0" applyFont="1" applyFill="1" applyBorder="1" applyAlignment="1" applyProtection="1">
      <alignment horizontal="center" vertical="center"/>
      <protection hidden="1"/>
    </xf>
    <xf numFmtId="0" fontId="1" fillId="2" borderId="17" xfId="0" applyFont="1" applyFill="1" applyBorder="1" applyAlignment="1" applyProtection="1">
      <alignment horizontal="center" vertical="center"/>
      <protection hidden="1"/>
    </xf>
    <xf numFmtId="0" fontId="1" fillId="2" borderId="13" xfId="0" applyFont="1" applyFill="1" applyBorder="1" applyAlignment="1" applyProtection="1">
      <alignment horizontal="center" vertical="center"/>
      <protection hidden="1"/>
    </xf>
    <xf numFmtId="0" fontId="1" fillId="2" borderId="18" xfId="0" applyFont="1" applyFill="1" applyBorder="1" applyAlignment="1" applyProtection="1">
      <alignment horizontal="center" vertical="center"/>
      <protection hidden="1"/>
    </xf>
    <xf numFmtId="0" fontId="2" fillId="5" borderId="19" xfId="0" applyFont="1" applyFill="1" applyBorder="1" applyAlignment="1" applyProtection="1">
      <alignment horizontal="center"/>
      <protection hidden="1"/>
    </xf>
    <xf numFmtId="0" fontId="2" fillId="5" borderId="21" xfId="0" applyFont="1" applyFill="1" applyBorder="1" applyAlignment="1" applyProtection="1">
      <alignment horizontal="center"/>
      <protection hidden="1"/>
    </xf>
    <xf numFmtId="0" fontId="8" fillId="0" borderId="10" xfId="0" quotePrefix="1" applyFont="1" applyBorder="1" applyAlignment="1" applyProtection="1">
      <alignment horizontal="left" vertical="top"/>
      <protection hidden="1"/>
    </xf>
    <xf numFmtId="0" fontId="8" fillId="0" borderId="15" xfId="0" quotePrefix="1" applyFont="1" applyBorder="1" applyAlignment="1" applyProtection="1">
      <alignment horizontal="left" vertical="top"/>
      <protection hidden="1"/>
    </xf>
    <xf numFmtId="0" fontId="0" fillId="0" borderId="37" xfId="0" quotePrefix="1" applyBorder="1" applyAlignment="1" applyProtection="1">
      <alignment horizontal="right" vertical="top"/>
      <protection hidden="1"/>
    </xf>
    <xf numFmtId="0" fontId="0" fillId="1" borderId="47" xfId="0" applyFill="1" applyBorder="1" applyAlignment="1" applyProtection="1">
      <alignment horizontal="center" vertical="center"/>
      <protection hidden="1"/>
    </xf>
    <xf numFmtId="0" fontId="0" fillId="1" borderId="58" xfId="0" applyFill="1" applyBorder="1" applyAlignment="1" applyProtection="1">
      <alignment horizontal="center" vertical="center"/>
      <protection hidden="1"/>
    </xf>
    <xf numFmtId="0" fontId="2" fillId="1" borderId="40" xfId="0" applyFont="1" applyFill="1" applyBorder="1" applyAlignment="1" applyProtection="1">
      <alignment horizontal="center" vertical="center"/>
      <protection hidden="1"/>
    </xf>
    <xf numFmtId="0" fontId="2" fillId="1" borderId="46" xfId="0" applyFont="1" applyFill="1" applyBorder="1" applyAlignment="1" applyProtection="1">
      <alignment horizontal="center" vertical="center"/>
      <protection hidden="1"/>
    </xf>
    <xf numFmtId="0" fontId="0" fillId="0" borderId="0" xfId="0" applyAlignment="1" applyProtection="1">
      <alignment horizontal="center" wrapText="1"/>
      <protection hidden="1"/>
    </xf>
    <xf numFmtId="0" fontId="6" fillId="6" borderId="2" xfId="0" applyFont="1" applyFill="1" applyBorder="1" applyAlignment="1" applyProtection="1">
      <alignment horizontal="center" vertical="center"/>
      <protection hidden="1"/>
    </xf>
    <xf numFmtId="0" fontId="6" fillId="6" borderId="3" xfId="0" applyFont="1" applyFill="1" applyBorder="1" applyAlignment="1" applyProtection="1">
      <alignment horizontal="center" vertical="center"/>
      <protection hidden="1"/>
    </xf>
    <xf numFmtId="0" fontId="6" fillId="6" borderId="4" xfId="0" applyFont="1" applyFill="1" applyBorder="1" applyAlignment="1" applyProtection="1">
      <alignment horizontal="center" vertical="center"/>
      <protection hidden="1"/>
    </xf>
    <xf numFmtId="0" fontId="6" fillId="6" borderId="8" xfId="0" applyFont="1" applyFill="1" applyBorder="1" applyAlignment="1" applyProtection="1">
      <alignment horizontal="center" vertical="center"/>
      <protection hidden="1"/>
    </xf>
    <xf numFmtId="0" fontId="6" fillId="6" borderId="0" xfId="0" applyFont="1" applyFill="1" applyAlignment="1" applyProtection="1">
      <alignment horizontal="center" vertical="center"/>
      <protection hidden="1"/>
    </xf>
    <xf numFmtId="0" fontId="6" fillId="6" borderId="9" xfId="0" applyFont="1" applyFill="1" applyBorder="1" applyAlignment="1" applyProtection="1">
      <alignment horizontal="center" vertical="center"/>
      <protection hidden="1"/>
    </xf>
    <xf numFmtId="0" fontId="6" fillId="6" borderId="5" xfId="0" applyFont="1" applyFill="1" applyBorder="1" applyAlignment="1" applyProtection="1">
      <alignment horizontal="center" vertical="center"/>
      <protection hidden="1"/>
    </xf>
    <xf numFmtId="0" fontId="6" fillId="6" borderId="6" xfId="0" applyFont="1" applyFill="1" applyBorder="1" applyAlignment="1" applyProtection="1">
      <alignment horizontal="center" vertical="center"/>
      <protection hidden="1"/>
    </xf>
    <xf numFmtId="0" fontId="6" fillId="6" borderId="7" xfId="0" applyFont="1" applyFill="1" applyBorder="1" applyAlignment="1" applyProtection="1">
      <alignment horizontal="center" vertical="center"/>
      <protection hidden="1"/>
    </xf>
    <xf numFmtId="0" fontId="2" fillId="0" borderId="19" xfId="0" applyFont="1" applyBorder="1" applyAlignment="1" applyProtection="1">
      <alignment horizontal="center"/>
      <protection hidden="1"/>
    </xf>
    <xf numFmtId="0" fontId="2" fillId="0" borderId="20" xfId="0" applyFont="1" applyBorder="1" applyAlignment="1" applyProtection="1">
      <alignment horizontal="center"/>
      <protection hidden="1"/>
    </xf>
    <xf numFmtId="0" fontId="2" fillId="0" borderId="38" xfId="0" applyFont="1" applyBorder="1" applyAlignment="1" applyProtection="1">
      <alignment horizontal="center"/>
      <protection hidden="1"/>
    </xf>
    <xf numFmtId="0" fontId="2" fillId="6" borderId="12" xfId="0" applyFont="1" applyFill="1" applyBorder="1" applyAlignment="1" applyProtection="1">
      <alignment horizontal="center" vertical="center" textRotation="90" wrapText="1"/>
      <protection hidden="1"/>
    </xf>
    <xf numFmtId="0" fontId="2" fillId="6" borderId="36" xfId="0" applyFont="1" applyFill="1" applyBorder="1" applyAlignment="1" applyProtection="1">
      <alignment horizontal="center" vertical="center" textRotation="90" wrapText="1"/>
      <protection hidden="1"/>
    </xf>
    <xf numFmtId="0" fontId="0" fillId="1" borderId="12" xfId="0" applyFill="1" applyBorder="1" applyAlignment="1" applyProtection="1">
      <alignment horizontal="center" vertical="center"/>
      <protection hidden="1"/>
    </xf>
    <xf numFmtId="0" fontId="3" fillId="3" borderId="11" xfId="0" applyFont="1" applyFill="1" applyBorder="1" applyAlignment="1" applyProtection="1">
      <alignment horizontal="left" vertical="center" wrapText="1"/>
      <protection locked="0"/>
    </xf>
    <xf numFmtId="0" fontId="3" fillId="3" borderId="12" xfId="0" applyFont="1" applyFill="1" applyBorder="1" applyAlignment="1" applyProtection="1">
      <alignment horizontal="left" vertical="center" wrapText="1"/>
      <protection locked="0"/>
    </xf>
    <xf numFmtId="0" fontId="3" fillId="3" borderId="13" xfId="0" applyFont="1" applyFill="1" applyBorder="1" applyAlignment="1" applyProtection="1">
      <alignment horizontal="left" vertical="center" wrapText="1"/>
      <protection locked="0"/>
    </xf>
    <xf numFmtId="0" fontId="2" fillId="0" borderId="12" xfId="0" applyFont="1" applyBorder="1" applyAlignment="1" applyProtection="1">
      <alignment horizontal="left" vertical="top"/>
      <protection hidden="1"/>
    </xf>
    <xf numFmtId="0" fontId="2" fillId="0" borderId="13" xfId="0" applyFont="1" applyBorder="1" applyAlignment="1" applyProtection="1">
      <alignment horizontal="left" vertical="top"/>
      <protection hidden="1"/>
    </xf>
    <xf numFmtId="0" fontId="2" fillId="6" borderId="11" xfId="0" applyFont="1" applyFill="1" applyBorder="1" applyAlignment="1" applyProtection="1">
      <alignment horizontal="center" vertical="center" textRotation="90" wrapText="1"/>
      <protection hidden="1"/>
    </xf>
    <xf numFmtId="0" fontId="2" fillId="6" borderId="40" xfId="0" applyFont="1" applyFill="1" applyBorder="1" applyAlignment="1" applyProtection="1">
      <alignment horizontal="center" vertical="center" textRotation="90" wrapText="1"/>
      <protection hidden="1"/>
    </xf>
    <xf numFmtId="0" fontId="1" fillId="2" borderId="13" xfId="0" applyFont="1" applyFill="1" applyBorder="1" applyAlignment="1" applyProtection="1">
      <alignment horizontal="center" vertical="center" textRotation="90" wrapText="1"/>
      <protection hidden="1"/>
    </xf>
    <xf numFmtId="0" fontId="1" fillId="2" borderId="18" xfId="0" applyFont="1" applyFill="1" applyBorder="1" applyAlignment="1" applyProtection="1">
      <alignment horizontal="center" vertical="center" textRotation="90"/>
      <protection hidden="1"/>
    </xf>
    <xf numFmtId="164" fontId="0" fillId="5" borderId="57" xfId="0" applyNumberFormat="1" applyFill="1" applyBorder="1" applyAlignment="1" applyProtection="1">
      <alignment horizontal="center" vertical="center"/>
      <protection hidden="1"/>
    </xf>
    <xf numFmtId="164" fontId="0" fillId="5" borderId="26" xfId="0" applyNumberFormat="1" applyFill="1" applyBorder="1" applyAlignment="1" applyProtection="1">
      <alignment horizontal="center" vertical="center"/>
      <protection hidden="1"/>
    </xf>
    <xf numFmtId="164" fontId="0" fillId="5" borderId="28" xfId="0" applyNumberFormat="1" applyFill="1" applyBorder="1" applyAlignment="1" applyProtection="1">
      <alignment horizontal="center" vertical="center"/>
      <protection hidden="1"/>
    </xf>
    <xf numFmtId="0" fontId="2" fillId="5" borderId="2" xfId="0" applyFont="1" applyFill="1" applyBorder="1" applyAlignment="1" applyProtection="1">
      <alignment horizontal="center" vertical="center" wrapText="1"/>
      <protection hidden="1"/>
    </xf>
    <xf numFmtId="0" fontId="2" fillId="5" borderId="3" xfId="0" applyFont="1" applyFill="1" applyBorder="1" applyAlignment="1" applyProtection="1">
      <alignment horizontal="center" vertical="center" wrapText="1"/>
      <protection hidden="1"/>
    </xf>
    <xf numFmtId="0" fontId="2" fillId="5" borderId="4" xfId="0" applyFont="1" applyFill="1" applyBorder="1" applyAlignment="1" applyProtection="1">
      <alignment horizontal="center" vertical="center" wrapText="1"/>
      <protection hidden="1"/>
    </xf>
    <xf numFmtId="0" fontId="2" fillId="5" borderId="8" xfId="0" applyFont="1" applyFill="1" applyBorder="1" applyAlignment="1" applyProtection="1">
      <alignment horizontal="center" vertical="center" wrapText="1"/>
      <protection hidden="1"/>
    </xf>
    <xf numFmtId="0" fontId="2" fillId="5" borderId="0" xfId="0" applyFont="1" applyFill="1" applyAlignment="1" applyProtection="1">
      <alignment horizontal="center" vertical="center" wrapText="1"/>
      <protection hidden="1"/>
    </xf>
    <xf numFmtId="0" fontId="2" fillId="5" borderId="9" xfId="0" applyFont="1" applyFill="1" applyBorder="1" applyAlignment="1" applyProtection="1">
      <alignment horizontal="center" vertical="center" wrapText="1"/>
      <protection hidden="1"/>
    </xf>
    <xf numFmtId="0" fontId="2" fillId="5" borderId="5" xfId="0" applyFont="1" applyFill="1" applyBorder="1" applyAlignment="1" applyProtection="1">
      <alignment horizontal="center" vertical="center" wrapText="1"/>
      <protection hidden="1"/>
    </xf>
    <xf numFmtId="0" fontId="2" fillId="5" borderId="6" xfId="0" applyFont="1" applyFill="1" applyBorder="1" applyAlignment="1" applyProtection="1">
      <alignment horizontal="center" vertical="center" wrapText="1"/>
      <protection hidden="1"/>
    </xf>
    <xf numFmtId="0" fontId="2" fillId="5" borderId="7" xfId="0" applyFont="1" applyFill="1" applyBorder="1" applyAlignment="1" applyProtection="1">
      <alignment horizontal="center" vertical="center" wrapText="1"/>
      <protection hidden="1"/>
    </xf>
    <xf numFmtId="0" fontId="1" fillId="2" borderId="11" xfId="0" applyFont="1" applyFill="1" applyBorder="1" applyAlignment="1" applyProtection="1">
      <alignment horizontal="left" vertical="center" wrapText="1"/>
      <protection hidden="1"/>
    </xf>
    <xf numFmtId="0" fontId="1" fillId="2" borderId="12" xfId="0" applyFont="1" applyFill="1" applyBorder="1" applyAlignment="1" applyProtection="1">
      <alignment horizontal="left" vertical="center"/>
      <protection hidden="1"/>
    </xf>
    <xf numFmtId="0" fontId="1" fillId="2" borderId="13" xfId="0" applyFont="1" applyFill="1" applyBorder="1" applyAlignment="1" applyProtection="1">
      <alignment horizontal="left" vertical="center"/>
      <protection hidden="1"/>
    </xf>
    <xf numFmtId="0" fontId="1" fillId="2" borderId="40" xfId="0" applyFont="1" applyFill="1" applyBorder="1" applyAlignment="1" applyProtection="1">
      <alignment horizontal="left" vertical="center"/>
      <protection hidden="1"/>
    </xf>
    <xf numFmtId="0" fontId="1" fillId="2" borderId="36" xfId="0" applyFont="1" applyFill="1" applyBorder="1" applyAlignment="1" applyProtection="1">
      <alignment horizontal="left" vertical="center"/>
      <protection hidden="1"/>
    </xf>
    <xf numFmtId="0" fontId="1" fillId="2" borderId="41" xfId="0" applyFont="1" applyFill="1" applyBorder="1" applyAlignment="1" applyProtection="1">
      <alignment horizontal="left" vertical="center"/>
      <protection hidden="1"/>
    </xf>
    <xf numFmtId="0" fontId="2" fillId="0" borderId="21" xfId="0" applyFont="1" applyBorder="1" applyAlignment="1" applyProtection="1">
      <alignment horizontal="center"/>
      <protection hidden="1"/>
    </xf>
    <xf numFmtId="0" fontId="2" fillId="1" borderId="39" xfId="0" applyFont="1" applyFill="1" applyBorder="1" applyProtection="1">
      <protection hidden="1"/>
    </xf>
    <xf numFmtId="0" fontId="2" fillId="1" borderId="20" xfId="0" applyFont="1" applyFill="1" applyBorder="1" applyProtection="1">
      <protection hidden="1"/>
    </xf>
    <xf numFmtId="0" fontId="2" fillId="1" borderId="21" xfId="0" applyFont="1" applyFill="1" applyBorder="1" applyProtection="1">
      <protection hidden="1"/>
    </xf>
    <xf numFmtId="0" fontId="1" fillId="2" borderId="11" xfId="0" applyFont="1" applyFill="1" applyBorder="1" applyAlignment="1" applyProtection="1">
      <alignment horizontal="center" vertical="center" wrapText="1"/>
      <protection hidden="1"/>
    </xf>
    <xf numFmtId="0" fontId="1" fillId="2" borderId="11" xfId="0" applyFont="1" applyFill="1" applyBorder="1" applyAlignment="1" applyProtection="1">
      <alignment horizontal="left" vertical="center"/>
      <protection hidden="1"/>
    </xf>
    <xf numFmtId="0" fontId="1" fillId="2" borderId="14" xfId="0" applyFont="1" applyFill="1" applyBorder="1" applyAlignment="1" applyProtection="1">
      <alignment horizontal="left" vertical="center"/>
      <protection hidden="1"/>
    </xf>
    <xf numFmtId="0" fontId="1" fillId="2" borderId="10" xfId="0" applyFont="1" applyFill="1" applyBorder="1" applyAlignment="1" applyProtection="1">
      <alignment horizontal="left" vertical="center"/>
      <protection hidden="1"/>
    </xf>
    <xf numFmtId="0" fontId="2" fillId="6" borderId="13" xfId="0" applyFont="1" applyFill="1" applyBorder="1" applyAlignment="1" applyProtection="1">
      <alignment horizontal="center" vertical="center" textRotation="90" wrapText="1"/>
      <protection hidden="1"/>
    </xf>
    <xf numFmtId="0" fontId="2" fillId="6" borderId="41" xfId="0" applyFont="1" applyFill="1" applyBorder="1" applyAlignment="1" applyProtection="1">
      <alignment horizontal="center" vertical="center" textRotation="90" wrapText="1"/>
      <protection hidden="1"/>
    </xf>
    <xf numFmtId="0" fontId="8" fillId="0" borderId="25" xfId="0" applyFont="1" applyBorder="1" applyAlignment="1" applyProtection="1">
      <alignment horizontal="left" vertical="top" wrapText="1"/>
      <protection hidden="1"/>
    </xf>
    <xf numFmtId="0" fontId="8" fillId="0" borderId="26" xfId="0" applyFont="1" applyBorder="1" applyAlignment="1" applyProtection="1">
      <alignment horizontal="left" vertical="top" wrapText="1"/>
      <protection hidden="1"/>
    </xf>
    <xf numFmtId="164" fontId="0" fillId="0" borderId="10" xfId="0" applyNumberFormat="1" applyBorder="1" applyAlignment="1" applyProtection="1">
      <alignment horizontal="center" vertical="top"/>
      <protection hidden="1"/>
    </xf>
    <xf numFmtId="0" fontId="0" fillId="0" borderId="37" xfId="0" applyBorder="1" applyAlignment="1" applyProtection="1">
      <alignment horizontal="center" vertical="top"/>
      <protection hidden="1"/>
    </xf>
    <xf numFmtId="0" fontId="0" fillId="0" borderId="29" xfId="0" applyBorder="1" applyAlignment="1" applyProtection="1">
      <alignment horizontal="center" vertical="top"/>
      <protection hidden="1"/>
    </xf>
    <xf numFmtId="0" fontId="2" fillId="1" borderId="14" xfId="0" applyFont="1" applyFill="1" applyBorder="1" applyAlignment="1" applyProtection="1">
      <alignment horizontal="center" vertical="top"/>
      <protection hidden="1"/>
    </xf>
    <xf numFmtId="0" fontId="0" fillId="1" borderId="25" xfId="0" applyFill="1" applyBorder="1" applyAlignment="1" applyProtection="1">
      <alignment horizontal="center" vertical="center"/>
      <protection hidden="1"/>
    </xf>
    <xf numFmtId="0" fontId="2" fillId="0" borderId="29" xfId="0" quotePrefix="1" applyFont="1" applyBorder="1" applyAlignment="1" applyProtection="1">
      <alignment horizontal="right" vertical="top"/>
      <protection hidden="1"/>
    </xf>
    <xf numFmtId="0" fontId="2" fillId="0" borderId="37" xfId="0" quotePrefix="1" applyFont="1" applyBorder="1" applyAlignment="1" applyProtection="1">
      <alignment horizontal="right" vertical="top"/>
      <protection hidden="1"/>
    </xf>
    <xf numFmtId="0" fontId="0" fillId="13" borderId="10" xfId="0" quotePrefix="1" applyFill="1" applyBorder="1" applyAlignment="1" applyProtection="1">
      <alignment horizontal="right" vertical="top"/>
      <protection hidden="1"/>
    </xf>
    <xf numFmtId="0" fontId="2" fillId="1" borderId="63" xfId="0" applyFont="1" applyFill="1" applyBorder="1" applyAlignment="1" applyProtection="1">
      <alignment horizontal="center"/>
      <protection hidden="1"/>
    </xf>
    <xf numFmtId="0" fontId="2" fillId="0" borderId="29" xfId="0" applyFont="1" applyBorder="1" applyAlignment="1" applyProtection="1">
      <alignment horizontal="left" vertical="top"/>
      <protection hidden="1"/>
    </xf>
    <xf numFmtId="0" fontId="2" fillId="0" borderId="31" xfId="0" applyFont="1" applyBorder="1" applyAlignment="1" applyProtection="1">
      <alignment horizontal="left" vertical="top"/>
      <protection hidden="1"/>
    </xf>
    <xf numFmtId="0" fontId="0" fillId="1" borderId="14" xfId="0" applyFill="1" applyBorder="1" applyAlignment="1" applyProtection="1">
      <alignment horizontal="center"/>
      <protection hidden="1"/>
    </xf>
    <xf numFmtId="0" fontId="2" fillId="0" borderId="52" xfId="0" quotePrefix="1" applyFont="1" applyBorder="1" applyAlignment="1" applyProtection="1">
      <alignment horizontal="right" vertical="top"/>
      <protection hidden="1"/>
    </xf>
    <xf numFmtId="0" fontId="0" fillId="1" borderId="23" xfId="0" applyFill="1" applyBorder="1" applyAlignment="1" applyProtection="1">
      <alignment horizontal="center"/>
      <protection hidden="1"/>
    </xf>
    <xf numFmtId="0" fontId="0" fillId="1" borderId="36" xfId="0" applyFill="1" applyBorder="1" applyAlignment="1" applyProtection="1">
      <alignment horizontal="center" vertical="center"/>
      <protection hidden="1"/>
    </xf>
    <xf numFmtId="0" fontId="0" fillId="1" borderId="29" xfId="0" applyFill="1" applyBorder="1" applyAlignment="1" applyProtection="1">
      <alignment horizontal="center" vertical="center"/>
      <protection hidden="1"/>
    </xf>
    <xf numFmtId="10" fontId="0" fillId="0" borderId="36" xfId="0" applyNumberFormat="1" applyBorder="1" applyAlignment="1" applyProtection="1">
      <alignment horizontal="center" vertical="top"/>
      <protection hidden="1"/>
    </xf>
    <xf numFmtId="10" fontId="0" fillId="0" borderId="37" xfId="0" applyNumberFormat="1" applyBorder="1" applyAlignment="1" applyProtection="1">
      <alignment horizontal="center" vertical="top"/>
      <protection hidden="1"/>
    </xf>
    <xf numFmtId="10" fontId="0" fillId="0" borderId="29" xfId="0" applyNumberFormat="1" applyBorder="1" applyAlignment="1" applyProtection="1">
      <alignment horizontal="center" vertical="top"/>
      <protection hidden="1"/>
    </xf>
    <xf numFmtId="165" fontId="0" fillId="0" borderId="10" xfId="0" applyNumberFormat="1" applyBorder="1" applyAlignment="1" applyProtection="1">
      <alignment horizontal="center" vertical="top"/>
      <protection hidden="1"/>
    </xf>
    <xf numFmtId="0" fontId="3" fillId="3" borderId="30" xfId="0" applyFont="1" applyFill="1" applyBorder="1" applyAlignment="1" applyProtection="1">
      <alignment horizontal="left" vertical="center" wrapText="1"/>
      <protection locked="0"/>
    </xf>
    <xf numFmtId="0" fontId="3" fillId="3" borderId="29" xfId="0" applyFont="1" applyFill="1" applyBorder="1" applyAlignment="1" applyProtection="1">
      <alignment horizontal="left" vertical="center" wrapText="1"/>
      <protection locked="0"/>
    </xf>
    <xf numFmtId="0" fontId="3" fillId="3" borderId="31" xfId="0" applyFont="1" applyFill="1" applyBorder="1" applyAlignment="1" applyProtection="1">
      <alignment horizontal="left" vertical="center" wrapText="1"/>
      <protection locked="0"/>
    </xf>
    <xf numFmtId="0" fontId="0" fillId="1" borderId="37" xfId="0" applyFill="1" applyBorder="1" applyAlignment="1" applyProtection="1">
      <alignment horizontal="center" vertical="center"/>
      <protection hidden="1"/>
    </xf>
    <xf numFmtId="0" fontId="0" fillId="1" borderId="41" xfId="0" applyFill="1" applyBorder="1" applyAlignment="1" applyProtection="1">
      <alignment horizontal="center"/>
      <protection hidden="1"/>
    </xf>
    <xf numFmtId="0" fontId="0" fillId="1" borderId="66" xfId="0" applyFill="1" applyBorder="1" applyAlignment="1" applyProtection="1">
      <alignment horizontal="center"/>
      <protection hidden="1"/>
    </xf>
    <xf numFmtId="0" fontId="0" fillId="1" borderId="31" xfId="0" applyFill="1" applyBorder="1" applyAlignment="1" applyProtection="1">
      <alignment horizontal="center"/>
      <protection hidden="1"/>
    </xf>
    <xf numFmtId="0" fontId="0" fillId="1" borderId="11" xfId="0" applyFill="1" applyBorder="1" applyAlignment="1" applyProtection="1">
      <alignment horizontal="center" vertical="top"/>
      <protection hidden="1"/>
    </xf>
    <xf numFmtId="0" fontId="13" fillId="0" borderId="47" xfId="0" quotePrefix="1" applyFont="1" applyBorder="1" applyAlignment="1" applyProtection="1">
      <alignment horizontal="right" vertical="top"/>
      <protection hidden="1"/>
    </xf>
    <xf numFmtId="0" fontId="13" fillId="0" borderId="58" xfId="0" quotePrefix="1" applyFont="1" applyBorder="1" applyAlignment="1" applyProtection="1">
      <alignment horizontal="right" vertical="top"/>
      <protection hidden="1"/>
    </xf>
    <xf numFmtId="0" fontId="13" fillId="0" borderId="62" xfId="0" quotePrefix="1" applyFont="1" applyBorder="1" applyAlignment="1" applyProtection="1">
      <alignment horizontal="right" vertical="top"/>
      <protection hidden="1"/>
    </xf>
    <xf numFmtId="0" fontId="13" fillId="0" borderId="36" xfId="0" quotePrefix="1" applyFont="1" applyBorder="1" applyAlignment="1" applyProtection="1">
      <alignment horizontal="right" vertical="top"/>
      <protection hidden="1"/>
    </xf>
    <xf numFmtId="0" fontId="13" fillId="0" borderId="37" xfId="0" quotePrefix="1" applyFont="1" applyBorder="1" applyAlignment="1" applyProtection="1">
      <alignment horizontal="right" vertical="top"/>
      <protection hidden="1"/>
    </xf>
    <xf numFmtId="0" fontId="13" fillId="0" borderId="29" xfId="0" quotePrefix="1" applyFont="1" applyBorder="1" applyAlignment="1" applyProtection="1">
      <alignment horizontal="right" vertical="top"/>
      <protection hidden="1"/>
    </xf>
    <xf numFmtId="0" fontId="2" fillId="5" borderId="33" xfId="0" applyFont="1" applyFill="1" applyBorder="1" applyAlignment="1" applyProtection="1">
      <alignment horizontal="center" vertical="center" wrapText="1"/>
      <protection hidden="1"/>
    </xf>
    <xf numFmtId="0" fontId="2" fillId="5" borderId="34" xfId="0" applyFont="1" applyFill="1" applyBorder="1" applyAlignment="1" applyProtection="1">
      <alignment horizontal="center" vertical="center" wrapText="1"/>
      <protection hidden="1"/>
    </xf>
    <xf numFmtId="0" fontId="2" fillId="5" borderId="35" xfId="0" applyFont="1" applyFill="1" applyBorder="1" applyAlignment="1" applyProtection="1">
      <alignment horizontal="center" vertical="center" wrapText="1"/>
      <protection hidden="1"/>
    </xf>
    <xf numFmtId="164" fontId="0" fillId="5" borderId="13" xfId="0" applyNumberFormat="1" applyFill="1" applyBorder="1" applyAlignment="1" applyProtection="1">
      <alignment horizontal="center" vertical="center"/>
      <protection hidden="1"/>
    </xf>
    <xf numFmtId="164" fontId="0" fillId="5" borderId="15" xfId="0" applyNumberFormat="1" applyFill="1" applyBorder="1" applyAlignment="1" applyProtection="1">
      <alignment horizontal="center" vertical="center"/>
      <protection hidden="1"/>
    </xf>
    <xf numFmtId="164" fontId="0" fillId="5" borderId="18" xfId="0" applyNumberFormat="1" applyFill="1" applyBorder="1" applyAlignment="1" applyProtection="1">
      <alignment horizontal="center" vertical="center"/>
      <protection hidden="1"/>
    </xf>
    <xf numFmtId="0" fontId="2" fillId="1" borderId="14" xfId="0" applyFont="1" applyFill="1" applyBorder="1" applyAlignment="1" applyProtection="1">
      <alignment horizontal="center" vertical="center"/>
      <protection hidden="1"/>
    </xf>
    <xf numFmtId="0" fontId="2" fillId="1" borderId="30" xfId="0" applyFont="1" applyFill="1" applyBorder="1" applyAlignment="1" applyProtection="1">
      <alignment horizontal="center" vertical="center"/>
      <protection hidden="1"/>
    </xf>
    <xf numFmtId="0" fontId="0" fillId="1" borderId="62" xfId="0" applyFill="1" applyBorder="1" applyAlignment="1" applyProtection="1">
      <alignment horizontal="center" vertical="center"/>
      <protection hidden="1"/>
    </xf>
    <xf numFmtId="0" fontId="2" fillId="6" borderId="10" xfId="0" applyFont="1" applyFill="1" applyBorder="1" applyAlignment="1" applyProtection="1">
      <alignment horizontal="center" vertical="center" textRotation="90" wrapText="1"/>
      <protection hidden="1"/>
    </xf>
    <xf numFmtId="0" fontId="2" fillId="0" borderId="36" xfId="0" applyFont="1" applyBorder="1" applyAlignment="1" applyProtection="1">
      <alignment horizontal="center" vertical="top"/>
      <protection hidden="1"/>
    </xf>
    <xf numFmtId="0" fontId="2" fillId="0" borderId="37" xfId="0" applyFont="1" applyBorder="1" applyAlignment="1" applyProtection="1">
      <alignment horizontal="center" vertical="top"/>
      <protection hidden="1"/>
    </xf>
    <xf numFmtId="0" fontId="2" fillId="0" borderId="29" xfId="0" applyFont="1" applyBorder="1" applyAlignment="1" applyProtection="1">
      <alignment horizontal="center" vertical="top"/>
      <protection hidden="1"/>
    </xf>
    <xf numFmtId="0" fontId="0" fillId="1" borderId="23" xfId="0" applyFill="1" applyBorder="1" applyAlignment="1" applyProtection="1">
      <alignment horizontal="center" vertical="center"/>
      <protection hidden="1"/>
    </xf>
    <xf numFmtId="0" fontId="0" fillId="0" borderId="62" xfId="0" applyBorder="1" applyAlignment="1" applyProtection="1">
      <alignment horizontal="center" vertical="top"/>
      <protection hidden="1"/>
    </xf>
    <xf numFmtId="0" fontId="0" fillId="0" borderId="63" xfId="0" applyBorder="1" applyAlignment="1" applyProtection="1">
      <alignment horizontal="center" vertical="top"/>
      <protection hidden="1"/>
    </xf>
    <xf numFmtId="0" fontId="2" fillId="1" borderId="64" xfId="0" applyFont="1" applyFill="1" applyBorder="1" applyAlignment="1" applyProtection="1">
      <alignment horizontal="center"/>
      <protection hidden="1"/>
    </xf>
    <xf numFmtId="0" fontId="0" fillId="1" borderId="64" xfId="0" applyFill="1" applyBorder="1" applyAlignment="1" applyProtection="1">
      <alignment horizontal="center" vertical="top"/>
      <protection hidden="1"/>
    </xf>
    <xf numFmtId="0" fontId="2" fillId="1" borderId="40" xfId="0" applyFont="1" applyFill="1" applyBorder="1" applyAlignment="1" applyProtection="1">
      <alignment horizontal="center" vertical="top"/>
      <protection hidden="1"/>
    </xf>
    <xf numFmtId="0" fontId="2" fillId="1" borderId="46" xfId="0" applyFont="1" applyFill="1" applyBorder="1" applyAlignment="1" applyProtection="1">
      <alignment horizontal="center" vertical="top"/>
      <protection hidden="1"/>
    </xf>
    <xf numFmtId="0" fontId="0" fillId="1" borderId="40" xfId="0" applyFill="1" applyBorder="1" applyAlignment="1" applyProtection="1">
      <alignment horizontal="center"/>
      <protection hidden="1"/>
    </xf>
    <xf numFmtId="0" fontId="0" fillId="1" borderId="46" xfId="0" applyFill="1" applyBorder="1" applyAlignment="1" applyProtection="1">
      <alignment horizontal="center"/>
      <protection hidden="1"/>
    </xf>
    <xf numFmtId="0" fontId="0" fillId="1" borderId="30" xfId="0" applyFill="1" applyBorder="1" applyAlignment="1" applyProtection="1">
      <alignment horizontal="center"/>
      <protection hidden="1"/>
    </xf>
    <xf numFmtId="0" fontId="8" fillId="0" borderId="25" xfId="0" quotePrefix="1" applyFont="1" applyBorder="1" applyAlignment="1" applyProtection="1">
      <alignment horizontal="left" vertical="top"/>
      <protection hidden="1"/>
    </xf>
    <xf numFmtId="0" fontId="8" fillId="0" borderId="26" xfId="0" quotePrefix="1" applyFont="1" applyBorder="1" applyAlignment="1" applyProtection="1">
      <alignment horizontal="left" vertical="top"/>
      <protection hidden="1"/>
    </xf>
    <xf numFmtId="164" fontId="0" fillId="5" borderId="42" xfId="0" applyNumberFormat="1" applyFill="1" applyBorder="1" applyAlignment="1" applyProtection="1">
      <alignment horizontal="center" vertical="center"/>
      <protection hidden="1"/>
    </xf>
    <xf numFmtId="164" fontId="0" fillId="5" borderId="25" xfId="0" applyNumberFormat="1" applyFill="1" applyBorder="1" applyAlignment="1" applyProtection="1">
      <alignment horizontal="center" vertical="center"/>
      <protection hidden="1"/>
    </xf>
    <xf numFmtId="164" fontId="0" fillId="5" borderId="27" xfId="0" applyNumberFormat="1" applyFill="1" applyBorder="1" applyAlignment="1" applyProtection="1">
      <alignment horizontal="center" vertical="center"/>
      <protection hidden="1"/>
    </xf>
    <xf numFmtId="0" fontId="0" fillId="0" borderId="10" xfId="0" quotePrefix="1" applyBorder="1" applyAlignment="1" applyProtection="1">
      <alignment horizontal="right" vertical="top" wrapText="1"/>
      <protection hidden="1"/>
    </xf>
    <xf numFmtId="0" fontId="2" fillId="0" borderId="10" xfId="0" applyFont="1" applyBorder="1" applyAlignment="1" applyProtection="1">
      <alignment horizontal="right" vertical="top" wrapText="1"/>
      <protection hidden="1"/>
    </xf>
    <xf numFmtId="0" fontId="0" fillId="0" borderId="36" xfId="0" quotePrefix="1" applyBorder="1" applyAlignment="1" applyProtection="1">
      <alignment horizontal="right" vertical="top" wrapText="1"/>
      <protection hidden="1"/>
    </xf>
    <xf numFmtId="0" fontId="0" fillId="0" borderId="37" xfId="0" quotePrefix="1" applyBorder="1" applyAlignment="1" applyProtection="1">
      <alignment horizontal="right" vertical="top" wrapText="1"/>
      <protection hidden="1"/>
    </xf>
    <xf numFmtId="0" fontId="0" fillId="0" borderId="29" xfId="0" quotePrefix="1" applyBorder="1" applyAlignment="1" applyProtection="1">
      <alignment horizontal="right" vertical="top" wrapText="1"/>
      <protection hidden="1"/>
    </xf>
    <xf numFmtId="0" fontId="0" fillId="13" borderId="10" xfId="0" quotePrefix="1" applyFill="1" applyBorder="1" applyAlignment="1" applyProtection="1">
      <alignment horizontal="right" vertical="top" wrapText="1"/>
      <protection hidden="1"/>
    </xf>
    <xf numFmtId="0" fontId="13" fillId="0" borderId="53" xfId="0" quotePrefix="1" applyFont="1" applyBorder="1" applyAlignment="1" applyProtection="1">
      <alignment horizontal="right" vertical="top"/>
      <protection hidden="1"/>
    </xf>
    <xf numFmtId="0" fontId="13" fillId="0" borderId="34" xfId="0" quotePrefix="1" applyFont="1" applyBorder="1" applyAlignment="1" applyProtection="1">
      <alignment horizontal="right" vertical="top"/>
      <protection hidden="1"/>
    </xf>
    <xf numFmtId="0" fontId="0" fillId="0" borderId="53" xfId="0" quotePrefix="1" applyBorder="1" applyAlignment="1" applyProtection="1">
      <alignment horizontal="right" vertical="top"/>
      <protection hidden="1"/>
    </xf>
    <xf numFmtId="0" fontId="0" fillId="0" borderId="34" xfId="0" quotePrefix="1" applyBorder="1" applyAlignment="1" applyProtection="1">
      <alignment horizontal="right" vertical="top"/>
      <protection hidden="1"/>
    </xf>
    <xf numFmtId="0" fontId="0" fillId="0" borderId="10" xfId="0" applyBorder="1" applyAlignment="1">
      <alignment horizontal="left" vertical="top"/>
    </xf>
    <xf numFmtId="0" fontId="5" fillId="8" borderId="10" xfId="0" applyFont="1" applyFill="1" applyBorder="1" applyAlignment="1">
      <alignment horizontal="center" vertical="center"/>
    </xf>
    <xf numFmtId="0" fontId="15" fillId="8" borderId="10" xfId="0" applyFont="1" applyFill="1" applyBorder="1" applyAlignment="1">
      <alignment horizontal="center" vertical="center"/>
    </xf>
    <xf numFmtId="0" fontId="0" fillId="5" borderId="10" xfId="0" applyFill="1" applyBorder="1" applyAlignment="1">
      <alignment horizontal="left"/>
    </xf>
    <xf numFmtId="0" fontId="2" fillId="0" borderId="10" xfId="0" applyFont="1" applyBorder="1" applyAlignment="1">
      <alignment horizontal="left"/>
    </xf>
    <xf numFmtId="0" fontId="2" fillId="1" borderId="39" xfId="0" applyFont="1" applyFill="1" applyBorder="1" applyAlignment="1" applyProtection="1">
      <alignment horizontal="center"/>
      <protection hidden="1"/>
    </xf>
    <xf numFmtId="0" fontId="2" fillId="1" borderId="20" xfId="0" applyFont="1" applyFill="1" applyBorder="1" applyAlignment="1" applyProtection="1">
      <alignment horizontal="center"/>
      <protection hidden="1"/>
    </xf>
    <xf numFmtId="0" fontId="2" fillId="1" borderId="21" xfId="0" applyFont="1" applyFill="1" applyBorder="1" applyAlignment="1" applyProtection="1">
      <alignment horizontal="center"/>
      <protection hidden="1"/>
    </xf>
    <xf numFmtId="0" fontId="1" fillId="2" borderId="12" xfId="0" applyFont="1" applyFill="1" applyBorder="1" applyAlignment="1" applyProtection="1">
      <alignment horizontal="center" vertical="center" wrapText="1"/>
      <protection hidden="1"/>
    </xf>
    <xf numFmtId="0" fontId="1" fillId="2" borderId="12" xfId="0" applyFont="1" applyFill="1" applyBorder="1" applyAlignment="1" applyProtection="1">
      <alignment horizontal="center" vertical="center" textRotation="90" wrapText="1"/>
      <protection hidden="1"/>
    </xf>
    <xf numFmtId="0" fontId="1" fillId="2" borderId="17" xfId="0" applyFont="1" applyFill="1" applyBorder="1" applyAlignment="1" applyProtection="1">
      <alignment horizontal="center" vertical="center" textRotation="90"/>
      <protection hidden="1"/>
    </xf>
    <xf numFmtId="0" fontId="0" fillId="5" borderId="42" xfId="0" applyFill="1" applyBorder="1" applyAlignment="1" applyProtection="1">
      <alignment horizontal="left" vertical="center"/>
      <protection hidden="1"/>
    </xf>
    <xf numFmtId="0" fontId="0" fillId="5" borderId="54" xfId="0" applyFill="1" applyBorder="1" applyAlignment="1" applyProtection="1">
      <alignment horizontal="left" vertical="center"/>
      <protection hidden="1"/>
    </xf>
    <xf numFmtId="0" fontId="0" fillId="5" borderId="57" xfId="0" applyFill="1" applyBorder="1" applyAlignment="1" applyProtection="1">
      <alignment horizontal="left" vertical="center"/>
      <protection hidden="1"/>
    </xf>
    <xf numFmtId="0" fontId="0" fillId="5" borderId="25" xfId="0" applyFill="1" applyBorder="1" applyAlignment="1" applyProtection="1">
      <alignment horizontal="left" vertical="center"/>
      <protection hidden="1"/>
    </xf>
    <xf numFmtId="0" fontId="0" fillId="5" borderId="55" xfId="0" applyFill="1" applyBorder="1" applyAlignment="1" applyProtection="1">
      <alignment horizontal="left" vertical="center"/>
      <protection hidden="1"/>
    </xf>
    <xf numFmtId="0" fontId="0" fillId="5" borderId="26" xfId="0" applyFill="1" applyBorder="1" applyAlignment="1" applyProtection="1">
      <alignment horizontal="left" vertical="center"/>
      <protection hidden="1"/>
    </xf>
    <xf numFmtId="0" fontId="0" fillId="5" borderId="27" xfId="0" applyFill="1" applyBorder="1" applyAlignment="1" applyProtection="1">
      <alignment horizontal="left" vertical="center"/>
      <protection hidden="1"/>
    </xf>
    <xf numFmtId="0" fontId="0" fillId="5" borderId="56" xfId="0" applyFill="1" applyBorder="1" applyAlignment="1" applyProtection="1">
      <alignment horizontal="left" vertical="center"/>
      <protection hidden="1"/>
    </xf>
    <xf numFmtId="0" fontId="0" fillId="5" borderId="28" xfId="0" applyFill="1" applyBorder="1" applyAlignment="1" applyProtection="1">
      <alignment horizontal="left" vertical="center"/>
      <protection hidden="1"/>
    </xf>
    <xf numFmtId="0" fontId="2" fillId="3" borderId="43"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2" fillId="0" borderId="10" xfId="0" quotePrefix="1" applyFont="1" applyBorder="1" applyAlignment="1" applyProtection="1">
      <alignment horizontal="left" vertical="top"/>
      <protection hidden="1"/>
    </xf>
    <xf numFmtId="0" fontId="3" fillId="3" borderId="10" xfId="0" applyFont="1" applyFill="1" applyBorder="1" applyAlignment="1" applyProtection="1">
      <alignment horizontal="left" vertical="top"/>
      <protection locked="0"/>
    </xf>
    <xf numFmtId="0" fontId="3" fillId="3" borderId="15" xfId="0" applyFont="1" applyFill="1" applyBorder="1" applyAlignment="1" applyProtection="1">
      <alignment horizontal="left" vertical="top"/>
      <protection locked="0"/>
    </xf>
    <xf numFmtId="0" fontId="8" fillId="0" borderId="10" xfId="0" applyFont="1" applyBorder="1" applyAlignment="1" applyProtection="1">
      <alignment horizontal="left" vertical="top" wrapText="1"/>
      <protection hidden="1"/>
    </xf>
    <xf numFmtId="0" fontId="2" fillId="1" borderId="10" xfId="0" applyFont="1" applyFill="1" applyBorder="1" applyAlignment="1" applyProtection="1">
      <alignment horizontal="center" vertical="top"/>
      <protection hidden="1"/>
    </xf>
    <xf numFmtId="0" fontId="2" fillId="0" borderId="10" xfId="0" applyFont="1" applyBorder="1" applyAlignment="1" applyProtection="1">
      <alignment horizontal="center" vertical="top"/>
      <protection hidden="1"/>
    </xf>
    <xf numFmtId="0" fontId="0" fillId="1" borderId="10" xfId="0" applyFill="1" applyBorder="1" applyAlignment="1" applyProtection="1">
      <alignment horizontal="center" vertical="top"/>
      <protection hidden="1"/>
    </xf>
    <xf numFmtId="0" fontId="2" fillId="1" borderId="10" xfId="0" applyFont="1" applyFill="1" applyBorder="1" applyAlignment="1" applyProtection="1">
      <alignment horizontal="center"/>
      <protection hidden="1"/>
    </xf>
    <xf numFmtId="0" fontId="0" fillId="0" borderId="10" xfId="0" applyBorder="1" applyAlignment="1" applyProtection="1">
      <alignment horizontal="right" vertical="top"/>
      <protection hidden="1"/>
    </xf>
    <xf numFmtId="0" fontId="2" fillId="0" borderId="10" xfId="0" quotePrefix="1" applyFont="1" applyBorder="1" applyAlignment="1" applyProtection="1">
      <alignment horizontal="left" vertical="top" wrapText="1"/>
      <protection hidden="1"/>
    </xf>
    <xf numFmtId="0" fontId="2" fillId="0" borderId="10" xfId="0" applyFont="1" applyBorder="1" applyAlignment="1" applyProtection="1">
      <alignment horizontal="left" vertical="top" wrapText="1"/>
      <protection hidden="1"/>
    </xf>
    <xf numFmtId="0" fontId="9" fillId="0" borderId="10" xfId="0" quotePrefix="1" applyFont="1" applyBorder="1" applyAlignment="1" applyProtection="1">
      <alignment horizontal="left" vertical="top" wrapText="1"/>
      <protection hidden="1"/>
    </xf>
    <xf numFmtId="0" fontId="2" fillId="0" borderId="10" xfId="0" applyFont="1" applyBorder="1" applyAlignment="1" applyProtection="1">
      <alignment vertical="top"/>
      <protection hidden="1"/>
    </xf>
    <xf numFmtId="0" fontId="0" fillId="0" borderId="10" xfId="0" quotePrefix="1" applyBorder="1" applyAlignment="1" applyProtection="1">
      <alignment horizontal="left" vertical="top" wrapText="1"/>
      <protection hidden="1"/>
    </xf>
    <xf numFmtId="0" fontId="0" fillId="0" borderId="10" xfId="0" quotePrefix="1" applyBorder="1" applyAlignment="1" applyProtection="1">
      <alignment horizontal="left" vertical="top"/>
      <protection hidden="1"/>
    </xf>
    <xf numFmtId="0" fontId="0" fillId="0" borderId="10" xfId="0" applyBorder="1" applyAlignment="1" applyProtection="1">
      <alignment horizontal="left" vertical="top" wrapText="1"/>
      <protection hidden="1"/>
    </xf>
    <xf numFmtId="0" fontId="0" fillId="0" borderId="10" xfId="0" applyBorder="1" applyAlignment="1" applyProtection="1">
      <alignment horizontal="left" vertical="top"/>
      <protection hidden="1"/>
    </xf>
    <xf numFmtId="0" fontId="2" fillId="1" borderId="17" xfId="0" applyFont="1" applyFill="1" applyBorder="1" applyAlignment="1" applyProtection="1">
      <alignment horizontal="center"/>
      <protection hidden="1"/>
    </xf>
    <xf numFmtId="0" fontId="0" fillId="1" borderId="17" xfId="0" applyFill="1" applyBorder="1" applyAlignment="1" applyProtection="1">
      <alignment horizontal="center"/>
      <protection hidden="1"/>
    </xf>
    <xf numFmtId="0" fontId="3" fillId="3" borderId="17" xfId="0" applyFont="1" applyFill="1" applyBorder="1" applyAlignment="1" applyProtection="1">
      <alignment horizontal="left" vertical="top"/>
      <protection locked="0"/>
    </xf>
    <xf numFmtId="0" fontId="3" fillId="3" borderId="18" xfId="0" applyFont="1" applyFill="1" applyBorder="1" applyAlignment="1" applyProtection="1">
      <alignment horizontal="left" vertical="top"/>
      <protection locked="0"/>
    </xf>
    <xf numFmtId="0" fontId="1" fillId="2" borderId="17" xfId="0" applyFont="1" applyFill="1" applyBorder="1" applyAlignment="1" applyProtection="1">
      <alignment horizontal="center" vertical="center" textRotation="90" wrapText="1"/>
      <protection hidden="1"/>
    </xf>
    <xf numFmtId="0" fontId="3" fillId="3" borderId="29" xfId="0" applyFont="1" applyFill="1" applyBorder="1" applyAlignment="1" applyProtection="1">
      <alignment horizontal="left" vertical="top"/>
      <protection locked="0"/>
    </xf>
    <xf numFmtId="0" fontId="3" fillId="3" borderId="31" xfId="0" applyFont="1" applyFill="1" applyBorder="1" applyAlignment="1" applyProtection="1">
      <alignment horizontal="left" vertical="top"/>
      <protection locked="0"/>
    </xf>
    <xf numFmtId="0" fontId="2" fillId="0" borderId="0" xfId="0" applyFont="1" applyAlignment="1">
      <alignment horizontal="left"/>
    </xf>
    <xf numFmtId="164" fontId="2" fillId="0" borderId="25" xfId="0" applyNumberFormat="1" applyFont="1" applyBorder="1" applyAlignment="1">
      <alignment horizontal="center" vertical="center"/>
    </xf>
    <xf numFmtId="164" fontId="2" fillId="0" borderId="32" xfId="0" applyNumberFormat="1" applyFont="1" applyBorder="1" applyAlignment="1">
      <alignment horizontal="center" vertical="center"/>
    </xf>
    <xf numFmtId="0" fontId="0" fillId="0" borderId="10" xfId="0" quotePrefix="1" applyBorder="1" applyAlignment="1">
      <alignment horizontal="center"/>
    </xf>
    <xf numFmtId="0" fontId="0" fillId="0" borderId="10" xfId="0" applyBorder="1" applyAlignment="1">
      <alignment horizontal="center"/>
    </xf>
    <xf numFmtId="0" fontId="1" fillId="2" borderId="10" xfId="0" applyFont="1" applyFill="1" applyBorder="1" applyAlignment="1">
      <alignment horizontal="left"/>
    </xf>
    <xf numFmtId="0" fontId="2" fillId="0" borderId="25" xfId="0" applyFont="1" applyBorder="1" applyAlignment="1">
      <alignment horizontal="center" vertical="center"/>
    </xf>
    <xf numFmtId="0" fontId="2" fillId="0" borderId="32" xfId="0" applyFont="1" applyBorder="1" applyAlignment="1">
      <alignment horizontal="center" vertical="center"/>
    </xf>
  </cellXfs>
  <cellStyles count="5">
    <cellStyle name="Normal" xfId="0" builtinId="0"/>
    <cellStyle name="Standard 3" xfId="2" xr:uid="{B0F031F0-01FA-454F-96C6-65BA65367512}"/>
    <cellStyle name="Standard 4" xfId="3" xr:uid="{A9B670BA-BBBE-42A6-AB41-D6ECBDEFA83F}"/>
    <cellStyle name="Standard 53 2" xfId="4" xr:uid="{B8BE2EC1-659C-43DB-896A-F8A81958F2AA}"/>
    <cellStyle name="Standard 6 2" xfId="1" xr:uid="{00000000-0005-0000-0000-000001000000}"/>
  </cellStyles>
  <dxfs count="17">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s>
  <tableStyles count="1" defaultTableStyle="TableStyleMedium2" defaultPivotStyle="PivotStyleLight16">
    <tableStyle name="Invisible" pivot="0" table="0" count="0" xr9:uid="{A41D0C46-DDAC-4B87-A00C-7C66C9E63670}"/>
  </tableStyles>
  <colors>
    <mruColors>
      <color rgb="FF4DAA50"/>
      <color rgb="FFA5D867"/>
      <color rgb="FF3C4981"/>
      <color rgb="FFD47600"/>
      <color rgb="FF9DA4C0"/>
      <color rgb="FF00AC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495301</xdr:colOff>
      <xdr:row>0</xdr:row>
      <xdr:rowOff>152400</xdr:rowOff>
    </xdr:from>
    <xdr:to>
      <xdr:col>6</xdr:col>
      <xdr:colOff>876301</xdr:colOff>
      <xdr:row>3</xdr:row>
      <xdr:rowOff>20624</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514976" y="152400"/>
          <a:ext cx="381000" cy="3768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xdr:colOff>
          <xdr:row>37</xdr:row>
          <xdr:rowOff>68580</xdr:rowOff>
        </xdr:from>
        <xdr:to>
          <xdr:col>2</xdr:col>
          <xdr:colOff>228600</xdr:colOff>
          <xdr:row>38</xdr:row>
          <xdr:rowOff>114300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39</xdr:row>
          <xdr:rowOff>60960</xdr:rowOff>
        </xdr:from>
        <xdr:to>
          <xdr:col>2</xdr:col>
          <xdr:colOff>228600</xdr:colOff>
          <xdr:row>40</xdr:row>
          <xdr:rowOff>106680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68580</xdr:rowOff>
        </xdr:from>
        <xdr:to>
          <xdr:col>2</xdr:col>
          <xdr:colOff>228600</xdr:colOff>
          <xdr:row>49</xdr:row>
          <xdr:rowOff>114300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50</xdr:row>
          <xdr:rowOff>60960</xdr:rowOff>
        </xdr:from>
        <xdr:to>
          <xdr:col>2</xdr:col>
          <xdr:colOff>228600</xdr:colOff>
          <xdr:row>51</xdr:row>
          <xdr:rowOff>106680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1670370</xdr:colOff>
      <xdr:row>3</xdr:row>
      <xdr:rowOff>234315</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572875" y="219075"/>
          <a:ext cx="847410" cy="838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1660845</xdr:colOff>
      <xdr:row>3</xdr:row>
      <xdr:rowOff>243840</xdr:rowOff>
    </xdr:to>
    <xdr:pic>
      <xdr:nvPicPr>
        <xdr:cNvPr id="2" name="Grafik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07190" y="220980"/>
          <a:ext cx="841695" cy="8458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1828485</xdr:colOff>
      <xdr:row>3</xdr:row>
      <xdr:rowOff>243840</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940790" y="220980"/>
          <a:ext cx="841695" cy="8458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2567268</xdr:colOff>
      <xdr:row>3</xdr:row>
      <xdr:rowOff>137271</xdr:rowOff>
    </xdr:from>
    <xdr:to>
      <xdr:col>14</xdr:col>
      <xdr:colOff>20977</xdr:colOff>
      <xdr:row>7</xdr:row>
      <xdr:rowOff>56626</xdr:rowOff>
    </xdr:to>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3336121" y="1033742"/>
          <a:ext cx="837885" cy="84996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1657035</xdr:colOff>
      <xdr:row>3</xdr:row>
      <xdr:rowOff>247650</xdr:rowOff>
    </xdr:to>
    <xdr:pic>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807190" y="220980"/>
          <a:ext cx="845505" cy="8420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466725</xdr:colOff>
      <xdr:row>1</xdr:row>
      <xdr:rowOff>38100</xdr:rowOff>
    </xdr:from>
    <xdr:to>
      <xdr:col>2</xdr:col>
      <xdr:colOff>1129400</xdr:colOff>
      <xdr:row>4</xdr:row>
      <xdr:rowOff>95250</xdr:rowOff>
    </xdr:to>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295525" y="200025"/>
          <a:ext cx="662675" cy="6572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15</xdr:col>
      <xdr:colOff>819150</xdr:colOff>
      <xdr:row>1</xdr:row>
      <xdr:rowOff>47625</xdr:rowOff>
    </xdr:from>
    <xdr:to>
      <xdr:col>15</xdr:col>
      <xdr:colOff>1666560</xdr:colOff>
      <xdr:row>3</xdr:row>
      <xdr:rowOff>238125</xdr:rowOff>
    </xdr:to>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572875" y="219075"/>
          <a:ext cx="847410" cy="8382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123826</xdr:colOff>
      <xdr:row>1</xdr:row>
      <xdr:rowOff>57151</xdr:rowOff>
    </xdr:from>
    <xdr:to>
      <xdr:col>1</xdr:col>
      <xdr:colOff>546400</xdr:colOff>
      <xdr:row>3</xdr:row>
      <xdr:rowOff>152400</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38126" y="219076"/>
          <a:ext cx="422574" cy="4190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17</xdr:col>
      <xdr:colOff>819150</xdr:colOff>
      <xdr:row>1</xdr:row>
      <xdr:rowOff>47625</xdr:rowOff>
    </xdr:from>
    <xdr:to>
      <xdr:col>17</xdr:col>
      <xdr:colOff>1666560</xdr:colOff>
      <xdr:row>3</xdr:row>
      <xdr:rowOff>238125</xdr:rowOff>
    </xdr:to>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3268325" y="219075"/>
          <a:ext cx="847410" cy="8382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123826</xdr:colOff>
      <xdr:row>1</xdr:row>
      <xdr:rowOff>57151</xdr:rowOff>
    </xdr:from>
    <xdr:to>
      <xdr:col>1</xdr:col>
      <xdr:colOff>546400</xdr:colOff>
      <xdr:row>3</xdr:row>
      <xdr:rowOff>152400</xdr:rowOff>
    </xdr:to>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238126" y="219076"/>
          <a:ext cx="422574" cy="4190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urohappold.sharepoint.com/Users/owner/Desktop/DGNB%20Home%20Office/SQ/Q20%20EN/02_Tools/Quartiere_Master-Tool_Mehrsprachig_190221_ungesch&#252;tz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ual"/>
      <sheetName val="Project details"/>
      <sheetName val="Building"/>
      <sheetName val="Area-puplic"/>
      <sheetName val="Area-priv."/>
      <sheetName val="Infra"/>
      <sheetName val="Noise"/>
      <sheetName val="Area-overview"/>
      <sheetName val="Results-overview"/>
      <sheetName val="Mass-pipes"/>
      <sheetName val="Anleitung für DGNB"/>
      <sheetName val="Languages"/>
      <sheetName val="Abkürzungen"/>
      <sheetName val="SprachenfuerDaten"/>
      <sheetName val="Dropdowns"/>
      <sheetName val="Data"/>
      <sheetName val="Sprachauswahl"/>
      <sheetName val="LCC-Ref-BKI"/>
      <sheetName val="LCC-G-Herst300"/>
      <sheetName val="LCC-G-Herst400"/>
      <sheetName val="LCC-G-Inst"/>
      <sheetName val="LCC-G-Reini"/>
      <sheetName val="LCC-G-Strom"/>
      <sheetName val="LCC-G-Kälte"/>
      <sheetName val="LCC-G-Wärme"/>
      <sheetName val="LCC-G-Wasser"/>
      <sheetName val="LCC-F-Ö-Herst"/>
      <sheetName val="LCC-F-Ö-Inst"/>
      <sheetName val="LCC-F-Ö-Reini"/>
      <sheetName val="LCC-F-Ö-Strom"/>
      <sheetName val="LCC-F-Ö-Wasser"/>
      <sheetName val="LCC-F-PRIV-Herst"/>
      <sheetName val="LCC-F-PRIV-Inst"/>
      <sheetName val="LCC-F-PRIV-Reini"/>
      <sheetName val="LCC-F-PRIV-Strom"/>
      <sheetName val="LCC-F-PRIV-Wasser"/>
      <sheetName val="LCC-INFRA-Herst"/>
      <sheetName val="LCC-INFRA-Inst"/>
    </sheetNames>
    <sheetDataSet>
      <sheetData sheetId="0"/>
      <sheetData sheetId="1"/>
      <sheetData sheetId="2"/>
      <sheetData sheetId="3"/>
      <sheetData sheetId="4"/>
      <sheetData sheetId="5"/>
      <sheetData sheetId="6"/>
      <sheetData sheetId="7"/>
      <sheetData sheetId="8"/>
      <sheetData sheetId="9"/>
      <sheetData sheetId="10"/>
      <sheetData sheetId="11">
        <row r="3">
          <cell r="B3" t="str">
            <v>Deutsch</v>
          </cell>
          <cell r="C3" t="str">
            <v>English</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DAA50"/>
  </sheetPr>
  <dimension ref="B1:G59"/>
  <sheetViews>
    <sheetView view="pageBreakPreview" zoomScale="160" zoomScaleNormal="100" zoomScaleSheetLayoutView="160" workbookViewId="0">
      <selection activeCell="C7" sqref="C7:G7"/>
    </sheetView>
  </sheetViews>
  <sheetFormatPr defaultColWidth="11.44140625" defaultRowHeight="13.2" x14ac:dyDescent="0.25"/>
  <cols>
    <col min="1" max="1" width="1.6640625" style="17" customWidth="1"/>
    <col min="2" max="2" width="16.6640625" style="17" customWidth="1"/>
    <col min="3" max="3" width="3.6640625" style="17" customWidth="1"/>
    <col min="4" max="4" width="15.6640625" style="17" customWidth="1"/>
    <col min="5" max="7" width="18.6640625" style="17" customWidth="1"/>
    <col min="8" max="8" width="1.6640625" style="17" customWidth="1"/>
    <col min="9" max="16384" width="11.44140625" style="17"/>
  </cols>
  <sheetData>
    <row r="1" spans="2:7" ht="13.8" thickBot="1" x14ac:dyDescent="0.3"/>
    <row r="2" spans="2:7" x14ac:dyDescent="0.25">
      <c r="B2" s="273" t="str">
        <f>HLOOKUP(Deckblatt!$C$12,Language!G1:H102,2,FALSE)</f>
        <v>DGNB Gewichtungstabelle</v>
      </c>
      <c r="C2" s="274"/>
      <c r="D2" s="274"/>
      <c r="E2" s="274"/>
      <c r="F2" s="275"/>
    </row>
    <row r="3" spans="2:7" ht="13.8" thickBot="1" x14ac:dyDescent="0.3">
      <c r="B3" s="276"/>
      <c r="C3" s="277"/>
      <c r="D3" s="277"/>
      <c r="E3" s="277"/>
      <c r="F3" s="278"/>
    </row>
    <row r="4" spans="2:7" ht="13.8" thickBot="1" x14ac:dyDescent="0.3">
      <c r="B4" s="282" t="s">
        <v>1832</v>
      </c>
      <c r="C4" s="282"/>
      <c r="D4" s="282"/>
      <c r="E4" s="282"/>
      <c r="F4" s="282"/>
      <c r="G4" s="282"/>
    </row>
    <row r="5" spans="2:7" x14ac:dyDescent="0.25">
      <c r="B5" s="23" t="str">
        <f>HLOOKUP(Deckblatt!$C$12,Language!G1:H102,3,FALSE)</f>
        <v>Nutzungsprofil</v>
      </c>
      <c r="C5" s="279" t="s">
        <v>1013</v>
      </c>
      <c r="D5" s="280"/>
      <c r="E5" s="280"/>
      <c r="F5" s="280"/>
      <c r="G5" s="281"/>
    </row>
    <row r="6" spans="2:7" x14ac:dyDescent="0.25">
      <c r="B6" s="24" t="str">
        <f>HLOOKUP(Deckblatt!$C$12,Language!G1:H102,4,FALSE)</f>
        <v>Vertragsnummer</v>
      </c>
      <c r="C6" s="270"/>
      <c r="D6" s="271"/>
      <c r="E6" s="271"/>
      <c r="F6" s="271"/>
      <c r="G6" s="272"/>
    </row>
    <row r="7" spans="2:7" x14ac:dyDescent="0.25">
      <c r="B7" s="24" t="str">
        <f>HLOOKUP(Deckblatt!$C$12,Language!G1:H102,5,FALSE)</f>
        <v>Bauvorhaben</v>
      </c>
      <c r="C7" s="270" t="s">
        <v>1857</v>
      </c>
      <c r="D7" s="271"/>
      <c r="E7" s="271"/>
      <c r="F7" s="271"/>
      <c r="G7" s="272"/>
    </row>
    <row r="8" spans="2:7" x14ac:dyDescent="0.25">
      <c r="B8" s="24" t="str">
        <f>HLOOKUP(Deckblatt!$C$12,Language!G1:H102,6,FALSE)</f>
        <v>Antragsteller</v>
      </c>
      <c r="C8" s="270"/>
      <c r="D8" s="271"/>
      <c r="E8" s="271"/>
      <c r="F8" s="271"/>
      <c r="G8" s="272"/>
    </row>
    <row r="9" spans="2:7" x14ac:dyDescent="0.25">
      <c r="B9" s="24" t="str">
        <f>HLOOKUP(Deckblatt!$C$12,Language!G1:H102,7,FALSE)</f>
        <v>DGNB Auditor</v>
      </c>
      <c r="C9" s="270"/>
      <c r="D9" s="271"/>
      <c r="E9" s="271"/>
      <c r="F9" s="271"/>
      <c r="G9" s="272"/>
    </row>
    <row r="10" spans="2:7" ht="13.8" thickBot="1" x14ac:dyDescent="0.3">
      <c r="B10" s="25" t="str">
        <f>HLOOKUP(Deckblatt!$C$12,Language!G1:H102,8,FALSE)</f>
        <v>Datum</v>
      </c>
      <c r="C10" s="291"/>
      <c r="D10" s="292"/>
      <c r="E10" s="292"/>
      <c r="F10" s="292"/>
      <c r="G10" s="293"/>
    </row>
    <row r="11" spans="2:7" ht="4.2" customHeight="1" thickBot="1" x14ac:dyDescent="0.3"/>
    <row r="12" spans="2:7" ht="13.8" thickBot="1" x14ac:dyDescent="0.3">
      <c r="B12" s="249" t="s">
        <v>1014</v>
      </c>
      <c r="C12" s="283" t="s">
        <v>1015</v>
      </c>
      <c r="D12" s="284"/>
    </row>
    <row r="13" spans="2:7" ht="4.2" customHeight="1" thickBot="1" x14ac:dyDescent="0.3"/>
    <row r="14" spans="2:7" ht="27" thickBot="1" x14ac:dyDescent="0.3">
      <c r="C14" s="294" t="str">
        <f>HLOOKUP(Deckblatt!$C$12,Language!G1:H102,9,FALSE)</f>
        <v>Hauptkriteriengruppe</v>
      </c>
      <c r="D14" s="295"/>
      <c r="E14" s="295"/>
      <c r="F14" s="112" t="str">
        <f>HLOOKUP(Deckblatt!$C$12,Language!G1:H102,10,FALSE)</f>
        <v>Anteil an Gesamt-erfüllungsgrad</v>
      </c>
      <c r="G14" s="26" t="str">
        <f>HLOOKUP(Deckblatt!$C$12,Language!G1:H102,11,FALSE)</f>
        <v>Erfüllungsgrad</v>
      </c>
    </row>
    <row r="15" spans="2:7" x14ac:dyDescent="0.25">
      <c r="C15" s="296" t="str">
        <f>HLOOKUP(Deckblatt!$C$12,Language!G1:H102,12,FALSE)</f>
        <v>Ökologische Qualität</v>
      </c>
      <c r="D15" s="297"/>
      <c r="E15" s="297"/>
      <c r="F15" s="27">
        <v>0.2</v>
      </c>
      <c r="G15" s="28">
        <f>IF(LEFT($C$5,2)="SQ",'SQ_Auditoreingaben '!G2,IF(LEFT($C$5,2)="BQ",BQ_Auditoreingaben!G2,IF(LEFT($C$5,2)="EA",EA_Auditoreingaben!G2,IF(LEFT($C$5,2)="IS",IS_Auditoreingaben!G2,GG_Auditoreingaben!G2))))</f>
        <v>0.88</v>
      </c>
    </row>
    <row r="16" spans="2:7" x14ac:dyDescent="0.25">
      <c r="C16" s="298" t="str">
        <f>HLOOKUP(Deckblatt!$C$12,Language!G1:H102,13,FALSE)</f>
        <v>Ökonomische Qualität</v>
      </c>
      <c r="D16" s="299"/>
      <c r="E16" s="299"/>
      <c r="F16" s="20">
        <v>0.2</v>
      </c>
      <c r="G16" s="29">
        <f>IF(LEFT($C$5,2)="SQ",'SQ_Auditoreingaben '!G3,IF(LEFT($C$5,2)="BQ",BQ_Auditoreingaben!G3,IF(LEFT($C$5,2)="EA",EA_Auditoreingaben!G3,IF(LEFT($C$5,2)="IS",IS_Auditoreingaben!G3,GG_Auditoreingaben!G3))))</f>
        <v>0.82</v>
      </c>
    </row>
    <row r="17" spans="3:7" x14ac:dyDescent="0.25">
      <c r="C17" s="298" t="str">
        <f>HLOOKUP(Deckblatt!$C$12,Language!G1:H102,14,FALSE)</f>
        <v>Soziokulturelle und Funktionale Qualität</v>
      </c>
      <c r="D17" s="299"/>
      <c r="E17" s="299"/>
      <c r="F17" s="20">
        <v>0.2</v>
      </c>
      <c r="G17" s="168">
        <f>IF(LEFT($C$5,2)="SQ",'SQ_Auditoreingaben '!G4,IF(LEFT($C$5,2)="BQ",BQ_Auditoreingaben!G4,IF(LEFT($C$5,2)="EA",EA_Auditoreingaben!G4,IF(LEFT($C$5,2)="IS",IS_Auditoreingaben!G4,GG_Auditoreingaben!G4))))</f>
        <v>0.84799999999999998</v>
      </c>
    </row>
    <row r="18" spans="3:7" x14ac:dyDescent="0.25">
      <c r="C18" s="298" t="str">
        <f>HLOOKUP(Deckblatt!$C$12,Language!G1:H102,15,FALSE)</f>
        <v>Technische Qualität</v>
      </c>
      <c r="D18" s="299"/>
      <c r="E18" s="299"/>
      <c r="F18" s="20">
        <v>0.2</v>
      </c>
      <c r="G18" s="29">
        <f>IF(LEFT($C$5,2)="SQ",'SQ_Auditoreingaben '!I2,IF(LEFT($C$5,2)="BQ",BQ_Auditoreingaben!I2,IF(LEFT($C$5,2)="EA",EA_Auditoreingaben!I2,IF(LEFT($C$5,2)="IS",IS_Auditoreingaben!I2,GG_Auditoreingaben!I2))))</f>
        <v>0.90900000000000003</v>
      </c>
    </row>
    <row r="19" spans="3:7" x14ac:dyDescent="0.25">
      <c r="C19" s="298" t="str">
        <f>HLOOKUP(Deckblatt!$C$12,Language!G1:H102,16,FALSE)</f>
        <v>Prozessqualität</v>
      </c>
      <c r="D19" s="299"/>
      <c r="E19" s="299"/>
      <c r="F19" s="20">
        <v>0.2</v>
      </c>
      <c r="G19" s="29">
        <f>IF(LEFT($C$5,2)="SQ",'SQ_Auditoreingaben '!I3,IF(LEFT($C$5,2)="BQ",BQ_Auditoreingaben!I3,IF(LEFT($C$5,2)="EA",EA_Auditoreingaben!I3,IF(LEFT($C$5,2)="IS",IS_Auditoreingaben!I3,GG_Auditoreingaben!I3))))</f>
        <v>0.71</v>
      </c>
    </row>
    <row r="20" spans="3:7" ht="7.95" customHeight="1" x14ac:dyDescent="0.25">
      <c r="C20" s="265"/>
      <c r="D20" s="266"/>
      <c r="E20" s="266"/>
      <c r="F20" s="266"/>
      <c r="G20" s="267"/>
    </row>
    <row r="21" spans="3:7" x14ac:dyDescent="0.25">
      <c r="C21" s="298" t="str">
        <f>HLOOKUP(Deckblatt!$C$12,Language!G1:H102,17,FALSE)</f>
        <v>Gesamterfüllungsgrad</v>
      </c>
      <c r="D21" s="299"/>
      <c r="E21" s="299"/>
      <c r="F21" s="30">
        <f>F15+F16+F17+F18+F19</f>
        <v>1</v>
      </c>
      <c r="G21" s="31">
        <f>ROUNDDOWN(IF(LEFT($C$5,2)="SQ",'SQ_Auditoreingaben '!M2,IF(LEFT($C$5,2)="BQ",BQ_Auditoreingaben!M2,IF(LEFT($C$5,2)="EA",EA_Auditoreingaben!M2,IF(LEFT($C$5,2)="IS",IS_Auditoreingaben!M2,GG_Auditoreingaben!M2)))),3)</f>
        <v>0.83399999999999996</v>
      </c>
    </row>
    <row r="22" spans="3:7" ht="7.95" customHeight="1" x14ac:dyDescent="0.25">
      <c r="C22" s="265"/>
      <c r="D22" s="266"/>
      <c r="E22" s="266"/>
      <c r="F22" s="266"/>
      <c r="G22" s="267"/>
    </row>
    <row r="23" spans="3:7" x14ac:dyDescent="0.25">
      <c r="C23" s="298" t="str">
        <f>HLOOKUP(Deckblatt!$C$12,Language!G1:H102,18,FALSE)</f>
        <v>Nebenanforderungen</v>
      </c>
      <c r="D23" s="299"/>
      <c r="E23" s="299"/>
      <c r="F23" s="268" t="str">
        <f>IF(AND(G15&gt;=65/100,G16&gt;=65/100,G17&gt;=65/100,G18&gt;=65/100,G19&gt;=65/100),"Nebenanforderung PLATIN erfüllt",IF(AND(G15&gt;=1/2,G16&gt;=1/2,G17&gt;=1/2,G18&gt;=1/2,G19&gt;=1/2),"Nebenanforderung GOLD erfüllt",IF(AND(G15&gt;=35/100,G16&gt;=35/100,G17&gt;=35/100,G18&gt;=35/100,G19&gt;=35/100),"Nebenanforderung SILBER erfüllt","Nebenanforderung nicht erfüllt")))</f>
        <v>Nebenanforderung PLATIN erfüllt</v>
      </c>
      <c r="G23" s="269"/>
    </row>
    <row r="24" spans="3:7" ht="7.95" customHeight="1" x14ac:dyDescent="0.25">
      <c r="C24" s="265"/>
      <c r="D24" s="266"/>
      <c r="E24" s="266"/>
      <c r="F24" s="266"/>
      <c r="G24" s="267"/>
    </row>
    <row r="25" spans="3:7" ht="13.8" thickBot="1" x14ac:dyDescent="0.3">
      <c r="C25" s="300" t="str">
        <f>HLOOKUP(Deckblatt!$C$12,Language!G1:H102,19,FALSE)</f>
        <v>Plakette</v>
      </c>
      <c r="D25" s="301"/>
      <c r="E25" s="301"/>
      <c r="F25" s="308" t="str">
        <f>IF(AND(G15&gt;=65/100,G16&gt;=65/100,G17&gt;=65/100,G18&gt;=65/100,G19&gt;=65/100,G21&gt;=4/5),"PLATIN",IF(AND(G15&gt;=1/2,G16&gt;=1/2,G17&gt;=1/2,G18&gt;=1/2,G19&gt;=1/2,G21&gt;=65/100),"GOLD",IF(AND(G15&gt;=35/100,G16&gt;=35/100,G17&gt;=35/100,G18&gt;=35/100,G19&gt;=35/100,G21&gt;=1/2),"SILBER","keine Auszeichnung")))</f>
        <v>PLATIN</v>
      </c>
      <c r="G25" s="309"/>
    </row>
    <row r="26" spans="3:7" ht="8.4" customHeight="1" thickBot="1" x14ac:dyDescent="0.3"/>
    <row r="27" spans="3:7" ht="13.8" thickBot="1" x14ac:dyDescent="0.3">
      <c r="C27" s="310" t="str">
        <f>HLOOKUP(Deckblatt!$C$12,Language!G1:H102,20,FALSE)</f>
        <v>DGNB Nebenanforderung</v>
      </c>
      <c r="D27" s="311"/>
      <c r="E27" s="311"/>
      <c r="F27" s="311"/>
      <c r="G27" s="312"/>
    </row>
    <row r="28" spans="3:7" ht="26.4" customHeight="1" x14ac:dyDescent="0.25">
      <c r="C28" s="316" t="str">
        <f>HLOOKUP(Deckblatt!$C$12,Language!G1:H102,21,FALSE)</f>
        <v>Gesamt-erfüllungsgrad</v>
      </c>
      <c r="D28" s="313"/>
      <c r="E28" s="248" t="str">
        <f>HLOOKUP(Deckblatt!$C$12,Language!G1:H102,22,FALSE)</f>
        <v>Nebenanforderung Qualitäten *</v>
      </c>
      <c r="F28" s="313" t="str">
        <f>HLOOKUP(Deckblatt!$C$12,Language!G1:H102,23,FALSE)</f>
        <v>Gesamtbewertung</v>
      </c>
      <c r="G28" s="314"/>
    </row>
    <row r="29" spans="3:7" x14ac:dyDescent="0.25">
      <c r="C29" s="317" t="str">
        <f>HLOOKUP(Deckblatt!$C$12,Language!G1:H102,24,FALSE)</f>
        <v>≥ 80%</v>
      </c>
      <c r="D29" s="318"/>
      <c r="E29" s="110" t="s">
        <v>606</v>
      </c>
      <c r="F29" s="324" t="str">
        <f>HLOOKUP(Deckblatt!$C$12,Language!G1:H102,27,FALSE)</f>
        <v>PLATIN</v>
      </c>
      <c r="G29" s="325"/>
    </row>
    <row r="30" spans="3:7" x14ac:dyDescent="0.25">
      <c r="C30" s="317" t="str">
        <f>HLOOKUP(Deckblatt!$C$12,Language!G1:H102,25,FALSE)</f>
        <v>65% bis &lt; 80%</v>
      </c>
      <c r="D30" s="318"/>
      <c r="E30" s="110" t="s">
        <v>607</v>
      </c>
      <c r="F30" s="324" t="str">
        <f>HLOOKUP(Deckblatt!$C$12,Language!G1:H102,28,FALSE)</f>
        <v>GOLD</v>
      </c>
      <c r="G30" s="325"/>
    </row>
    <row r="31" spans="3:7" ht="13.8" thickBot="1" x14ac:dyDescent="0.3">
      <c r="C31" s="319" t="str">
        <f>HLOOKUP(Deckblatt!$C$12,Language!G1:H102,26,FALSE)</f>
        <v>50% bis &lt; 65%</v>
      </c>
      <c r="D31" s="320"/>
      <c r="E31" s="111" t="s">
        <v>608</v>
      </c>
      <c r="F31" s="326" t="str">
        <f>HLOOKUP(Deckblatt!$C$12,Language!G1:H102,29,FALSE)</f>
        <v>SILBR</v>
      </c>
      <c r="G31" s="327"/>
    </row>
    <row r="32" spans="3:7" ht="13.8" thickBot="1" x14ac:dyDescent="0.3">
      <c r="C32" s="321" t="str">
        <f>HLOOKUP(Deckblatt!$C$12,Language!G1:H102,30,FALSE)</f>
        <v>* gilt für alle Qualitäten (Hauptkriteriengruppen)</v>
      </c>
      <c r="D32" s="322"/>
      <c r="E32" s="322"/>
      <c r="F32" s="322"/>
      <c r="G32" s="323"/>
    </row>
    <row r="33" spans="2:7" ht="5.4" customHeight="1" x14ac:dyDescent="0.25">
      <c r="F33" s="315"/>
      <c r="G33" s="315"/>
    </row>
    <row r="34" spans="2:7" x14ac:dyDescent="0.25">
      <c r="B34" s="285" t="str">
        <f>HLOOKUP(Deckblatt!$C$12,Language!G1:H102,31,FALSE)</f>
        <v>DGNB Mindestanforderungen</v>
      </c>
      <c r="C34" s="285"/>
      <c r="D34" s="285"/>
      <c r="E34" s="285"/>
      <c r="F34" s="285"/>
      <c r="G34" s="286"/>
    </row>
    <row r="35" spans="2:7" ht="196.2" customHeight="1" x14ac:dyDescent="0.25">
      <c r="B35" s="287" t="str">
        <f>HLOOKUP(Deckblatt!$C$12,Language!G1:H102,32,FALSE)</f>
        <v>Die folgenden Indikatoren bzw. Kriterien sind zwingend einzuhalten:
ENV1,5 "Stadtklima": Es müssen die Mindestanforderungen von 15 Punkten im Indikator 1: "Stadtklimatische Analyse des Quartiers" erreicht werden, ansonsten ist das Projekt von der Zertifizierung ausgeschlossen!
ENV2.4 "Biodiversität": es muss die Mindestanforderung von 10 Punkten im Indikator 2 "Gezielte Maßnahmen zur aktiven Ansiedlung neuer und heimischer Tierarten" erreicht werden, ansonsten ist das Projekt von der Zertifizierung ausgeschlossen!
SOC3.3 "Soziale und Erwerbswirtschaftliche Infrastruktur": es müssen die Mindestanforderung von 5 Punkten in den Bereichen Bildung und Nahversorgung erreicht (insgesamt 10 Punkte) werden, ansonsten ist das Projekt von der Zertifizierung ausgeschlossen!
PRO1.7 "Partizipation": es muss die Mindestanforderung von 15 Punkten Indikatoren 1-4 zur Sicherung der Mindest-Bürgerbeteiligung  erreicht werden, ansonsten ist das Projekt von der Zertifizierung ausgeschlossen!</v>
      </c>
      <c r="C35" s="287"/>
      <c r="D35" s="287"/>
      <c r="E35" s="287"/>
      <c r="F35" s="287"/>
      <c r="G35" s="288"/>
    </row>
    <row r="36" spans="2:7" ht="13.8" thickBot="1" x14ac:dyDescent="0.3"/>
    <row r="37" spans="2:7" ht="13.8" thickBot="1" x14ac:dyDescent="0.3">
      <c r="B37" s="310" t="str">
        <f>HLOOKUP(Deckblatt!$C$12,Language!G1:H102,33,FALSE)</f>
        <v>DGNB Auditor</v>
      </c>
      <c r="C37" s="311"/>
      <c r="D37" s="311"/>
      <c r="E37" s="311"/>
      <c r="F37" s="311"/>
      <c r="G37" s="312"/>
    </row>
    <row r="38" spans="2:7" ht="12.75" customHeight="1" x14ac:dyDescent="0.25">
      <c r="B38" s="332" t="str">
        <f>HLOOKUP(Deckblatt!$C$12,Language!G1:H102,34,FALSE)</f>
        <v>Vorzertifizierung</v>
      </c>
      <c r="C38" s="307"/>
      <c r="D38" s="328" t="str">
        <f>HLOOKUP(Deckblatt!$C$12,Language!G1:H102,35,FALSE)</f>
        <v>Ich versichere, dass die oben gemachten Angaben der bisherigen Planung entsprechen.</v>
      </c>
      <c r="E38" s="328"/>
      <c r="F38" s="328"/>
      <c r="G38" s="329"/>
    </row>
    <row r="39" spans="2:7" x14ac:dyDescent="0.25">
      <c r="B39" s="333"/>
      <c r="C39" s="266"/>
      <c r="D39" s="318"/>
      <c r="E39" s="318"/>
      <c r="F39" s="318"/>
      <c r="G39" s="330"/>
    </row>
    <row r="40" spans="2:7" ht="12.75" customHeight="1" x14ac:dyDescent="0.25">
      <c r="B40" s="334" t="str">
        <f>HLOOKUP(Deckblatt!$C$12,Language!G1:H102,36,FALSE)</f>
        <v>Zertifizierung</v>
      </c>
      <c r="C40" s="266"/>
      <c r="D40" s="318" t="str">
        <f>HLOOKUP(Deckblatt!$C$12,Language!G1:H102,35,FALSE)</f>
        <v>Ich versichere, dass die oben gemachten Angaben der bisherigen Planung entsprechen.</v>
      </c>
      <c r="E40" s="318"/>
      <c r="F40" s="318"/>
      <c r="G40" s="330"/>
    </row>
    <row r="41" spans="2:7" x14ac:dyDescent="0.25">
      <c r="B41" s="332"/>
      <c r="C41" s="266"/>
      <c r="D41" s="318"/>
      <c r="E41" s="318"/>
      <c r="F41" s="318"/>
      <c r="G41" s="330"/>
    </row>
    <row r="42" spans="2:7" x14ac:dyDescent="0.25">
      <c r="B42" s="32" t="str">
        <f>HLOOKUP(Deckblatt!$C$12,Language!G1:H102,38,FALSE)</f>
        <v>Name</v>
      </c>
      <c r="C42" s="289"/>
      <c r="D42" s="289"/>
      <c r="E42" s="289"/>
      <c r="F42" s="289"/>
      <c r="G42" s="290"/>
    </row>
    <row r="43" spans="2:7" x14ac:dyDescent="0.25">
      <c r="B43" s="32" t="str">
        <f>HLOOKUP(Deckblatt!$C$12,Language!G1:H102,39,FALSE)</f>
        <v>Datum</v>
      </c>
      <c r="C43" s="289"/>
      <c r="D43" s="289"/>
      <c r="E43" s="289"/>
      <c r="F43" s="289"/>
      <c r="G43" s="290"/>
    </row>
    <row r="44" spans="2:7" ht="10.95" customHeight="1" x14ac:dyDescent="0.25">
      <c r="B44" s="319" t="str">
        <f>HLOOKUP(Deckblatt!$C$12,Language!G1:H102,40,FALSE)</f>
        <v>Unterschrift / Stempel</v>
      </c>
      <c r="C44" s="302"/>
      <c r="D44" s="266"/>
      <c r="E44" s="266"/>
      <c r="F44" s="266"/>
      <c r="G44" s="267"/>
    </row>
    <row r="45" spans="2:7" ht="10.95" customHeight="1" x14ac:dyDescent="0.25">
      <c r="B45" s="335"/>
      <c r="C45" s="266"/>
      <c r="D45" s="266"/>
      <c r="E45" s="266"/>
      <c r="F45" s="266"/>
      <c r="G45" s="267"/>
    </row>
    <row r="46" spans="2:7" ht="10.95" customHeight="1" thickBot="1" x14ac:dyDescent="0.3">
      <c r="B46" s="336"/>
      <c r="C46" s="303"/>
      <c r="D46" s="303"/>
      <c r="E46" s="303"/>
      <c r="F46" s="303"/>
      <c r="G46" s="304"/>
    </row>
    <row r="47" spans="2:7" ht="9" customHeight="1" thickBot="1" x14ac:dyDescent="0.3"/>
    <row r="48" spans="2:7" ht="13.8" thickBot="1" x14ac:dyDescent="0.3">
      <c r="B48" s="310" t="str">
        <f>HLOOKUP(Deckblatt!$C$12,Language!G1:H102,6,FALSE)</f>
        <v>Antragsteller</v>
      </c>
      <c r="C48" s="311"/>
      <c r="D48" s="311"/>
      <c r="E48" s="311"/>
      <c r="F48" s="311"/>
      <c r="G48" s="312"/>
    </row>
    <row r="49" spans="2:7" ht="12.75" customHeight="1" x14ac:dyDescent="0.25">
      <c r="B49" s="332" t="str">
        <f>HLOOKUP(Deckblatt!$C$12,Language!G1:H102,34,FALSE)</f>
        <v>Vorzertifizierung</v>
      </c>
      <c r="C49" s="307"/>
      <c r="D49" s="328" t="str">
        <f>HLOOKUP(Deckblatt!$C$12,Language!G1:H102,35,FALSE)</f>
        <v>Ich versichere, dass die oben gemachten Angaben der bisherigen Planung entsprechen.</v>
      </c>
      <c r="E49" s="328"/>
      <c r="F49" s="328"/>
      <c r="G49" s="329"/>
    </row>
    <row r="50" spans="2:7" x14ac:dyDescent="0.25">
      <c r="B50" s="333"/>
      <c r="C50" s="266"/>
      <c r="D50" s="318"/>
      <c r="E50" s="318"/>
      <c r="F50" s="318"/>
      <c r="G50" s="330"/>
    </row>
    <row r="51" spans="2:7" x14ac:dyDescent="0.25">
      <c r="B51" s="333" t="str">
        <f>HLOOKUP(Deckblatt!$C$12,Language!G1:H102,36,FALSE)</f>
        <v>Zertifizierung</v>
      </c>
      <c r="C51" s="266"/>
      <c r="D51" s="318" t="str">
        <f>HLOOKUP(Deckblatt!$C$12,Language!G1:H102,37,FALSE)</f>
        <v>Ich versichere, dass alle eingetragenen Bewertungen auf Plausibilität überprüft wurden und gemäß den DGNB Anforderungen vorgenommen wurden.</v>
      </c>
      <c r="E51" s="318"/>
      <c r="F51" s="318"/>
      <c r="G51" s="330"/>
    </row>
    <row r="52" spans="2:7" x14ac:dyDescent="0.25">
      <c r="B52" s="333"/>
      <c r="C52" s="266"/>
      <c r="D52" s="318"/>
      <c r="E52" s="318"/>
      <c r="F52" s="318"/>
      <c r="G52" s="330"/>
    </row>
    <row r="53" spans="2:7" x14ac:dyDescent="0.25">
      <c r="B53" s="32" t="str">
        <f>HLOOKUP(Deckblatt!$C$12,Language!G1:H102,38,FALSE)</f>
        <v>Name</v>
      </c>
      <c r="C53" s="289"/>
      <c r="D53" s="289"/>
      <c r="E53" s="289"/>
      <c r="F53" s="289"/>
      <c r="G53" s="290"/>
    </row>
    <row r="54" spans="2:7" x14ac:dyDescent="0.25">
      <c r="B54" s="32" t="str">
        <f>HLOOKUP(Deckblatt!$C$12,Language!G1:H102,39,FALSE)</f>
        <v>Datum</v>
      </c>
      <c r="C54" s="289"/>
      <c r="D54" s="289"/>
      <c r="E54" s="289"/>
      <c r="F54" s="289"/>
      <c r="G54" s="290"/>
    </row>
    <row r="55" spans="2:7" ht="10.199999999999999" customHeight="1" x14ac:dyDescent="0.25">
      <c r="B55" s="317" t="str">
        <f>HLOOKUP(Deckblatt!$C$12,Language!G1:H102,40,FALSE)</f>
        <v>Unterschrift / Stempel</v>
      </c>
      <c r="C55" s="299"/>
      <c r="D55" s="299"/>
      <c r="E55" s="299"/>
      <c r="F55" s="299"/>
      <c r="G55" s="305"/>
    </row>
    <row r="56" spans="2:7" ht="10.199999999999999" customHeight="1" x14ac:dyDescent="0.25">
      <c r="B56" s="317"/>
      <c r="C56" s="299"/>
      <c r="D56" s="299"/>
      <c r="E56" s="299"/>
      <c r="F56" s="299"/>
      <c r="G56" s="305"/>
    </row>
    <row r="57" spans="2:7" ht="10.199999999999999" customHeight="1" thickBot="1" x14ac:dyDescent="0.3">
      <c r="B57" s="331"/>
      <c r="C57" s="301"/>
      <c r="D57" s="301"/>
      <c r="E57" s="301"/>
      <c r="F57" s="301"/>
      <c r="G57" s="306"/>
    </row>
    <row r="59" spans="2:7" x14ac:dyDescent="0.25">
      <c r="B59" s="33" t="s">
        <v>1007</v>
      </c>
    </row>
  </sheetData>
  <mergeCells count="58">
    <mergeCell ref="C51:C52"/>
    <mergeCell ref="D49:G50"/>
    <mergeCell ref="D51:G52"/>
    <mergeCell ref="B55:B57"/>
    <mergeCell ref="D38:G39"/>
    <mergeCell ref="D40:G41"/>
    <mergeCell ref="B38:B39"/>
    <mergeCell ref="B40:B41"/>
    <mergeCell ref="C38:C39"/>
    <mergeCell ref="C40:C41"/>
    <mergeCell ref="B49:B50"/>
    <mergeCell ref="B51:B52"/>
    <mergeCell ref="B48:G48"/>
    <mergeCell ref="C42:G42"/>
    <mergeCell ref="C43:G43"/>
    <mergeCell ref="B44:B46"/>
    <mergeCell ref="C44:G46"/>
    <mergeCell ref="C55:G57"/>
    <mergeCell ref="C49:C50"/>
    <mergeCell ref="F25:G25"/>
    <mergeCell ref="B37:G37"/>
    <mergeCell ref="C27:G27"/>
    <mergeCell ref="F28:G28"/>
    <mergeCell ref="F33:G33"/>
    <mergeCell ref="C28:D28"/>
    <mergeCell ref="C29:D29"/>
    <mergeCell ref="C30:D30"/>
    <mergeCell ref="C31:D31"/>
    <mergeCell ref="C32:G32"/>
    <mergeCell ref="F29:G29"/>
    <mergeCell ref="F30:G30"/>
    <mergeCell ref="F31:G31"/>
    <mergeCell ref="B34:G34"/>
    <mergeCell ref="B35:G35"/>
    <mergeCell ref="C53:G53"/>
    <mergeCell ref="C54:G54"/>
    <mergeCell ref="C10:G10"/>
    <mergeCell ref="C14:E14"/>
    <mergeCell ref="C15:E15"/>
    <mergeCell ref="C16:E16"/>
    <mergeCell ref="C17:E17"/>
    <mergeCell ref="C18:E18"/>
    <mergeCell ref="C19:E19"/>
    <mergeCell ref="C21:E21"/>
    <mergeCell ref="C23:E23"/>
    <mergeCell ref="C25:E25"/>
    <mergeCell ref="C20:G20"/>
    <mergeCell ref="C22:G22"/>
    <mergeCell ref="C24:G24"/>
    <mergeCell ref="F23:G23"/>
    <mergeCell ref="C9:G9"/>
    <mergeCell ref="B2:F3"/>
    <mergeCell ref="C5:G5"/>
    <mergeCell ref="C6:G6"/>
    <mergeCell ref="C7:G7"/>
    <mergeCell ref="C8:G8"/>
    <mergeCell ref="B4:G4"/>
    <mergeCell ref="C12:D12"/>
  </mergeCells>
  <dataValidations disablePrompts="1" count="1">
    <dataValidation type="list" allowBlank="1" showInputMessage="1" showErrorMessage="1" sqref="C5:G5" xr:uid="{85128B16-C1A6-4468-8985-D2AFC6ABB980}">
      <formula1>"SQ Stadtquartier V2020,BQ Businessquartier V2020,EA Event Areal V2020,IS Industirestandort V2020,GG Gewerbegebiet V2020"</formula1>
    </dataValidation>
  </dataValidations>
  <pageMargins left="0.7" right="0.7" top="0.78740157499999996" bottom="0.78740157499999996" header="0.3" footer="0.3"/>
  <pageSetup paperSize="9" scale="8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7620</xdr:colOff>
                    <xdr:row>37</xdr:row>
                    <xdr:rowOff>68580</xdr:rowOff>
                  </from>
                  <to>
                    <xdr:col>2</xdr:col>
                    <xdr:colOff>228600</xdr:colOff>
                    <xdr:row>38</xdr:row>
                    <xdr:rowOff>114300</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2</xdr:col>
                    <xdr:colOff>7620</xdr:colOff>
                    <xdr:row>39</xdr:row>
                    <xdr:rowOff>60960</xdr:rowOff>
                  </from>
                  <to>
                    <xdr:col>2</xdr:col>
                    <xdr:colOff>228600</xdr:colOff>
                    <xdr:row>40</xdr:row>
                    <xdr:rowOff>106680</xdr:rowOff>
                  </to>
                </anchor>
              </controlPr>
            </control>
          </mc:Choice>
        </mc:AlternateContent>
        <mc:AlternateContent xmlns:mc="http://schemas.openxmlformats.org/markup-compatibility/2006">
          <mc:Choice Requires="x14">
            <control shapeId="1028" r:id="rId6" name="Check Box 4">
              <controlPr defaultSize="0" autoFill="0" autoLine="0" autoPict="0">
                <anchor moveWithCells="1">
                  <from>
                    <xdr:col>2</xdr:col>
                    <xdr:colOff>7620</xdr:colOff>
                    <xdr:row>48</xdr:row>
                    <xdr:rowOff>68580</xdr:rowOff>
                  </from>
                  <to>
                    <xdr:col>2</xdr:col>
                    <xdr:colOff>228600</xdr:colOff>
                    <xdr:row>49</xdr:row>
                    <xdr:rowOff>114300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2</xdr:col>
                    <xdr:colOff>7620</xdr:colOff>
                    <xdr:row>50</xdr:row>
                    <xdr:rowOff>60960</xdr:rowOff>
                  </from>
                  <to>
                    <xdr:col>2</xdr:col>
                    <xdr:colOff>228600</xdr:colOff>
                    <xdr:row>51</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C984D6-9511-4D45-88F5-4E91E8DCEE5C}">
          <x14:formula1>
            <xm:f>Language!$C$1:$D$1</xm:f>
          </x14:formula1>
          <xm:sqref>C12:D12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85A1A-1ECA-4E99-B046-A1C836D86680}">
  <sheetPr codeName="Sheet13">
    <tabColor rgb="FF4DAA50"/>
  </sheetPr>
  <dimension ref="A1:C2"/>
  <sheetViews>
    <sheetView workbookViewId="0"/>
  </sheetViews>
  <sheetFormatPr defaultRowHeight="13.2" x14ac:dyDescent="0.25"/>
  <sheetData>
    <row r="1" spans="1:3" x14ac:dyDescent="0.25">
      <c r="A1" t="s">
        <v>1854</v>
      </c>
    </row>
    <row r="2" spans="1:3" x14ac:dyDescent="0.25">
      <c r="A2" t="s">
        <v>1855</v>
      </c>
      <c r="B2" t="s">
        <v>1858</v>
      </c>
      <c r="C2" t="s">
        <v>1856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DAA50"/>
    <pageSetUpPr fitToPage="1"/>
  </sheetPr>
  <dimension ref="B1:V537"/>
  <sheetViews>
    <sheetView tabSelected="1" zoomScale="115" zoomScaleNormal="115" workbookViewId="0">
      <pane ySplit="4" topLeftCell="A10" activePane="bottomLeft" state="frozen"/>
      <selection pane="bottomLeft" activeCell="H17" sqref="H17"/>
    </sheetView>
  </sheetViews>
  <sheetFormatPr defaultColWidth="11.44140625" defaultRowHeight="13.2" outlineLevelCol="1" x14ac:dyDescent="0.25"/>
  <cols>
    <col min="1" max="1" width="1.6640625" style="17" customWidth="1"/>
    <col min="2" max="2" width="8.6640625" style="17" customWidth="1"/>
    <col min="3" max="3" width="5.88671875" style="17" customWidth="1"/>
    <col min="4" max="4" width="8.6640625" style="17" customWidth="1"/>
    <col min="5" max="5" width="66.33203125" style="17" customWidth="1"/>
    <col min="6" max="6" width="15.5546875" style="17" customWidth="1"/>
    <col min="7" max="9" width="12.6640625" style="17" customWidth="1"/>
    <col min="10" max="11" width="3.6640625" style="17" customWidth="1"/>
    <col min="12" max="12" width="6.6640625" style="17" customWidth="1"/>
    <col min="13" max="13" width="12.6640625" style="17" customWidth="1"/>
    <col min="14" max="14" width="36.6640625" style="17"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8.33203125" style="184" customWidth="1" collapsed="1"/>
    <col min="23" max="16384" width="11.44140625" style="17"/>
  </cols>
  <sheetData>
    <row r="1" spans="2:21" ht="13.8" thickBot="1" x14ac:dyDescent="0.3"/>
    <row r="2" spans="2:21" ht="26.1" customHeight="1" thickBot="1" x14ac:dyDescent="0.3">
      <c r="B2" s="467" t="str">
        <f>Deckblatt!B6</f>
        <v>Vertragsnummer</v>
      </c>
      <c r="C2" s="457"/>
      <c r="D2" s="457"/>
      <c r="E2" s="35">
        <f>Deckblatt!C6</f>
        <v>0</v>
      </c>
      <c r="F2" s="261" t="str">
        <f>Deckblatt!C15</f>
        <v>Ökologische Qualität</v>
      </c>
      <c r="G2" s="258">
        <f>ROUNDDOWN(T12,3)</f>
        <v>0.88</v>
      </c>
      <c r="H2" s="261" t="str">
        <f>Deckblatt!C18</f>
        <v>Technische Qualität</v>
      </c>
      <c r="I2" s="263">
        <f>ROUNDDOWN(T331,3)</f>
        <v>0.90900000000000003</v>
      </c>
      <c r="J2" s="447" t="str">
        <f>Deckblatt!C21</f>
        <v>Gesamterfüllungsgrad</v>
      </c>
      <c r="K2" s="448"/>
      <c r="L2" s="449"/>
      <c r="M2" s="444">
        <f>ROUNDDOWN(U12,3)</f>
        <v>0.83399999999999996</v>
      </c>
      <c r="P2" s="420" t="s">
        <v>43</v>
      </c>
      <c r="Q2" s="421"/>
      <c r="R2" s="421"/>
      <c r="S2" s="421"/>
      <c r="T2" s="421"/>
      <c r="U2" s="422"/>
    </row>
    <row r="3" spans="2:21" ht="26.1" customHeight="1" thickBot="1" x14ac:dyDescent="0.3">
      <c r="B3" s="468" t="str">
        <f>Deckblatt!B7</f>
        <v>Bauvorhaben</v>
      </c>
      <c r="C3" s="469"/>
      <c r="D3" s="469"/>
      <c r="E3" s="38" t="str">
        <f>Deckblatt!C7</f>
        <v>Superquartier</v>
      </c>
      <c r="F3" s="261" t="str">
        <f>Deckblatt!C16</f>
        <v>Ökonomische Qualität</v>
      </c>
      <c r="G3" s="259">
        <f>ROUNDDOWN(T87,3)</f>
        <v>0.82</v>
      </c>
      <c r="H3" s="262" t="str">
        <f>Deckblatt!C19</f>
        <v>Prozessqualität</v>
      </c>
      <c r="I3" s="264">
        <f>ROUNDDOWN(T424,3)</f>
        <v>0.71</v>
      </c>
      <c r="J3" s="450"/>
      <c r="K3" s="451"/>
      <c r="L3" s="452"/>
      <c r="M3" s="445"/>
      <c r="P3" s="423"/>
      <c r="Q3" s="424"/>
      <c r="R3" s="424"/>
      <c r="S3" s="424"/>
      <c r="T3" s="424"/>
      <c r="U3" s="425"/>
    </row>
    <row r="4" spans="2:21" ht="26.1" customHeight="1" thickBot="1" x14ac:dyDescent="0.3">
      <c r="B4" s="402" t="str">
        <f>Deckblatt!B9</f>
        <v>DGNB Auditor</v>
      </c>
      <c r="C4" s="403"/>
      <c r="D4" s="403"/>
      <c r="E4" s="42">
        <f>Deckblatt!C9</f>
        <v>0</v>
      </c>
      <c r="F4" s="262" t="str">
        <f>Deckblatt!C17</f>
        <v>Soziokulturelle und Funktionale Qualität</v>
      </c>
      <c r="G4" s="260">
        <f>ROUNDDOWN(T159,3)</f>
        <v>0.84799999999999998</v>
      </c>
      <c r="H4" s="44"/>
      <c r="I4" s="34"/>
      <c r="J4" s="453"/>
      <c r="K4" s="454"/>
      <c r="L4" s="455"/>
      <c r="M4" s="446"/>
      <c r="P4" s="426"/>
      <c r="Q4" s="427"/>
      <c r="R4" s="427"/>
      <c r="S4" s="427"/>
      <c r="T4" s="427"/>
      <c r="U4" s="428"/>
    </row>
    <row r="5" spans="2:21" ht="13.8" thickBot="1" x14ac:dyDescent="0.3"/>
    <row r="6" spans="2:21" ht="13.8" thickBot="1" x14ac:dyDescent="0.3">
      <c r="B6" s="429" t="str">
        <f>HLOOKUP(Deckblatt!$C$12,Language!G1:H102,41,FALSE)</f>
        <v>Legende:</v>
      </c>
      <c r="C6" s="430"/>
      <c r="D6" s="431"/>
      <c r="E6" s="45" t="str">
        <f>HLOOKUP(Deckblatt!$C$12,Language!G1:H102,42,FALSE)</f>
        <v>ist einzutragen</v>
      </c>
      <c r="F6" s="410" t="str">
        <f>HLOOKUP(Deckblatt!$C$12,Language!G1:H102,43,FALSE)</f>
        <v>wird autom. berechnet</v>
      </c>
      <c r="G6" s="411"/>
      <c r="H6" s="429" t="str">
        <f>HLOOKUP(Deckblatt!$C$12,Language!G1:H102,44,FALSE)</f>
        <v>Systemvorgaben</v>
      </c>
      <c r="I6" s="462"/>
      <c r="J6" s="463" t="str">
        <f>HLOOKUP(Deckblatt!$C$12,Language!G1:H102,45,FALSE)</f>
        <v>Zelle ohne Inhalt</v>
      </c>
      <c r="K6" s="464"/>
      <c r="L6" s="464"/>
      <c r="M6" s="465"/>
      <c r="N6" s="33" t="s">
        <v>1007</v>
      </c>
    </row>
    <row r="7" spans="2:21" ht="4.5" customHeight="1" x14ac:dyDescent="0.25"/>
    <row r="8" spans="2:21" ht="13.5" customHeight="1" x14ac:dyDescent="0.25">
      <c r="B8" s="419" t="s">
        <v>1831</v>
      </c>
      <c r="C8" s="419"/>
      <c r="D8" s="419"/>
      <c r="E8" s="419"/>
      <c r="F8" s="419"/>
      <c r="G8" s="419"/>
      <c r="H8" s="419"/>
      <c r="I8" s="419"/>
      <c r="J8" s="419"/>
      <c r="K8" s="419"/>
      <c r="L8" s="419"/>
      <c r="M8" s="419"/>
      <c r="N8" s="419"/>
    </row>
    <row r="9" spans="2:21" ht="3.75" customHeight="1" thickBot="1" x14ac:dyDescent="0.3">
      <c r="B9" s="187"/>
      <c r="C9" s="187"/>
      <c r="D9" s="187"/>
      <c r="E9" s="187"/>
      <c r="F9" s="187"/>
      <c r="G9" s="187"/>
      <c r="H9" s="187"/>
      <c r="I9" s="187"/>
      <c r="J9" s="187"/>
      <c r="K9" s="187"/>
      <c r="L9" s="187"/>
      <c r="M9" s="187"/>
      <c r="N9" s="187"/>
    </row>
    <row r="10" spans="2:21" ht="48" customHeight="1" x14ac:dyDescent="0.25">
      <c r="B10" s="404" t="str">
        <f>HLOOKUP(Deckblatt!$C$12,Language!G1:H102,47,FALSE)</f>
        <v>Nr</v>
      </c>
      <c r="C10" s="406" t="str">
        <f>HLOOKUP(Deckblatt!$C$12,Language!G1:H102,48,FALSE)</f>
        <v>Kriterium</v>
      </c>
      <c r="D10" s="406"/>
      <c r="E10" s="408" t="str">
        <f>HLOOKUP(Deckblatt!$C$12,Language!G1:H102,49,FALSE)</f>
        <v>Indikator</v>
      </c>
      <c r="F10" s="466" t="str">
        <f>HLOOKUP(Deckblatt!$C$12,Language!G1:H102,50,FALSE)</f>
        <v>Punkte
(Auditor)</v>
      </c>
      <c r="G10" s="406"/>
      <c r="H10" s="406"/>
      <c r="I10" s="442" t="str">
        <f>HLOOKUP(Deckblatt!$C$12,Language!G1:H102,54,FALSE)</f>
        <v>spezifischer
Bedeutungsfaktor</v>
      </c>
      <c r="J10" s="456" t="str">
        <f>HLOOKUP(Deckblatt!$C$12,Language!G1:H102,55,FALSE)</f>
        <v>Kommentar / Bemerkung
AUDITOR</v>
      </c>
      <c r="K10" s="457"/>
      <c r="L10" s="457"/>
      <c r="M10" s="457"/>
      <c r="N10" s="458"/>
      <c r="P10" s="440" t="s">
        <v>80</v>
      </c>
      <c r="Q10" s="432" t="s">
        <v>597</v>
      </c>
      <c r="R10" s="432" t="s">
        <v>45</v>
      </c>
      <c r="S10" s="432" t="s">
        <v>44</v>
      </c>
      <c r="T10" s="432" t="s">
        <v>46</v>
      </c>
      <c r="U10" s="470" t="s">
        <v>29</v>
      </c>
    </row>
    <row r="11" spans="2:21" ht="48" customHeight="1" thickBot="1" x14ac:dyDescent="0.3">
      <c r="B11" s="405"/>
      <c r="C11" s="407"/>
      <c r="D11" s="407"/>
      <c r="E11" s="409"/>
      <c r="F11" s="47" t="str">
        <f>HLOOKUP(Deckblatt!$C$12,Language!G1:H102,51,FALSE)</f>
        <v>IST-Punkte (Kriterium)</v>
      </c>
      <c r="G11" s="48" t="str">
        <f>HLOOKUP(Deckblatt!$C$12,Language!G1:H102,52,FALSE)</f>
        <v>IST-Punkte (Indikator)</v>
      </c>
      <c r="H11" s="48" t="str">
        <f>HLOOKUP(Deckblatt!$C$12,Language!G1:H102,53,FALSE)</f>
        <v>Max. Punkte</v>
      </c>
      <c r="I11" s="443"/>
      <c r="J11" s="459"/>
      <c r="K11" s="460"/>
      <c r="L11" s="460"/>
      <c r="M11" s="460"/>
      <c r="N11" s="461"/>
      <c r="P11" s="441"/>
      <c r="Q11" s="433"/>
      <c r="R11" s="433"/>
      <c r="S11" s="433"/>
      <c r="T11" s="433"/>
      <c r="U11" s="471"/>
    </row>
    <row r="12" spans="2:21" x14ac:dyDescent="0.25">
      <c r="B12" s="49" t="s">
        <v>52</v>
      </c>
      <c r="C12" s="438" t="str">
        <f>HLOOKUP(Deckblatt!$C$12,Language!$C$1:$D$730,2,FALSE)</f>
        <v>Ökobilanz</v>
      </c>
      <c r="D12" s="438"/>
      <c r="E12" s="439"/>
      <c r="F12" s="50">
        <f>Q12</f>
        <v>106</v>
      </c>
      <c r="G12" s="434"/>
      <c r="H12" s="136">
        <v>150</v>
      </c>
      <c r="I12" s="136">
        <v>8</v>
      </c>
      <c r="J12" s="435"/>
      <c r="K12" s="436"/>
      <c r="L12" s="436"/>
      <c r="M12" s="436"/>
      <c r="N12" s="437"/>
      <c r="P12" s="18">
        <f>IF(G12&gt;H12,H12,G12)</f>
        <v>0</v>
      </c>
      <c r="Q12" s="493">
        <f>IF(SUM(IF(P15+P16&gt;10,10,P15+P16),P19,P21)&gt;100,100+P24+P25+P26+P27,SUM(IF(P15+P16&gt;10,10,P15+P16),P19,P21,P24,P25,P26,P27))</f>
        <v>106</v>
      </c>
      <c r="R12" s="474">
        <f>Q12/100</f>
        <v>1.06</v>
      </c>
      <c r="S12" s="474">
        <v>0.2</v>
      </c>
      <c r="T12" s="343">
        <f>IF((R12*I12+R28*I28+R39*I39+R59*I59+R70*I70)/(I12+I28+I39+I59+I70)&gt;1,1,(R12*I12+R28*I28+R39*I39+R59*I59+R70*I70)/(I12+I28+I39+I59+I70))</f>
        <v>0.88019999999999998</v>
      </c>
      <c r="U12" s="343">
        <f>(1/5*T12+1/5*T87+1/5*T159+1/5*T331+1/5*T424)</f>
        <v>0.83403774154589383</v>
      </c>
    </row>
    <row r="13" spans="2:21" x14ac:dyDescent="0.25">
      <c r="B13" s="345"/>
      <c r="C13" s="351" t="s">
        <v>54</v>
      </c>
      <c r="D13" s="352" t="str">
        <f>HLOOKUP(Deckblatt!$C$12,Language!$C$1:$D$730,3,FALSE)</f>
        <v>Ökobilanz in der Planung</v>
      </c>
      <c r="E13" s="353"/>
      <c r="F13" s="417"/>
      <c r="G13" s="356"/>
      <c r="H13" s="21" cm="1">
        <f t="array" ref="H13">_xll.Adapter.Execute?by_BHoMAdapter_IExecuteCommand_ActionConfig_Boolean</f>
        <v>-815202296</v>
      </c>
      <c r="I13" s="415"/>
      <c r="J13" s="340"/>
      <c r="K13" s="341"/>
      <c r="L13" s="341"/>
      <c r="M13" s="341"/>
      <c r="N13" s="342"/>
      <c r="P13" s="18">
        <f t="shared" ref="P13:P62" si="0">IF(G13&gt;H13,H13,G13)</f>
        <v>-815202296</v>
      </c>
      <c r="Q13" s="493"/>
      <c r="R13" s="474"/>
      <c r="S13" s="474"/>
      <c r="T13" s="344"/>
      <c r="U13" s="475"/>
    </row>
    <row r="14" spans="2:21" x14ac:dyDescent="0.25">
      <c r="B14" s="346"/>
      <c r="C14" s="351"/>
      <c r="D14" s="361" t="s">
        <v>58</v>
      </c>
      <c r="E14" s="150" t="str">
        <f>HLOOKUP(Deckblatt!$C$12,Language!$C$1:$D$730,4,FALSE)</f>
        <v>Integration von Ökobilanzen in den Planungsprozess</v>
      </c>
      <c r="F14" s="418"/>
      <c r="G14" s="356"/>
      <c r="H14" s="21">
        <v>10</v>
      </c>
      <c r="I14" s="416"/>
      <c r="J14" s="340"/>
      <c r="K14" s="341"/>
      <c r="L14" s="341"/>
      <c r="M14" s="341"/>
      <c r="N14" s="342"/>
      <c r="P14" s="18">
        <f t="shared" si="0"/>
        <v>0</v>
      </c>
      <c r="Q14" s="493"/>
      <c r="R14" s="474"/>
      <c r="S14" s="474"/>
      <c r="T14" s="344"/>
      <c r="U14" s="475"/>
    </row>
    <row r="15" spans="2:21" ht="39.6" x14ac:dyDescent="0.25">
      <c r="B15" s="346"/>
      <c r="C15" s="351"/>
      <c r="D15" s="361"/>
      <c r="E15" s="188" t="str">
        <f>HLOOKUP(Deckblatt!$C$12,Language!$C$1:$D$730,5,FALSE)</f>
        <v xml:space="preserve">In der frühen Planungsphase: Pro analysiertem Handlungsfeld können 2 Punkte vergeben werden.
</v>
      </c>
      <c r="F15" s="418"/>
      <c r="G15" s="69"/>
      <c r="H15" s="18">
        <v>6</v>
      </c>
      <c r="I15" s="416"/>
      <c r="J15" s="340"/>
      <c r="K15" s="341"/>
      <c r="L15" s="341"/>
      <c r="M15" s="341"/>
      <c r="N15" s="342"/>
      <c r="P15" s="18">
        <f t="shared" si="0"/>
        <v>0</v>
      </c>
      <c r="Q15" s="493"/>
      <c r="R15" s="474"/>
      <c r="S15" s="474"/>
      <c r="T15" s="344"/>
      <c r="U15" s="475"/>
    </row>
    <row r="16" spans="2:21" ht="26.4" x14ac:dyDescent="0.25">
      <c r="B16" s="346"/>
      <c r="C16" s="351"/>
      <c r="D16" s="361"/>
      <c r="E16" s="188" t="str">
        <f>HLOOKUP(Deckblatt!$C$12,Language!$C$1:$D$730,6,FALSE)</f>
        <v xml:space="preserve">Ökobilanziellen Auswirkungen von Planungsänderungen planungsbegleitend
</v>
      </c>
      <c r="F16" s="418"/>
      <c r="G16" s="69"/>
      <c r="H16" s="18">
        <v>4</v>
      </c>
      <c r="I16" s="416"/>
      <c r="J16" s="340"/>
      <c r="K16" s="341"/>
      <c r="L16" s="341"/>
      <c r="M16" s="341"/>
      <c r="N16" s="342"/>
      <c r="P16" s="18">
        <f t="shared" si="0"/>
        <v>0</v>
      </c>
      <c r="Q16" s="493"/>
      <c r="R16" s="474"/>
      <c r="S16" s="474"/>
      <c r="T16" s="344"/>
      <c r="U16" s="475"/>
    </row>
    <row r="17" spans="2:21" x14ac:dyDescent="0.25">
      <c r="B17" s="346"/>
      <c r="C17" s="359" t="s">
        <v>61</v>
      </c>
      <c r="D17" s="352" t="str">
        <f>HLOOKUP(Deckblatt!$C$12,Language!$C$1:$D$730,7,FALSE)</f>
        <v>Ökobilanz-Optimierung</v>
      </c>
      <c r="E17" s="353"/>
      <c r="F17" s="418"/>
      <c r="G17" s="113"/>
      <c r="H17" s="21">
        <v>10</v>
      </c>
      <c r="I17" s="416"/>
      <c r="J17" s="340"/>
      <c r="K17" s="341"/>
      <c r="L17" s="341"/>
      <c r="M17" s="341"/>
      <c r="N17" s="342"/>
      <c r="P17" s="18">
        <f t="shared" si="0"/>
        <v>0</v>
      </c>
      <c r="Q17" s="493"/>
      <c r="R17" s="474"/>
      <c r="S17" s="474"/>
      <c r="T17" s="344"/>
      <c r="U17" s="475"/>
    </row>
    <row r="18" spans="2:21" x14ac:dyDescent="0.25">
      <c r="B18" s="346"/>
      <c r="C18" s="390"/>
      <c r="D18" s="398" t="s">
        <v>63</v>
      </c>
      <c r="E18" s="150" t="str">
        <f>HLOOKUP(Deckblatt!$C$12,Language!$C$1:$D$730,8,FALSE)</f>
        <v>Planungsbegleitende Ökobilanz-Optimierung</v>
      </c>
      <c r="F18" s="418"/>
      <c r="G18" s="113"/>
      <c r="H18" s="21">
        <v>10</v>
      </c>
      <c r="I18" s="416"/>
      <c r="J18" s="340"/>
      <c r="K18" s="341"/>
      <c r="L18" s="341"/>
      <c r="M18" s="341"/>
      <c r="N18" s="342"/>
      <c r="P18" s="18">
        <f t="shared" si="0"/>
        <v>0</v>
      </c>
      <c r="Q18" s="493"/>
      <c r="R18" s="474"/>
      <c r="S18" s="474"/>
      <c r="T18" s="344"/>
      <c r="U18" s="475"/>
    </row>
    <row r="19" spans="2:21" ht="46.95" customHeight="1" x14ac:dyDescent="0.25">
      <c r="B19" s="346"/>
      <c r="C19" s="390"/>
      <c r="D19" s="414"/>
      <c r="E19" s="188" t="str">
        <f>HLOOKUP(Deckblatt!$C$12,Language!$C$1:$D$730,9,FALSE)</f>
        <v>- Umfassende Betrachtung  (10 Punkte)
ODER
- Teilbetrachtung (5 Punkte)</v>
      </c>
      <c r="F19" s="418"/>
      <c r="G19" s="69">
        <v>4</v>
      </c>
      <c r="H19" s="18">
        <v>10</v>
      </c>
      <c r="I19" s="416"/>
      <c r="J19" s="340"/>
      <c r="K19" s="341"/>
      <c r="L19" s="341"/>
      <c r="M19" s="341"/>
      <c r="N19" s="342"/>
      <c r="P19" s="18">
        <f t="shared" si="0"/>
        <v>4</v>
      </c>
      <c r="Q19" s="493"/>
      <c r="R19" s="474"/>
      <c r="S19" s="474"/>
      <c r="T19" s="344"/>
      <c r="U19" s="475"/>
    </row>
    <row r="20" spans="2:21" x14ac:dyDescent="0.25">
      <c r="B20" s="346"/>
      <c r="C20" s="359" t="s">
        <v>64</v>
      </c>
      <c r="D20" s="352" t="str">
        <f>HLOOKUP(Deckblatt!$C$12,Language!$C$1:$D$730,10,FALSE)</f>
        <v>Ökobilanz Vergleichsrechnung</v>
      </c>
      <c r="E20" s="353"/>
      <c r="F20" s="418"/>
      <c r="G20" s="113"/>
      <c r="H20" s="21">
        <v>100</v>
      </c>
      <c r="I20" s="416"/>
      <c r="J20" s="340"/>
      <c r="K20" s="341"/>
      <c r="L20" s="341"/>
      <c r="M20" s="341"/>
      <c r="N20" s="342"/>
      <c r="P20" s="18">
        <f t="shared" si="0"/>
        <v>0</v>
      </c>
      <c r="Q20" s="493"/>
      <c r="R20" s="474"/>
      <c r="S20" s="474"/>
      <c r="T20" s="344"/>
      <c r="U20" s="475"/>
    </row>
    <row r="21" spans="2:21" ht="24.75" customHeight="1" x14ac:dyDescent="0.25">
      <c r="B21" s="346"/>
      <c r="C21" s="390"/>
      <c r="D21" s="71" t="s">
        <v>66</v>
      </c>
      <c r="E21" s="150" t="str">
        <f>HLOOKUP(Deckblatt!$C$12,Language!$C$1:$D$730,11,FALSE)</f>
        <v xml:space="preserve">Gewichtete Umweltwirkungen: gesamtes Quartier
</v>
      </c>
      <c r="F21" s="418"/>
      <c r="G21" s="69">
        <v>80</v>
      </c>
      <c r="H21" s="18">
        <v>100</v>
      </c>
      <c r="I21" s="416"/>
      <c r="J21" s="340"/>
      <c r="K21" s="341"/>
      <c r="L21" s="341"/>
      <c r="M21" s="341"/>
      <c r="N21" s="342"/>
      <c r="P21" s="18">
        <f t="shared" si="0"/>
        <v>80</v>
      </c>
      <c r="Q21" s="493"/>
      <c r="R21" s="474"/>
      <c r="S21" s="474"/>
      <c r="T21" s="344"/>
      <c r="U21" s="475"/>
    </row>
    <row r="22" spans="2:21" x14ac:dyDescent="0.25">
      <c r="B22" s="346"/>
      <c r="C22" s="351" t="s">
        <v>67</v>
      </c>
      <c r="D22" s="412" t="str">
        <f>HLOOKUP(Deckblatt!$C$12,Language!$C$1:$D$730,14,FALSE)</f>
        <v>AGENDA 2030 BONUS - KLIMASCHUTZZIELE</v>
      </c>
      <c r="E22" s="413"/>
      <c r="F22" s="418"/>
      <c r="G22" s="356"/>
      <c r="H22" s="21">
        <v>50</v>
      </c>
      <c r="I22" s="416"/>
      <c r="J22" s="340"/>
      <c r="K22" s="341"/>
      <c r="L22" s="341"/>
      <c r="M22" s="341"/>
      <c r="N22" s="342"/>
      <c r="P22" s="18">
        <f t="shared" si="0"/>
        <v>0</v>
      </c>
      <c r="Q22" s="493"/>
      <c r="R22" s="474"/>
      <c r="S22" s="474"/>
      <c r="T22" s="344"/>
      <c r="U22" s="475"/>
    </row>
    <row r="23" spans="2:21" x14ac:dyDescent="0.25">
      <c r="B23" s="346"/>
      <c r="C23" s="351"/>
      <c r="D23" s="398" t="s">
        <v>69</v>
      </c>
      <c r="E23" s="53" t="str">
        <f>HLOOKUP(Deckblatt!$C$12,Language!$C$1:$D$730,15,FALSE)</f>
        <v>Ambitionen zum Erreichen von Klimaneutralität</v>
      </c>
      <c r="F23" s="418"/>
      <c r="G23" s="356"/>
      <c r="H23" s="21">
        <v>48</v>
      </c>
      <c r="I23" s="416"/>
      <c r="J23" s="340"/>
      <c r="K23" s="341"/>
      <c r="L23" s="341"/>
      <c r="M23" s="341"/>
      <c r="N23" s="342"/>
      <c r="P23" s="18">
        <f t="shared" si="0"/>
        <v>0</v>
      </c>
      <c r="Q23" s="493"/>
      <c r="R23" s="474"/>
      <c r="S23" s="474"/>
      <c r="T23" s="344"/>
      <c r="U23" s="475"/>
    </row>
    <row r="24" spans="2:21" ht="26.4" x14ac:dyDescent="0.25">
      <c r="B24" s="346"/>
      <c r="C24" s="351"/>
      <c r="D24" s="414"/>
      <c r="E24" s="134" t="str">
        <f>HLOOKUP(Deckblatt!$C$12,Language!$C$1:$D$730,16,FALSE)</f>
        <v xml:space="preserve">Klimaneutraler Energiebedarf
</v>
      </c>
      <c r="F24" s="418"/>
      <c r="G24" s="69">
        <v>20</v>
      </c>
      <c r="H24" s="18">
        <v>24</v>
      </c>
      <c r="I24" s="416"/>
      <c r="J24" s="340" t="s">
        <v>1848</v>
      </c>
      <c r="K24" s="341"/>
      <c r="L24" s="341"/>
      <c r="M24" s="341"/>
      <c r="N24" s="342"/>
      <c r="P24" s="18">
        <f t="shared" si="0"/>
        <v>20</v>
      </c>
      <c r="Q24" s="493"/>
      <c r="R24" s="474"/>
      <c r="S24" s="474"/>
      <c r="T24" s="344"/>
      <c r="U24" s="475"/>
    </row>
    <row r="25" spans="2:21" ht="26.4" x14ac:dyDescent="0.25">
      <c r="B25" s="346"/>
      <c r="C25" s="351"/>
      <c r="D25" s="414"/>
      <c r="E25" s="134" t="str">
        <f>HLOOKUP(Deckblatt!$C$12,Language!$C$1:$D$730,17,FALSE)</f>
        <v xml:space="preserve">Klimaneutraler Energiebedarf Nutzer
</v>
      </c>
      <c r="F25" s="418"/>
      <c r="G25" s="69"/>
      <c r="H25" s="18">
        <v>14</v>
      </c>
      <c r="I25" s="416"/>
      <c r="J25" s="340"/>
      <c r="K25" s="341"/>
      <c r="L25" s="341"/>
      <c r="M25" s="341"/>
      <c r="N25" s="342"/>
      <c r="P25" s="18">
        <f t="shared" si="0"/>
        <v>0</v>
      </c>
      <c r="Q25" s="493"/>
      <c r="R25" s="474"/>
      <c r="S25" s="474"/>
      <c r="T25" s="344"/>
      <c r="U25" s="475"/>
    </row>
    <row r="26" spans="2:21" ht="26.4" customHeight="1" x14ac:dyDescent="0.25">
      <c r="B26" s="346"/>
      <c r="C26" s="351"/>
      <c r="D26" s="399"/>
      <c r="E26" s="134" t="str">
        <f>HLOOKUP(Deckblatt!$C$12,Language!$E$1:$F$730,17,FALSE)</f>
        <v>Klimaneutraler Energiebedarf Mobilität MIV (Motorisierter Individualverkehr)</v>
      </c>
      <c r="F26" s="418"/>
      <c r="G26" s="69"/>
      <c r="H26" s="18">
        <v>10</v>
      </c>
      <c r="I26" s="416"/>
      <c r="J26" s="340"/>
      <c r="K26" s="341"/>
      <c r="L26" s="341"/>
      <c r="M26" s="341"/>
      <c r="N26" s="342"/>
      <c r="P26" s="18">
        <f t="shared" si="0"/>
        <v>0</v>
      </c>
      <c r="Q26" s="493"/>
      <c r="R26" s="474"/>
      <c r="S26" s="474"/>
      <c r="T26" s="344"/>
      <c r="U26" s="475"/>
    </row>
    <row r="27" spans="2:21" ht="40.950000000000003" customHeight="1" x14ac:dyDescent="0.25">
      <c r="B27" s="346"/>
      <c r="C27" s="351"/>
      <c r="D27" s="71" t="s">
        <v>78</v>
      </c>
      <c r="E27" s="54" t="str">
        <f>HLOOKUP(Deckblatt!$C$12,Language!$C$1:$D$730,18,FALSE)</f>
        <v xml:space="preserve">Halogenierte Kohlenwasserstoffe in Kältemitteln
Keine Nutzung von Kältemitteln mit einem GWP-Faktor ≥ 150 kg CO2-Äq.
</v>
      </c>
      <c r="F27" s="418"/>
      <c r="G27" s="69">
        <v>2</v>
      </c>
      <c r="H27" s="18">
        <v>2</v>
      </c>
      <c r="I27" s="416"/>
      <c r="J27" s="340"/>
      <c r="K27" s="341"/>
      <c r="L27" s="341"/>
      <c r="M27" s="341"/>
      <c r="N27" s="342"/>
      <c r="P27" s="18">
        <f t="shared" si="0"/>
        <v>2</v>
      </c>
      <c r="Q27" s="493"/>
      <c r="R27" s="474"/>
      <c r="S27" s="474"/>
      <c r="T27" s="344"/>
      <c r="U27" s="475"/>
    </row>
    <row r="28" spans="2:21" x14ac:dyDescent="0.25">
      <c r="B28" s="55" t="s">
        <v>81</v>
      </c>
      <c r="C28" s="354" t="str">
        <f>HLOOKUP(Deckblatt!$C$12,Language!$C$1:$D$730,33,FALSE)</f>
        <v>Stadtklima – Mesoklima</v>
      </c>
      <c r="D28" s="354"/>
      <c r="E28" s="355"/>
      <c r="F28" s="56">
        <f>Q28</f>
        <v>82.5</v>
      </c>
      <c r="G28" s="356"/>
      <c r="H28" s="21">
        <v>120</v>
      </c>
      <c r="I28" s="177">
        <v>5</v>
      </c>
      <c r="J28" s="340"/>
      <c r="K28" s="341"/>
      <c r="L28" s="341"/>
      <c r="M28" s="341"/>
      <c r="N28" s="342"/>
      <c r="P28" s="18">
        <f t="shared" si="0"/>
        <v>0</v>
      </c>
      <c r="Q28" s="337">
        <f>SUM(P30,IF(P32+P33&gt;40,40,P32+P33),P35,P36,P38)</f>
        <v>82.5</v>
      </c>
      <c r="R28" s="474">
        <f>Q28/100</f>
        <v>0.82499999999999996</v>
      </c>
      <c r="S28" s="474"/>
      <c r="T28" s="344"/>
      <c r="U28" s="475"/>
    </row>
    <row r="29" spans="2:21" x14ac:dyDescent="0.25">
      <c r="B29" s="375"/>
      <c r="C29" s="351" t="s">
        <v>54</v>
      </c>
      <c r="D29" s="352" t="str">
        <f>HLOOKUP(Deckblatt!$C$12,Language!$C$1:$D$730,34,FALSE)</f>
        <v>Stadtklimatische Analyse des Quartiers</v>
      </c>
      <c r="E29" s="353"/>
      <c r="F29" s="477"/>
      <c r="G29" s="356"/>
      <c r="H29" s="21">
        <v>30</v>
      </c>
      <c r="I29" s="478"/>
      <c r="J29" s="340"/>
      <c r="K29" s="341"/>
      <c r="L29" s="341"/>
      <c r="M29" s="341"/>
      <c r="N29" s="342"/>
      <c r="P29" s="18">
        <f t="shared" si="0"/>
        <v>0</v>
      </c>
      <c r="Q29" s="338"/>
      <c r="R29" s="474"/>
      <c r="S29" s="474"/>
      <c r="T29" s="344"/>
      <c r="U29" s="475"/>
    </row>
    <row r="30" spans="2:21" ht="88.5" customHeight="1" x14ac:dyDescent="0.25">
      <c r="B30" s="375"/>
      <c r="C30" s="351"/>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77"/>
      <c r="G30" s="69">
        <v>30</v>
      </c>
      <c r="H30" s="18">
        <v>30</v>
      </c>
      <c r="I30" s="478"/>
      <c r="J30" s="340"/>
      <c r="K30" s="341"/>
      <c r="L30" s="341"/>
      <c r="M30" s="341"/>
      <c r="N30" s="342"/>
      <c r="P30" s="18">
        <f t="shared" si="0"/>
        <v>30</v>
      </c>
      <c r="Q30" s="338"/>
      <c r="R30" s="474"/>
      <c r="S30" s="474"/>
      <c r="T30" s="344"/>
      <c r="U30" s="475"/>
    </row>
    <row r="31" spans="2:21" x14ac:dyDescent="0.25">
      <c r="B31" s="375"/>
      <c r="C31" s="351" t="s">
        <v>61</v>
      </c>
      <c r="D31" s="352" t="str">
        <f>HLOOKUP(Deckblatt!$C$12,Language!$C$1:$D$730,36,FALSE)</f>
        <v>Thermische Qualität der Quartiersoberflächen / Werksoberflächen</v>
      </c>
      <c r="E31" s="353"/>
      <c r="F31" s="477"/>
      <c r="G31" s="117"/>
      <c r="H31" s="21">
        <v>40</v>
      </c>
      <c r="I31" s="478"/>
      <c r="J31" s="340"/>
      <c r="K31" s="341"/>
      <c r="L31" s="341"/>
      <c r="M31" s="341"/>
      <c r="N31" s="342"/>
      <c r="P31" s="18">
        <f t="shared" si="0"/>
        <v>0</v>
      </c>
      <c r="Q31" s="338"/>
      <c r="R31" s="474"/>
      <c r="S31" s="474"/>
      <c r="T31" s="344"/>
      <c r="U31" s="475"/>
    </row>
    <row r="32" spans="2:21" ht="26.4" x14ac:dyDescent="0.25">
      <c r="B32" s="375"/>
      <c r="C32" s="351"/>
      <c r="D32" s="71" t="s">
        <v>63</v>
      </c>
      <c r="E32" s="150" t="str">
        <f>HLOOKUP(Deckblatt!$C$12,Language!$C$1:$D$730,37,FALSE)</f>
        <v xml:space="preserve">Stadtklimafaktor Stadtquartiere
</v>
      </c>
      <c r="F32" s="477"/>
      <c r="G32" s="69">
        <v>25</v>
      </c>
      <c r="H32" s="18">
        <v>40</v>
      </c>
      <c r="I32" s="478"/>
      <c r="J32" s="340"/>
      <c r="K32" s="341"/>
      <c r="L32" s="341"/>
      <c r="M32" s="341"/>
      <c r="N32" s="342"/>
      <c r="P32" s="18">
        <f t="shared" si="0"/>
        <v>25</v>
      </c>
      <c r="Q32" s="338"/>
      <c r="R32" s="474"/>
      <c r="S32" s="474"/>
      <c r="T32" s="344"/>
      <c r="U32" s="475"/>
    </row>
    <row r="33" spans="2:21" ht="39.6" x14ac:dyDescent="0.25">
      <c r="B33" s="375"/>
      <c r="C33" s="351"/>
      <c r="D33" s="71" t="s">
        <v>173</v>
      </c>
      <c r="E33" s="134" t="str">
        <f>HLOOKUP(Deckblatt!$C$12,Language!$C$1:$D$730,38,FALSE)</f>
        <v xml:space="preserve">ALTERNATIVE zu 2.1.: Es kann ein Gutachten mit Modellierung der mittleren  Strahlungstemperatur eingesetzt werden.
</v>
      </c>
      <c r="F33" s="477"/>
      <c r="G33" s="69"/>
      <c r="H33" s="18">
        <v>40</v>
      </c>
      <c r="I33" s="478"/>
      <c r="J33" s="340"/>
      <c r="K33" s="341"/>
      <c r="L33" s="341"/>
      <c r="M33" s="341"/>
      <c r="N33" s="342"/>
      <c r="P33" s="18">
        <f t="shared" si="0"/>
        <v>0</v>
      </c>
      <c r="Q33" s="338"/>
      <c r="R33" s="474"/>
      <c r="S33" s="474"/>
      <c r="T33" s="344"/>
      <c r="U33" s="475"/>
    </row>
    <row r="34" spans="2:21" x14ac:dyDescent="0.25">
      <c r="B34" s="375"/>
      <c r="C34" s="351" t="s">
        <v>64</v>
      </c>
      <c r="D34" s="352" t="str">
        <f>HLOOKUP(Deckblatt!$C$12,Language!$C$1:$D$730,41,FALSE)</f>
        <v>Belüftung</v>
      </c>
      <c r="E34" s="353"/>
      <c r="F34" s="477"/>
      <c r="G34" s="117"/>
      <c r="H34" s="21">
        <v>30</v>
      </c>
      <c r="I34" s="478"/>
      <c r="J34" s="340"/>
      <c r="K34" s="341"/>
      <c r="L34" s="341"/>
      <c r="M34" s="341"/>
      <c r="N34" s="342"/>
      <c r="P34" s="18">
        <f t="shared" si="0"/>
        <v>0</v>
      </c>
      <c r="Q34" s="338"/>
      <c r="R34" s="474"/>
      <c r="S34" s="474"/>
      <c r="T34" s="344"/>
      <c r="U34" s="475"/>
    </row>
    <row r="35" spans="2:21" ht="26.4" x14ac:dyDescent="0.25">
      <c r="B35" s="375"/>
      <c r="C35" s="351"/>
      <c r="D35" s="57" t="s">
        <v>66</v>
      </c>
      <c r="E35" s="150" t="str">
        <f>HLOOKUP(Deckblatt!$C$12,Language!$C$1:$D$730,42,FALSE)</f>
        <v xml:space="preserve">Berücksichtigung des Belüftungspotentials
</v>
      </c>
      <c r="F35" s="477"/>
      <c r="G35" s="69">
        <v>7.5</v>
      </c>
      <c r="H35" s="18">
        <v>15</v>
      </c>
      <c r="I35" s="478"/>
      <c r="J35" s="340"/>
      <c r="K35" s="341"/>
      <c r="L35" s="341"/>
      <c r="M35" s="341"/>
      <c r="N35" s="342"/>
      <c r="P35" s="18">
        <f t="shared" si="0"/>
        <v>7.5</v>
      </c>
      <c r="Q35" s="338"/>
      <c r="R35" s="474"/>
      <c r="S35" s="474"/>
      <c r="T35" s="344"/>
      <c r="U35" s="475"/>
    </row>
    <row r="36" spans="2:21" ht="25.95" customHeight="1" x14ac:dyDescent="0.25">
      <c r="B36" s="375"/>
      <c r="C36" s="351"/>
      <c r="D36" s="71" t="s">
        <v>188</v>
      </c>
      <c r="E36" s="150" t="str">
        <f>HLOOKUP(Deckblatt!$C$12,Language!$C$1:$D$730,43,FALSE)</f>
        <v xml:space="preserve">Gutachten zum Belüftungspotential
</v>
      </c>
      <c r="F36" s="477"/>
      <c r="G36" s="69"/>
      <c r="H36" s="18">
        <v>15</v>
      </c>
      <c r="I36" s="478"/>
      <c r="J36" s="340" t="s">
        <v>1838</v>
      </c>
      <c r="K36" s="341"/>
      <c r="L36" s="341"/>
      <c r="M36" s="341"/>
      <c r="N36" s="342"/>
      <c r="P36" s="18">
        <f t="shared" si="0"/>
        <v>0</v>
      </c>
      <c r="Q36" s="338"/>
      <c r="R36" s="474"/>
      <c r="S36" s="474"/>
      <c r="T36" s="344"/>
      <c r="U36" s="475"/>
    </row>
    <row r="37" spans="2:21" ht="64.2" customHeight="1" x14ac:dyDescent="0.25">
      <c r="B37" s="375"/>
      <c r="C37" s="351" t="s">
        <v>67</v>
      </c>
      <c r="D37" s="472"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473"/>
      <c r="F37" s="477"/>
      <c r="G37" s="117"/>
      <c r="H37" s="21">
        <v>20</v>
      </c>
      <c r="I37" s="478"/>
      <c r="J37" s="340"/>
      <c r="K37" s="341"/>
      <c r="L37" s="341"/>
      <c r="M37" s="341"/>
      <c r="N37" s="342"/>
      <c r="P37" s="18">
        <f t="shared" si="0"/>
        <v>0</v>
      </c>
      <c r="Q37" s="338"/>
      <c r="R37" s="474"/>
      <c r="S37" s="474"/>
      <c r="T37" s="344"/>
      <c r="U37" s="475"/>
    </row>
    <row r="38" spans="2:21" ht="96" customHeight="1" x14ac:dyDescent="0.25">
      <c r="B38" s="375"/>
      <c r="C38" s="351"/>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77"/>
      <c r="G38" s="69">
        <v>20</v>
      </c>
      <c r="H38" s="18">
        <v>20</v>
      </c>
      <c r="I38" s="478"/>
      <c r="J38" s="340"/>
      <c r="K38" s="341"/>
      <c r="L38" s="341"/>
      <c r="M38" s="341"/>
      <c r="N38" s="342"/>
      <c r="P38" s="18">
        <f t="shared" si="0"/>
        <v>20</v>
      </c>
      <c r="Q38" s="339"/>
      <c r="R38" s="474"/>
      <c r="S38" s="474"/>
      <c r="T38" s="344"/>
      <c r="U38" s="475"/>
    </row>
    <row r="39" spans="2:21" x14ac:dyDescent="0.25">
      <c r="B39" s="55" t="s">
        <v>113</v>
      </c>
      <c r="C39" s="354" t="str">
        <f>HLOOKUP(Deckblatt!$C$12,Language!$C$1:$D$730,46,FALSE)</f>
        <v>Wasserkreislaufsysteme</v>
      </c>
      <c r="D39" s="354"/>
      <c r="E39" s="355"/>
      <c r="F39" s="56">
        <f>Q39</f>
        <v>65</v>
      </c>
      <c r="G39" s="362"/>
      <c r="H39" s="137">
        <v>110</v>
      </c>
      <c r="I39" s="176">
        <v>4</v>
      </c>
      <c r="J39" s="340"/>
      <c r="K39" s="341"/>
      <c r="L39" s="341"/>
      <c r="M39" s="341"/>
      <c r="N39" s="342"/>
      <c r="P39" s="18">
        <f t="shared" si="0"/>
        <v>0</v>
      </c>
      <c r="Q39" s="337">
        <f>SUM(P41,P43:P46,P48:P49,P51,IF(P54+P55&gt;20,20,P54+P55),P58)</f>
        <v>65</v>
      </c>
      <c r="R39" s="343">
        <f>Q39/100</f>
        <v>0.65</v>
      </c>
      <c r="S39" s="474"/>
      <c r="T39" s="344"/>
      <c r="U39" s="475"/>
    </row>
    <row r="40" spans="2:21" x14ac:dyDescent="0.25">
      <c r="B40" s="345"/>
      <c r="C40" s="369" t="s">
        <v>54</v>
      </c>
      <c r="D40" s="352" t="str">
        <f>HLOOKUP(Deckblatt!$C$12,Language!$C$1:$D$730,47,FALSE)</f>
        <v>Reduzierung des Trinkwasserverbrauchs</v>
      </c>
      <c r="E40" s="353"/>
      <c r="F40" s="347"/>
      <c r="G40" s="362"/>
      <c r="H40" s="21">
        <v>45</v>
      </c>
      <c r="I40" s="349"/>
      <c r="J40" s="340"/>
      <c r="K40" s="341"/>
      <c r="L40" s="341"/>
      <c r="M40" s="341"/>
      <c r="N40" s="342"/>
      <c r="P40" s="18">
        <f t="shared" si="0"/>
        <v>0</v>
      </c>
      <c r="Q40" s="338"/>
      <c r="R40" s="344"/>
      <c r="S40" s="474"/>
      <c r="T40" s="344"/>
      <c r="U40" s="475"/>
    </row>
    <row r="41" spans="2:21" ht="26.4" x14ac:dyDescent="0.25">
      <c r="B41" s="346"/>
      <c r="C41" s="480"/>
      <c r="D41" s="71" t="s">
        <v>58</v>
      </c>
      <c r="E41" s="150" t="str">
        <f>HLOOKUP(Deckblatt!$C$12,Language!$C$1:$D$730,48,FALSE)</f>
        <v xml:space="preserve">Wassernutzungskonzept
</v>
      </c>
      <c r="F41" s="348"/>
      <c r="G41" s="69">
        <v>5</v>
      </c>
      <c r="H41" s="18">
        <v>5</v>
      </c>
      <c r="I41" s="350"/>
      <c r="J41" s="340"/>
      <c r="K41" s="341"/>
      <c r="L41" s="341"/>
      <c r="M41" s="341"/>
      <c r="N41" s="342"/>
      <c r="P41" s="18">
        <f t="shared" si="0"/>
        <v>5</v>
      </c>
      <c r="Q41" s="338"/>
      <c r="R41" s="344"/>
      <c r="S41" s="474"/>
      <c r="T41" s="344"/>
      <c r="U41" s="475"/>
    </row>
    <row r="42" spans="2:21" x14ac:dyDescent="0.25">
      <c r="B42" s="346"/>
      <c r="C42" s="480"/>
      <c r="D42" s="481" t="s">
        <v>181</v>
      </c>
      <c r="E42" s="150" t="str">
        <f>HLOOKUP(Deckblatt!$C$12,Language!$C$1:$D$730,49,FALSE)</f>
        <v>Maßnahmen zur Reduktion des Trinkwasserverbrauchs</v>
      </c>
      <c r="F42" s="348"/>
      <c r="G42" s="117"/>
      <c r="H42" s="21">
        <v>30</v>
      </c>
      <c r="I42" s="350"/>
      <c r="J42" s="340"/>
      <c r="K42" s="341"/>
      <c r="L42" s="341"/>
      <c r="M42" s="341"/>
      <c r="N42" s="342"/>
      <c r="P42" s="18">
        <f t="shared" si="0"/>
        <v>0</v>
      </c>
      <c r="Q42" s="338"/>
      <c r="R42" s="344"/>
      <c r="S42" s="474"/>
      <c r="T42" s="344"/>
      <c r="U42" s="475"/>
    </row>
    <row r="43" spans="2:21" ht="39.6" x14ac:dyDescent="0.25">
      <c r="B43" s="346"/>
      <c r="C43" s="480"/>
      <c r="D43" s="481"/>
      <c r="E43" s="134" t="str">
        <f>HLOOKUP(Deckblatt!$C$12,Language!$C$1:$D$730,50,FALSE)</f>
        <v xml:space="preserve">Maßnahme die den Trinkwasserbedarf im Quartier (Gebäude + Freiraum) reduzieren sind umgesetzt und in einem übergeordneten Konzept dargestellt. 
</v>
      </c>
      <c r="F43" s="348"/>
      <c r="G43" s="69">
        <v>5</v>
      </c>
      <c r="H43" s="18">
        <v>5</v>
      </c>
      <c r="I43" s="350"/>
      <c r="J43" s="340"/>
      <c r="K43" s="341"/>
      <c r="L43" s="341"/>
      <c r="M43" s="341"/>
      <c r="N43" s="342"/>
      <c r="P43" s="18">
        <f t="shared" si="0"/>
        <v>5</v>
      </c>
      <c r="Q43" s="338"/>
      <c r="R43" s="344"/>
      <c r="S43" s="474"/>
      <c r="T43" s="344"/>
      <c r="U43" s="475"/>
    </row>
    <row r="44" spans="2:21" ht="26.4" x14ac:dyDescent="0.25">
      <c r="B44" s="346"/>
      <c r="C44" s="480"/>
      <c r="D44" s="481"/>
      <c r="E44" s="134" t="str">
        <f>HLOOKUP(Deckblatt!$C$12,Language!$C$1:$D$730,51,FALSE)</f>
        <v xml:space="preserve">Regelmäßige Information an die Nutzer des Quartiers
</v>
      </c>
      <c r="F44" s="348"/>
      <c r="G44" s="69">
        <v>5</v>
      </c>
      <c r="H44" s="18">
        <v>5</v>
      </c>
      <c r="I44" s="350"/>
      <c r="J44" s="340" t="s">
        <v>1837</v>
      </c>
      <c r="K44" s="341"/>
      <c r="L44" s="341"/>
      <c r="M44" s="341"/>
      <c r="N44" s="342"/>
      <c r="P44" s="18">
        <f t="shared" si="0"/>
        <v>5</v>
      </c>
      <c r="Q44" s="338"/>
      <c r="R44" s="344"/>
      <c r="S44" s="474"/>
      <c r="T44" s="344"/>
      <c r="U44" s="475"/>
    </row>
    <row r="45" spans="2:21" ht="39.6" x14ac:dyDescent="0.25">
      <c r="B45" s="346"/>
      <c r="C45" s="480"/>
      <c r="D45" s="481"/>
      <c r="E45" s="134" t="str">
        <f>HLOOKUP(Deckblatt!$C$12,Language!$C$1:$D$730,52,FALSE)</f>
        <v xml:space="preserve">Max. 20% des Wasserbedarfs der WCs im Quartier werden über Trinkwasser versorgt. 
</v>
      </c>
      <c r="F45" s="348"/>
      <c r="G45" s="69">
        <v>0</v>
      </c>
      <c r="H45" s="18">
        <v>15</v>
      </c>
      <c r="I45" s="350"/>
      <c r="J45" s="340"/>
      <c r="K45" s="341"/>
      <c r="L45" s="341"/>
      <c r="M45" s="341"/>
      <c r="N45" s="342"/>
      <c r="P45" s="18">
        <f t="shared" si="0"/>
        <v>0</v>
      </c>
      <c r="Q45" s="338"/>
      <c r="R45" s="344"/>
      <c r="S45" s="474"/>
      <c r="T45" s="344"/>
      <c r="U45" s="475"/>
    </row>
    <row r="46" spans="2:21" ht="39.6" x14ac:dyDescent="0.25">
      <c r="B46" s="346"/>
      <c r="C46" s="480"/>
      <c r="D46" s="481"/>
      <c r="E46" s="134" t="str">
        <f>HLOOKUP(Deckblatt!$C$12,Language!$C$1:$D$730,53,FALSE)</f>
        <v xml:space="preserve">Nutzung von Regen- bzw. Betriebswasser* bei 100 % der öffentlichen Freiflächen 
</v>
      </c>
      <c r="F46" s="348"/>
      <c r="G46" s="69">
        <v>5</v>
      </c>
      <c r="H46" s="18">
        <v>5</v>
      </c>
      <c r="I46" s="350"/>
      <c r="J46" s="340"/>
      <c r="K46" s="341"/>
      <c r="L46" s="341"/>
      <c r="M46" s="341"/>
      <c r="N46" s="342"/>
      <c r="P46" s="18">
        <f t="shared" si="0"/>
        <v>5</v>
      </c>
      <c r="Q46" s="338"/>
      <c r="R46" s="344"/>
      <c r="S46" s="474"/>
      <c r="T46" s="344"/>
      <c r="U46" s="475"/>
    </row>
    <row r="47" spans="2:21" ht="27.6" customHeight="1" x14ac:dyDescent="0.25">
      <c r="B47" s="346"/>
      <c r="C47" s="480"/>
      <c r="D47" s="361" t="s">
        <v>121</v>
      </c>
      <c r="E47" s="68" t="str">
        <f>HLOOKUP(Deckblatt!$C$12,Language!$C$1:$D$730,58,FALSE)</f>
        <v xml:space="preserve">CIRCULAR ECONOMY BONUS - WIEDERVERWENDUNG SCHWARZWASSER
</v>
      </c>
      <c r="F47" s="348"/>
      <c r="G47" s="117"/>
      <c r="H47" s="21">
        <v>10</v>
      </c>
      <c r="I47" s="350"/>
      <c r="J47" s="340"/>
      <c r="K47" s="341"/>
      <c r="L47" s="341"/>
      <c r="M47" s="341"/>
      <c r="N47" s="342"/>
      <c r="P47" s="18">
        <f t="shared" si="0"/>
        <v>0</v>
      </c>
      <c r="Q47" s="338"/>
      <c r="R47" s="344"/>
      <c r="S47" s="474"/>
      <c r="T47" s="344"/>
      <c r="U47" s="475"/>
    </row>
    <row r="48" spans="2:21" ht="26.4" x14ac:dyDescent="0.25">
      <c r="B48" s="346"/>
      <c r="C48" s="480"/>
      <c r="D48" s="361"/>
      <c r="E48" s="134" t="str">
        <f>HLOOKUP(Deckblatt!$C$12,Language!$C$1:$D$730,59,FALSE)</f>
        <v xml:space="preserve">Aufbereitung von Schwarzwasser für Bewässerung
</v>
      </c>
      <c r="F48" s="348"/>
      <c r="G48" s="69"/>
      <c r="H48" s="18">
        <v>5</v>
      </c>
      <c r="I48" s="350"/>
      <c r="J48" s="340"/>
      <c r="K48" s="341"/>
      <c r="L48" s="341"/>
      <c r="M48" s="341"/>
      <c r="N48" s="342"/>
      <c r="P48" s="18">
        <f t="shared" si="0"/>
        <v>0</v>
      </c>
      <c r="Q48" s="338"/>
      <c r="R48" s="344"/>
      <c r="S48" s="474"/>
      <c r="T48" s="344"/>
      <c r="U48" s="475"/>
    </row>
    <row r="49" spans="2:21" ht="39.6" x14ac:dyDescent="0.25">
      <c r="B49" s="346"/>
      <c r="C49" s="480"/>
      <c r="D49" s="361"/>
      <c r="E49" s="134" t="str">
        <f>HLOOKUP(Deckblatt!$C$12,Language!$C$1:$D$730,60,FALSE)</f>
        <v xml:space="preserve">Aufbereitung von Schwarzwasser für Nutzungen die über Bewässerung hinaus gehen
</v>
      </c>
      <c r="F49" s="348"/>
      <c r="G49" s="69"/>
      <c r="H49" s="18">
        <v>5</v>
      </c>
      <c r="I49" s="350"/>
      <c r="J49" s="340"/>
      <c r="K49" s="341"/>
      <c r="L49" s="341"/>
      <c r="M49" s="341"/>
      <c r="N49" s="342"/>
      <c r="P49" s="18">
        <f t="shared" si="0"/>
        <v>0</v>
      </c>
      <c r="Q49" s="338"/>
      <c r="R49" s="344"/>
      <c r="S49" s="474"/>
      <c r="T49" s="344"/>
      <c r="U49" s="475"/>
    </row>
    <row r="50" spans="2:21" x14ac:dyDescent="0.25">
      <c r="B50" s="346"/>
      <c r="C50" s="369" t="s">
        <v>61</v>
      </c>
      <c r="D50" s="352" t="str">
        <f>HLOOKUP(Deckblatt!$C$12,Language!$C$1:$D$730,61,FALSE)</f>
        <v>Quartierswasserbilanz</v>
      </c>
      <c r="E50" s="353"/>
      <c r="F50" s="348"/>
      <c r="G50" s="117"/>
      <c r="H50" s="21">
        <v>30</v>
      </c>
      <c r="I50" s="350"/>
      <c r="J50" s="340"/>
      <c r="K50" s="341"/>
      <c r="L50" s="341"/>
      <c r="M50" s="341"/>
      <c r="N50" s="342"/>
      <c r="P50" s="18">
        <f t="shared" si="0"/>
        <v>0</v>
      </c>
      <c r="Q50" s="338"/>
      <c r="R50" s="344"/>
      <c r="S50" s="474"/>
      <c r="T50" s="344"/>
      <c r="U50" s="475"/>
    </row>
    <row r="51" spans="2:21" ht="39.6" x14ac:dyDescent="0.25">
      <c r="B51" s="346"/>
      <c r="C51" s="479"/>
      <c r="D51" s="71" t="s">
        <v>63</v>
      </c>
      <c r="E51" s="150" t="str">
        <f>HLOOKUP(Deckblatt!$C$12,Language!$C$1:$D$730,62,FALSE)</f>
        <v xml:space="preserve">Prozentuale Anteil des Niederschlags am Abfluss (A) im Verhältnis zur Referenzfläche
</v>
      </c>
      <c r="F51" s="348"/>
      <c r="G51" s="69">
        <v>10</v>
      </c>
      <c r="H51" s="18">
        <v>30</v>
      </c>
      <c r="I51" s="350"/>
      <c r="J51" s="340"/>
      <c r="K51" s="341"/>
      <c r="L51" s="341"/>
      <c r="M51" s="341"/>
      <c r="N51" s="342"/>
      <c r="P51" s="18">
        <f t="shared" si="0"/>
        <v>10</v>
      </c>
      <c r="Q51" s="338"/>
      <c r="R51" s="344"/>
      <c r="S51" s="474"/>
      <c r="T51" s="344"/>
      <c r="U51" s="475"/>
    </row>
    <row r="52" spans="2:21" x14ac:dyDescent="0.25">
      <c r="B52" s="346"/>
      <c r="C52" s="392" t="s">
        <v>64</v>
      </c>
      <c r="D52" s="352" t="str">
        <f>HLOOKUP(Deckblatt!$C$12,Language!$C$1:$D$730,63,FALSE)</f>
        <v>Rückhaltung bzw. Drosselung von Regenwasser</v>
      </c>
      <c r="E52" s="353"/>
      <c r="F52" s="348"/>
      <c r="G52" s="362"/>
      <c r="H52" s="21">
        <v>20</v>
      </c>
      <c r="I52" s="350"/>
      <c r="J52" s="340"/>
      <c r="K52" s="341"/>
      <c r="L52" s="341"/>
      <c r="M52" s="341"/>
      <c r="N52" s="342"/>
      <c r="P52" s="18">
        <f t="shared" si="0"/>
        <v>0</v>
      </c>
      <c r="Q52" s="338"/>
      <c r="R52" s="344"/>
      <c r="S52" s="474"/>
      <c r="T52" s="344"/>
      <c r="U52" s="475"/>
    </row>
    <row r="53" spans="2:21" x14ac:dyDescent="0.25">
      <c r="B53" s="346"/>
      <c r="C53" s="392"/>
      <c r="D53" s="361" t="s">
        <v>66</v>
      </c>
      <c r="E53" s="150" t="str">
        <f>HLOOKUP(Deckblatt!$C$12,Language!$C$1:$D$730,64,FALSE)</f>
        <v>Rückhaltung Regenwasser</v>
      </c>
      <c r="F53" s="348"/>
      <c r="G53" s="362"/>
      <c r="H53" s="21">
        <v>20</v>
      </c>
      <c r="I53" s="350"/>
      <c r="J53" s="340"/>
      <c r="K53" s="341"/>
      <c r="L53" s="341"/>
      <c r="M53" s="341"/>
      <c r="N53" s="342"/>
      <c r="P53" s="18">
        <f t="shared" si="0"/>
        <v>0</v>
      </c>
      <c r="Q53" s="338"/>
      <c r="R53" s="344"/>
      <c r="S53" s="474"/>
      <c r="T53" s="344"/>
      <c r="U53" s="475"/>
    </row>
    <row r="54" spans="2:21" ht="39.6" x14ac:dyDescent="0.25">
      <c r="B54" s="346"/>
      <c r="C54" s="392"/>
      <c r="D54" s="361"/>
      <c r="E54" s="134" t="str">
        <f>HLOOKUP(Deckblatt!$C$12,Language!$C$1:$D$730,65,FALSE)</f>
        <v xml:space="preserve">Regenwasserretention im Quartier. (und ggf. durch Maßnahmen außerhalb des Quartiers ergänzt)
</v>
      </c>
      <c r="F54" s="348"/>
      <c r="G54" s="69">
        <v>20</v>
      </c>
      <c r="H54" s="18">
        <v>20</v>
      </c>
      <c r="I54" s="350"/>
      <c r="J54" s="340"/>
      <c r="K54" s="341"/>
      <c r="L54" s="341"/>
      <c r="M54" s="341"/>
      <c r="N54" s="342"/>
      <c r="P54" s="18">
        <f t="shared" si="0"/>
        <v>20</v>
      </c>
      <c r="Q54" s="338"/>
      <c r="R54" s="344"/>
      <c r="S54" s="474"/>
      <c r="T54" s="344"/>
      <c r="U54" s="475"/>
    </row>
    <row r="55" spans="2:21" ht="26.4" x14ac:dyDescent="0.25">
      <c r="B55" s="346"/>
      <c r="C55" s="392"/>
      <c r="D55" s="361"/>
      <c r="E55" s="134" t="str">
        <f>HLOOKUP(Deckblatt!$C$12,Language!$C$1:$D$730,66,FALSE)</f>
        <v xml:space="preserve">Regenwasserretention ausschließlich außerhalb des Quartiers
</v>
      </c>
      <c r="F55" s="348"/>
      <c r="G55" s="69"/>
      <c r="H55" s="18">
        <v>10</v>
      </c>
      <c r="I55" s="350"/>
      <c r="J55" s="340"/>
      <c r="K55" s="341"/>
      <c r="L55" s="341"/>
      <c r="M55" s="341"/>
      <c r="N55" s="342"/>
      <c r="P55" s="18">
        <f>IF(P54&gt;0,0,IF(G55&gt;H55,H55,G55))</f>
        <v>0</v>
      </c>
      <c r="Q55" s="338"/>
      <c r="R55" s="344"/>
      <c r="S55" s="474"/>
      <c r="T55" s="344"/>
      <c r="U55" s="475"/>
    </row>
    <row r="56" spans="2:21" x14ac:dyDescent="0.25">
      <c r="B56" s="346"/>
      <c r="C56" s="392" t="s">
        <v>67</v>
      </c>
      <c r="D56" s="352" t="str">
        <f>HLOOKUP(Deckblatt!$C$12,Language!$C$1:$D$730,67,FALSE)</f>
        <v>Gestalterische Integration der Wasserinfrastruktur in das Freiraumkonzept</v>
      </c>
      <c r="E56" s="353"/>
      <c r="F56" s="348"/>
      <c r="G56" s="362"/>
      <c r="H56" s="21">
        <v>15</v>
      </c>
      <c r="I56" s="350"/>
      <c r="J56" s="340"/>
      <c r="K56" s="341"/>
      <c r="L56" s="341"/>
      <c r="M56" s="341"/>
      <c r="N56" s="342"/>
      <c r="P56" s="18">
        <f t="shared" si="0"/>
        <v>0</v>
      </c>
      <c r="Q56" s="338"/>
      <c r="R56" s="344"/>
      <c r="S56" s="474"/>
      <c r="T56" s="344"/>
      <c r="U56" s="475"/>
    </row>
    <row r="57" spans="2:21" x14ac:dyDescent="0.25">
      <c r="B57" s="346"/>
      <c r="C57" s="392"/>
      <c r="D57" s="361" t="s">
        <v>98</v>
      </c>
      <c r="E57" s="150" t="str">
        <f>HLOOKUP(Deckblatt!$C$12,Language!$C$1:$D$730,68,FALSE)</f>
        <v>Gestalterische Integration</v>
      </c>
      <c r="F57" s="348"/>
      <c r="G57" s="362"/>
      <c r="H57" s="21">
        <v>15</v>
      </c>
      <c r="I57" s="350"/>
      <c r="J57" s="340"/>
      <c r="K57" s="341"/>
      <c r="L57" s="341"/>
      <c r="M57" s="341"/>
      <c r="N57" s="342"/>
      <c r="P57" s="18">
        <f t="shared" si="0"/>
        <v>0</v>
      </c>
      <c r="Q57" s="338"/>
      <c r="R57" s="344"/>
      <c r="S57" s="474"/>
      <c r="T57" s="344"/>
      <c r="U57" s="475"/>
    </row>
    <row r="58" spans="2:21" ht="26.4" x14ac:dyDescent="0.25">
      <c r="B58" s="346"/>
      <c r="C58" s="392"/>
      <c r="D58" s="361"/>
      <c r="E58" s="134" t="str">
        <f>HLOOKUP(Deckblatt!$C$12,Language!$C$1:$D$730,69,FALSE)</f>
        <v xml:space="preserve">Die Regenwasserinfrastruktur ist gestalterisch in das Freiraumkonzept integriert. </v>
      </c>
      <c r="F58" s="348"/>
      <c r="G58" s="69">
        <v>15</v>
      </c>
      <c r="H58" s="18">
        <v>15</v>
      </c>
      <c r="I58" s="350"/>
      <c r="J58" s="340"/>
      <c r="K58" s="341"/>
      <c r="L58" s="341"/>
      <c r="M58" s="341"/>
      <c r="N58" s="342"/>
      <c r="P58" s="18">
        <f>IF(G58&gt;H58,H58,G58)</f>
        <v>15</v>
      </c>
      <c r="Q58" s="338"/>
      <c r="R58" s="344"/>
      <c r="S58" s="474"/>
      <c r="T58" s="344"/>
      <c r="U58" s="475"/>
    </row>
    <row r="59" spans="2:21" x14ac:dyDescent="0.25">
      <c r="B59" s="55" t="s">
        <v>134</v>
      </c>
      <c r="C59" s="354" t="str">
        <f>HLOOKUP(Deckblatt!$C$12,Language!$C$1:$D$730,70,FALSE)</f>
        <v>Flächeninanspruchnahme</v>
      </c>
      <c r="D59" s="354"/>
      <c r="E59" s="355"/>
      <c r="F59" s="56">
        <f>Q59</f>
        <v>95</v>
      </c>
      <c r="G59" s="356"/>
      <c r="H59" s="21">
        <v>100</v>
      </c>
      <c r="I59" s="176">
        <v>4</v>
      </c>
      <c r="J59" s="340"/>
      <c r="K59" s="341"/>
      <c r="L59" s="341"/>
      <c r="M59" s="341"/>
      <c r="N59" s="342"/>
      <c r="P59" s="18">
        <f t="shared" si="0"/>
        <v>0</v>
      </c>
      <c r="Q59" s="337">
        <f>IF(SUM(P61,P63,IF(P66+P67&gt;15,15,P66+P67),P69)&gt;100,100,SUM(P61,P63,IF(P66+P67&gt;15,15,P66+P67),P69))</f>
        <v>95</v>
      </c>
      <c r="R59" s="343">
        <f>Q59/100</f>
        <v>0.95</v>
      </c>
      <c r="S59" s="474"/>
      <c r="T59" s="344"/>
      <c r="U59" s="475"/>
    </row>
    <row r="60" spans="2:21" x14ac:dyDescent="0.25">
      <c r="B60" s="375"/>
      <c r="C60" s="392" t="s">
        <v>54</v>
      </c>
      <c r="D60" s="352" t="str">
        <f>HLOOKUP(Deckblatt!$C$12,Language!$C$1:$D$730,71,FALSE)</f>
        <v>Brachflächenanteil</v>
      </c>
      <c r="E60" s="353"/>
      <c r="F60" s="363"/>
      <c r="G60" s="356"/>
      <c r="H60" s="21">
        <v>40</v>
      </c>
      <c r="I60" s="379"/>
      <c r="J60" s="340"/>
      <c r="K60" s="341"/>
      <c r="L60" s="341"/>
      <c r="M60" s="341"/>
      <c r="N60" s="342"/>
      <c r="P60" s="18">
        <f t="shared" si="0"/>
        <v>0</v>
      </c>
      <c r="Q60" s="338"/>
      <c r="R60" s="344"/>
      <c r="S60" s="474"/>
      <c r="T60" s="344"/>
      <c r="U60" s="475"/>
    </row>
    <row r="61" spans="2:21" ht="26.4" x14ac:dyDescent="0.25">
      <c r="B61" s="375"/>
      <c r="C61" s="392"/>
      <c r="D61" s="71" t="s">
        <v>58</v>
      </c>
      <c r="E61" s="150" t="str">
        <f>HLOOKUP(Deckblatt!$C$12,Language!$C$1:$D$730,72,FALSE)</f>
        <v xml:space="preserve">Brachflächenanteil in Prozent
</v>
      </c>
      <c r="F61" s="363"/>
      <c r="G61" s="69">
        <v>40</v>
      </c>
      <c r="H61" s="18">
        <v>40</v>
      </c>
      <c r="I61" s="379"/>
      <c r="J61" s="340"/>
      <c r="K61" s="341"/>
      <c r="L61" s="341"/>
      <c r="M61" s="341"/>
      <c r="N61" s="342"/>
      <c r="P61" s="18">
        <f t="shared" si="0"/>
        <v>40</v>
      </c>
      <c r="Q61" s="338"/>
      <c r="R61" s="344"/>
      <c r="S61" s="474"/>
      <c r="T61" s="344"/>
      <c r="U61" s="475"/>
    </row>
    <row r="62" spans="2:21" x14ac:dyDescent="0.25">
      <c r="B62" s="375"/>
      <c r="C62" s="392" t="s">
        <v>61</v>
      </c>
      <c r="D62" s="352" t="str">
        <f>HLOOKUP(Deckblatt!$C$12,Language!$C$1:$D$730,73,FALSE)</f>
        <v>Flächeneinbindung</v>
      </c>
      <c r="E62" s="353"/>
      <c r="F62" s="363"/>
      <c r="G62" s="113"/>
      <c r="H62" s="21">
        <v>20</v>
      </c>
      <c r="I62" s="379"/>
      <c r="J62" s="340"/>
      <c r="K62" s="341"/>
      <c r="L62" s="341"/>
      <c r="M62" s="341"/>
      <c r="N62" s="342"/>
      <c r="P62" s="18">
        <f t="shared" si="0"/>
        <v>0</v>
      </c>
      <c r="Q62" s="338"/>
      <c r="R62" s="344"/>
      <c r="S62" s="474"/>
      <c r="T62" s="344"/>
      <c r="U62" s="475"/>
    </row>
    <row r="63" spans="2:21" ht="26.4" x14ac:dyDescent="0.25">
      <c r="B63" s="375"/>
      <c r="C63" s="392"/>
      <c r="D63" s="71" t="s">
        <v>63</v>
      </c>
      <c r="E63" s="150" t="str">
        <f>HLOOKUP(Deckblatt!$C$12,Language!$C$1:$D$730,74,FALSE)</f>
        <v xml:space="preserve">Flächeneinbindung in Prozent
</v>
      </c>
      <c r="F63" s="363"/>
      <c r="G63" s="69">
        <v>15</v>
      </c>
      <c r="H63" s="18">
        <v>20</v>
      </c>
      <c r="I63" s="379"/>
      <c r="J63" s="340"/>
      <c r="K63" s="341"/>
      <c r="L63" s="341"/>
      <c r="M63" s="341"/>
      <c r="N63" s="342"/>
      <c r="P63" s="18">
        <f t="shared" ref="P63:P129" si="1">IF(G63&gt;H63,H63,G63)</f>
        <v>15</v>
      </c>
      <c r="Q63" s="338"/>
      <c r="R63" s="344"/>
      <c r="S63" s="474"/>
      <c r="T63" s="344"/>
      <c r="U63" s="475"/>
    </row>
    <row r="64" spans="2:21" x14ac:dyDescent="0.25">
      <c r="B64" s="375"/>
      <c r="C64" s="369" t="s">
        <v>64</v>
      </c>
      <c r="D64" s="352" t="str">
        <f>HLOOKUP(Deckblatt!$C$12,Language!$C$1:$D$730,75,FALSE)</f>
        <v>Flächenbelastung</v>
      </c>
      <c r="E64" s="353"/>
      <c r="F64" s="363"/>
      <c r="G64" s="113"/>
      <c r="H64" s="21">
        <v>15</v>
      </c>
      <c r="I64" s="379"/>
      <c r="J64" s="340"/>
      <c r="K64" s="341"/>
      <c r="L64" s="341"/>
      <c r="M64" s="341"/>
      <c r="N64" s="342"/>
      <c r="P64" s="18">
        <f t="shared" si="1"/>
        <v>0</v>
      </c>
      <c r="Q64" s="338"/>
      <c r="R64" s="344"/>
      <c r="S64" s="474"/>
      <c r="T64" s="344"/>
      <c r="U64" s="475"/>
    </row>
    <row r="65" spans="2:21" x14ac:dyDescent="0.25">
      <c r="B65" s="375"/>
      <c r="C65" s="480"/>
      <c r="D65" s="398" t="s">
        <v>66</v>
      </c>
      <c r="E65" s="150" t="str">
        <f>HLOOKUP(Deckblatt!$C$12,Language!$C$1:$D$730,76,FALSE)</f>
        <v>Flächenbelastung durch Altlasten</v>
      </c>
      <c r="F65" s="363"/>
      <c r="G65" s="113"/>
      <c r="H65" s="21">
        <v>15</v>
      </c>
      <c r="I65" s="379"/>
      <c r="J65" s="340"/>
      <c r="K65" s="341"/>
      <c r="L65" s="341"/>
      <c r="M65" s="341"/>
      <c r="N65" s="342"/>
      <c r="P65" s="18">
        <f t="shared" si="1"/>
        <v>0</v>
      </c>
      <c r="Q65" s="338"/>
      <c r="R65" s="344"/>
      <c r="S65" s="474"/>
      <c r="T65" s="344"/>
      <c r="U65" s="475"/>
    </row>
    <row r="66" spans="2:21" ht="158.4" x14ac:dyDescent="0.25">
      <c r="B66" s="375"/>
      <c r="C66" s="480"/>
      <c r="D66" s="414"/>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63"/>
      <c r="G66" s="69">
        <v>5</v>
      </c>
      <c r="H66" s="18">
        <v>15</v>
      </c>
      <c r="I66" s="379"/>
      <c r="J66" s="340"/>
      <c r="K66" s="341"/>
      <c r="L66" s="341"/>
      <c r="M66" s="341"/>
      <c r="N66" s="342"/>
      <c r="P66" s="18">
        <f t="shared" si="1"/>
        <v>5</v>
      </c>
      <c r="Q66" s="338"/>
      <c r="R66" s="344"/>
      <c r="S66" s="474"/>
      <c r="T66" s="344"/>
      <c r="U66" s="475"/>
    </row>
    <row r="67" spans="2:21" ht="79.2" x14ac:dyDescent="0.25">
      <c r="B67" s="375"/>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63"/>
      <c r="G67" s="69">
        <v>10</v>
      </c>
      <c r="H67" s="18">
        <v>10</v>
      </c>
      <c r="I67" s="379"/>
      <c r="J67" s="340"/>
      <c r="K67" s="341"/>
      <c r="L67" s="341"/>
      <c r="M67" s="341"/>
      <c r="N67" s="342"/>
      <c r="P67" s="18">
        <f>IF(P66&gt;5,0,IF(G67&gt;H67,H67,G67))</f>
        <v>10</v>
      </c>
      <c r="Q67" s="338"/>
      <c r="R67" s="344"/>
      <c r="S67" s="474"/>
      <c r="T67" s="344"/>
      <c r="U67" s="475"/>
    </row>
    <row r="68" spans="2:21" x14ac:dyDescent="0.25">
      <c r="B68" s="375"/>
      <c r="C68" s="392" t="s">
        <v>67</v>
      </c>
      <c r="D68" s="352" t="str">
        <f>HLOOKUP(Deckblatt!$C$12,Language!$C$1:$D$730,79,FALSE)</f>
        <v>Versiegelungsgrad</v>
      </c>
      <c r="E68" s="353"/>
      <c r="F68" s="363"/>
      <c r="G68" s="113"/>
      <c r="H68" s="21">
        <v>35</v>
      </c>
      <c r="I68" s="379"/>
      <c r="J68" s="340"/>
      <c r="K68" s="341"/>
      <c r="L68" s="341"/>
      <c r="M68" s="341"/>
      <c r="N68" s="342"/>
      <c r="P68" s="18">
        <f t="shared" si="1"/>
        <v>0</v>
      </c>
      <c r="Q68" s="338"/>
      <c r="R68" s="344"/>
      <c r="S68" s="474"/>
      <c r="T68" s="344"/>
      <c r="U68" s="475"/>
    </row>
    <row r="69" spans="2:21" ht="26.4" x14ac:dyDescent="0.25">
      <c r="B69" s="375"/>
      <c r="C69" s="392"/>
      <c r="D69" s="71" t="s">
        <v>69</v>
      </c>
      <c r="E69" s="150" t="str">
        <f>HLOOKUP(Deckblatt!$C$12,Language!$C$1:$D$730,80,FALSE)</f>
        <v xml:space="preserve">Versiegelungsgrad
</v>
      </c>
      <c r="F69" s="363"/>
      <c r="G69" s="69">
        <v>25</v>
      </c>
      <c r="H69" s="18">
        <v>35</v>
      </c>
      <c r="I69" s="379"/>
      <c r="J69" s="340"/>
      <c r="K69" s="341"/>
      <c r="L69" s="341"/>
      <c r="M69" s="341"/>
      <c r="N69" s="342"/>
      <c r="P69" s="18">
        <f t="shared" si="1"/>
        <v>25</v>
      </c>
      <c r="Q69" s="339"/>
      <c r="R69" s="365"/>
      <c r="S69" s="474"/>
      <c r="T69" s="344"/>
      <c r="U69" s="475"/>
    </row>
    <row r="70" spans="2:21" x14ac:dyDescent="0.25">
      <c r="B70" s="55" t="s">
        <v>143</v>
      </c>
      <c r="C70" s="354" t="str">
        <f>HLOOKUP(Deckblatt!$C$12,Language!$C$1:$D$730,81,FALSE)</f>
        <v>Biodiversität</v>
      </c>
      <c r="D70" s="354"/>
      <c r="E70" s="355"/>
      <c r="F70" s="56">
        <f>Q70</f>
        <v>75</v>
      </c>
      <c r="G70" s="364"/>
      <c r="H70" s="21">
        <v>110</v>
      </c>
      <c r="I70" s="176">
        <v>4</v>
      </c>
      <c r="J70" s="340"/>
      <c r="K70" s="341"/>
      <c r="L70" s="341"/>
      <c r="M70" s="341"/>
      <c r="N70" s="342"/>
      <c r="P70" s="18">
        <f t="shared" si="1"/>
        <v>0</v>
      </c>
      <c r="Q70" s="337">
        <f>SUM(P72,P74,P76:P77,P80:P81,P83,P85:P86)</f>
        <v>75</v>
      </c>
      <c r="R70" s="343">
        <f>Q70/100</f>
        <v>0.75</v>
      </c>
      <c r="S70" s="474"/>
      <c r="T70" s="344"/>
      <c r="U70" s="475"/>
    </row>
    <row r="71" spans="2:21" x14ac:dyDescent="0.25">
      <c r="B71" s="375"/>
      <c r="C71" s="351" t="s">
        <v>54</v>
      </c>
      <c r="D71" s="352" t="str">
        <f>HLOOKUP(Deckblatt!$C$12,Language!$C$1:$D$730,82,FALSE)</f>
        <v>Biodiversitätsstategie</v>
      </c>
      <c r="E71" s="353"/>
      <c r="F71" s="363"/>
      <c r="G71" s="364"/>
      <c r="H71" s="21">
        <v>10</v>
      </c>
      <c r="I71" s="379"/>
      <c r="J71" s="340"/>
      <c r="K71" s="341"/>
      <c r="L71" s="341"/>
      <c r="M71" s="341"/>
      <c r="N71" s="342"/>
      <c r="P71" s="18">
        <f t="shared" si="1"/>
        <v>0</v>
      </c>
      <c r="Q71" s="338"/>
      <c r="R71" s="344"/>
      <c r="S71" s="474"/>
      <c r="T71" s="344"/>
      <c r="U71" s="475"/>
    </row>
    <row r="72" spans="2:21" ht="26.4" x14ac:dyDescent="0.25">
      <c r="B72" s="375"/>
      <c r="C72" s="351"/>
      <c r="D72" s="71" t="s">
        <v>58</v>
      </c>
      <c r="E72" s="150" t="str">
        <f>HLOOKUP(Deckblatt!$C$12,Language!$C$1:$D$730,83,FALSE)</f>
        <v xml:space="preserve">Erstellung und Umsetzung einer Biodiversitätsstrategie
</v>
      </c>
      <c r="F72" s="363"/>
      <c r="G72" s="69">
        <v>10</v>
      </c>
      <c r="H72" s="18">
        <v>10</v>
      </c>
      <c r="I72" s="379"/>
      <c r="J72" s="340"/>
      <c r="K72" s="341"/>
      <c r="L72" s="341"/>
      <c r="M72" s="341"/>
      <c r="N72" s="342"/>
      <c r="P72" s="18">
        <f t="shared" si="1"/>
        <v>10</v>
      </c>
      <c r="Q72" s="338"/>
      <c r="R72" s="344"/>
      <c r="S72" s="474"/>
      <c r="T72" s="344"/>
      <c r="U72" s="475"/>
    </row>
    <row r="73" spans="2:21" x14ac:dyDescent="0.25">
      <c r="B73" s="375"/>
      <c r="C73" s="351" t="s">
        <v>61</v>
      </c>
      <c r="D73" s="352" t="str">
        <f>HLOOKUP(Deckblatt!$C$12,Language!$C$1:$D$730,84,FALSE)</f>
        <v>Gezielte Maßnahmen zur aktiven Ansiedlung neuer und heimischer Tierarten</v>
      </c>
      <c r="E73" s="353"/>
      <c r="F73" s="363"/>
      <c r="G73" s="113"/>
      <c r="H73" s="21">
        <v>20</v>
      </c>
      <c r="I73" s="379"/>
      <c r="J73" s="340"/>
      <c r="K73" s="341"/>
      <c r="L73" s="341"/>
      <c r="M73" s="341"/>
      <c r="N73" s="342"/>
      <c r="P73" s="18">
        <f t="shared" si="1"/>
        <v>0</v>
      </c>
      <c r="Q73" s="338"/>
      <c r="R73" s="344"/>
      <c r="S73" s="474"/>
      <c r="T73" s="344"/>
      <c r="U73" s="475"/>
    </row>
    <row r="74" spans="2:21" ht="26.4" x14ac:dyDescent="0.25">
      <c r="B74" s="375"/>
      <c r="C74" s="351"/>
      <c r="D74" s="71" t="s">
        <v>63</v>
      </c>
      <c r="E74" s="150" t="str">
        <f>HLOOKUP(Deckblatt!$C$12,Language!$C$1:$D$730,85,FALSE)</f>
        <v xml:space="preserve">Aktive Ansiedlung neuer heimischer Arten
</v>
      </c>
      <c r="F74" s="363"/>
      <c r="G74" s="69">
        <v>20</v>
      </c>
      <c r="H74" s="18">
        <v>20</v>
      </c>
      <c r="I74" s="379"/>
      <c r="J74" s="340"/>
      <c r="K74" s="341"/>
      <c r="L74" s="341"/>
      <c r="M74" s="341"/>
      <c r="N74" s="342"/>
      <c r="P74" s="18">
        <f t="shared" si="1"/>
        <v>20</v>
      </c>
      <c r="Q74" s="338"/>
      <c r="R74" s="344"/>
      <c r="S74" s="474"/>
      <c r="T74" s="344"/>
      <c r="U74" s="475"/>
    </row>
    <row r="75" spans="2:21" x14ac:dyDescent="0.25">
      <c r="B75" s="375"/>
      <c r="C75" s="351" t="s">
        <v>64</v>
      </c>
      <c r="D75" s="352" t="str">
        <f>HLOOKUP(Deckblatt!$C$12,Language!$C$1:$D$730,86,FALSE)</f>
        <v>Biotopflächenfaktor</v>
      </c>
      <c r="E75" s="353"/>
      <c r="F75" s="363"/>
      <c r="G75" s="113"/>
      <c r="H75" s="21">
        <v>40</v>
      </c>
      <c r="I75" s="379"/>
      <c r="J75" s="340"/>
      <c r="K75" s="341"/>
      <c r="L75" s="341"/>
      <c r="M75" s="341"/>
      <c r="N75" s="342"/>
      <c r="P75" s="18">
        <f t="shared" si="1"/>
        <v>0</v>
      </c>
      <c r="Q75" s="338"/>
      <c r="R75" s="344"/>
      <c r="S75" s="474"/>
      <c r="T75" s="344"/>
      <c r="U75" s="475"/>
    </row>
    <row r="76" spans="2:21" ht="26.4" x14ac:dyDescent="0.25">
      <c r="B76" s="375"/>
      <c r="C76" s="351"/>
      <c r="D76" s="71" t="s">
        <v>66</v>
      </c>
      <c r="E76" s="150" t="str">
        <f>HLOOKUP(Deckblatt!$C$12,Language!$C$1:$D$730,87,FALSE)</f>
        <v xml:space="preserve">Biotopflächenfaktor Gesamt
</v>
      </c>
      <c r="F76" s="363"/>
      <c r="G76" s="69">
        <v>5</v>
      </c>
      <c r="H76" s="18">
        <v>30</v>
      </c>
      <c r="I76" s="379"/>
      <c r="J76" s="340"/>
      <c r="K76" s="341"/>
      <c r="L76" s="341"/>
      <c r="M76" s="341"/>
      <c r="N76" s="342"/>
      <c r="P76" s="18">
        <f t="shared" si="1"/>
        <v>5</v>
      </c>
      <c r="Q76" s="338"/>
      <c r="R76" s="344"/>
      <c r="S76" s="474"/>
      <c r="T76" s="344"/>
      <c r="U76" s="475"/>
    </row>
    <row r="77" spans="2:21" ht="66" x14ac:dyDescent="0.25">
      <c r="B77" s="375"/>
      <c r="C77" s="351"/>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63"/>
      <c r="G77" s="69"/>
      <c r="H77" s="18">
        <v>10</v>
      </c>
      <c r="I77" s="379"/>
      <c r="J77" s="340"/>
      <c r="K77" s="341"/>
      <c r="L77" s="341"/>
      <c r="M77" s="341"/>
      <c r="N77" s="342"/>
      <c r="P77" s="18">
        <f t="shared" si="1"/>
        <v>0</v>
      </c>
      <c r="Q77" s="338"/>
      <c r="R77" s="344"/>
      <c r="S77" s="474"/>
      <c r="T77" s="344"/>
      <c r="U77" s="475"/>
    </row>
    <row r="78" spans="2:21" x14ac:dyDescent="0.25">
      <c r="B78" s="375"/>
      <c r="C78" s="351" t="s">
        <v>67</v>
      </c>
      <c r="D78" s="352" t="str">
        <f>HLOOKUP(Deckblatt!$C$12,Language!$C$1:$D$730,89,FALSE)</f>
        <v>Vernetzung der Biotoptypen</v>
      </c>
      <c r="E78" s="353"/>
      <c r="F78" s="363"/>
      <c r="G78" s="356"/>
      <c r="H78" s="21">
        <v>20</v>
      </c>
      <c r="I78" s="379"/>
      <c r="J78" s="340"/>
      <c r="K78" s="341"/>
      <c r="L78" s="341"/>
      <c r="M78" s="341"/>
      <c r="N78" s="342"/>
      <c r="P78" s="18">
        <f t="shared" si="1"/>
        <v>0</v>
      </c>
      <c r="Q78" s="338"/>
      <c r="R78" s="344"/>
      <c r="S78" s="474"/>
      <c r="T78" s="344"/>
      <c r="U78" s="475"/>
    </row>
    <row r="79" spans="2:21" x14ac:dyDescent="0.25">
      <c r="B79" s="375"/>
      <c r="C79" s="351"/>
      <c r="D79" s="361" t="s">
        <v>69</v>
      </c>
      <c r="E79" s="150" t="str">
        <f>HLOOKUP(Deckblatt!$C$12,Language!$C$1:$D$730,90,FALSE)</f>
        <v>Vernetzung der Biotoptypen</v>
      </c>
      <c r="F79" s="363"/>
      <c r="G79" s="356"/>
      <c r="H79" s="21">
        <v>20</v>
      </c>
      <c r="I79" s="379"/>
      <c r="J79" s="340"/>
      <c r="K79" s="341"/>
      <c r="L79" s="341"/>
      <c r="M79" s="341"/>
      <c r="N79" s="342"/>
      <c r="P79" s="18">
        <f t="shared" si="1"/>
        <v>0</v>
      </c>
      <c r="Q79" s="338"/>
      <c r="R79" s="344"/>
      <c r="S79" s="474"/>
      <c r="T79" s="344"/>
      <c r="U79" s="475"/>
    </row>
    <row r="80" spans="2:21" ht="26.4" x14ac:dyDescent="0.25">
      <c r="B80" s="375"/>
      <c r="C80" s="351"/>
      <c r="D80" s="361"/>
      <c r="E80" s="134" t="str">
        <f>HLOOKUP(Deckblatt!$C$12,Language!$C$1:$D$730,91,FALSE)</f>
        <v xml:space="preserve">Vernetzung mit Umgebung
</v>
      </c>
      <c r="F80" s="363"/>
      <c r="G80" s="69">
        <v>10</v>
      </c>
      <c r="H80" s="18">
        <v>10</v>
      </c>
      <c r="I80" s="379"/>
      <c r="J80" s="340"/>
      <c r="K80" s="341"/>
      <c r="L80" s="341"/>
      <c r="M80" s="341"/>
      <c r="N80" s="342"/>
      <c r="P80" s="18">
        <f t="shared" si="1"/>
        <v>10</v>
      </c>
      <c r="Q80" s="338"/>
      <c r="R80" s="344"/>
      <c r="S80" s="474"/>
      <c r="T80" s="344"/>
      <c r="U80" s="475"/>
    </row>
    <row r="81" spans="2:21" ht="26.4" x14ac:dyDescent="0.25">
      <c r="B81" s="375"/>
      <c r="C81" s="351"/>
      <c r="D81" s="361"/>
      <c r="E81" s="134" t="str">
        <f>HLOOKUP(Deckblatt!$C$12,Language!$C$1:$D$730,92,FALSE)</f>
        <v xml:space="preserve">Interne Vernetzung
</v>
      </c>
      <c r="F81" s="363"/>
      <c r="G81" s="69">
        <v>10</v>
      </c>
      <c r="H81" s="18">
        <v>10</v>
      </c>
      <c r="I81" s="379"/>
      <c r="J81" s="340"/>
      <c r="K81" s="341"/>
      <c r="L81" s="341"/>
      <c r="M81" s="341"/>
      <c r="N81" s="342"/>
      <c r="P81" s="18">
        <f t="shared" si="1"/>
        <v>10</v>
      </c>
      <c r="Q81" s="338"/>
      <c r="R81" s="344"/>
      <c r="S81" s="474"/>
      <c r="T81" s="344"/>
      <c r="U81" s="475"/>
    </row>
    <row r="82" spans="2:21" x14ac:dyDescent="0.25">
      <c r="B82" s="375"/>
      <c r="C82" s="351" t="s">
        <v>154</v>
      </c>
      <c r="D82" s="352" t="str">
        <f>HLOOKUP(Deckblatt!$C$12,Language!$C$1:$D$730,93,FALSE)</f>
        <v>Vermeidung invasiver Pflanzenarten</v>
      </c>
      <c r="E82" s="353"/>
      <c r="F82" s="363"/>
      <c r="G82" s="113"/>
      <c r="H82" s="21">
        <v>10</v>
      </c>
      <c r="I82" s="379"/>
      <c r="J82" s="340"/>
      <c r="K82" s="341"/>
      <c r="L82" s="341"/>
      <c r="M82" s="341"/>
      <c r="N82" s="342"/>
      <c r="P82" s="18">
        <f t="shared" si="1"/>
        <v>0</v>
      </c>
      <c r="Q82" s="338"/>
      <c r="R82" s="344"/>
      <c r="S82" s="474"/>
      <c r="T82" s="344"/>
      <c r="U82" s="475"/>
    </row>
    <row r="83" spans="2:21" ht="26.4" x14ac:dyDescent="0.25">
      <c r="B83" s="375"/>
      <c r="C83" s="351"/>
      <c r="D83" s="71" t="s">
        <v>156</v>
      </c>
      <c r="E83" s="150" t="str">
        <f>HLOOKUP(Deckblatt!$C$12,Language!$C$1:$D$730,94,FALSE)</f>
        <v xml:space="preserve">Vermeidung invasiver Pflanzenarten
</v>
      </c>
      <c r="F83" s="363"/>
      <c r="G83" s="69">
        <v>10</v>
      </c>
      <c r="H83" s="18">
        <v>10</v>
      </c>
      <c r="I83" s="379"/>
      <c r="J83" s="340"/>
      <c r="K83" s="341"/>
      <c r="L83" s="341"/>
      <c r="M83" s="341"/>
      <c r="N83" s="342"/>
      <c r="P83" s="18">
        <f t="shared" si="1"/>
        <v>10</v>
      </c>
      <c r="Q83" s="338"/>
      <c r="R83" s="344"/>
      <c r="S83" s="474"/>
      <c r="T83" s="344"/>
      <c r="U83" s="475"/>
    </row>
    <row r="84" spans="2:21" x14ac:dyDescent="0.25">
      <c r="B84" s="375"/>
      <c r="C84" s="351" t="s">
        <v>157</v>
      </c>
      <c r="D84" s="352" t="str">
        <f>HLOOKUP(Deckblatt!$C$12,Language!$C$1:$D$730,95,FALSE)</f>
        <v>Entwicklungs- und Unterhaltungspflege</v>
      </c>
      <c r="E84" s="353"/>
      <c r="F84" s="363"/>
      <c r="G84" s="113"/>
      <c r="H84" s="21">
        <v>10</v>
      </c>
      <c r="I84" s="379"/>
      <c r="J84" s="340"/>
      <c r="K84" s="341"/>
      <c r="L84" s="341"/>
      <c r="M84" s="341"/>
      <c r="N84" s="342"/>
      <c r="P84" s="18">
        <f t="shared" si="1"/>
        <v>0</v>
      </c>
      <c r="Q84" s="338"/>
      <c r="R84" s="344"/>
      <c r="S84" s="474"/>
      <c r="T84" s="344"/>
      <c r="U84" s="475"/>
    </row>
    <row r="85" spans="2:21" ht="24" customHeight="1" x14ac:dyDescent="0.25">
      <c r="B85" s="375"/>
      <c r="C85" s="351"/>
      <c r="D85" s="71" t="s">
        <v>159</v>
      </c>
      <c r="E85" s="150" t="str">
        <f>HLOOKUP(Deckblatt!$C$12,Language!$C$1:$D$730,96,FALSE)</f>
        <v xml:space="preserve">Entwicklungspflege-Vertrag
</v>
      </c>
      <c r="F85" s="363"/>
      <c r="G85" s="69">
        <v>5</v>
      </c>
      <c r="H85" s="18">
        <v>5</v>
      </c>
      <c r="I85" s="379"/>
      <c r="J85" s="340"/>
      <c r="K85" s="341"/>
      <c r="L85" s="341"/>
      <c r="M85" s="341"/>
      <c r="N85" s="342"/>
      <c r="P85" s="18">
        <f t="shared" si="1"/>
        <v>5</v>
      </c>
      <c r="Q85" s="338"/>
      <c r="R85" s="344"/>
      <c r="S85" s="474"/>
      <c r="T85" s="344"/>
      <c r="U85" s="475"/>
    </row>
    <row r="86" spans="2:21" ht="26.4" customHeight="1" thickBot="1" x14ac:dyDescent="0.3">
      <c r="B86" s="377"/>
      <c r="C86" s="389"/>
      <c r="D86" s="121" t="s">
        <v>160</v>
      </c>
      <c r="E86" s="150" t="str">
        <f>HLOOKUP(Deckblatt!$C$12,Language!$C$1:$D$730,97,FALSE)</f>
        <v xml:space="preserve">Unterhaltungspflege-Vertrag
</v>
      </c>
      <c r="F86" s="378"/>
      <c r="G86" s="70">
        <v>5</v>
      </c>
      <c r="H86" s="59">
        <v>5</v>
      </c>
      <c r="I86" s="380"/>
      <c r="J86" s="340"/>
      <c r="K86" s="341"/>
      <c r="L86" s="341"/>
      <c r="M86" s="341"/>
      <c r="N86" s="342"/>
      <c r="P86" s="18">
        <f t="shared" si="1"/>
        <v>5</v>
      </c>
      <c r="Q86" s="339"/>
      <c r="R86" s="365"/>
      <c r="S86" s="474"/>
      <c r="T86" s="365"/>
      <c r="U86" s="475"/>
    </row>
    <row r="87" spans="2:21" x14ac:dyDescent="0.25">
      <c r="B87" s="49" t="s">
        <v>163</v>
      </c>
      <c r="C87" s="354" t="str">
        <f>HLOOKUP(Deckblatt!$C$12,Language!$C$1:$D$730,98,FALSE)</f>
        <v>Lebenszykluskosten</v>
      </c>
      <c r="D87" s="354"/>
      <c r="E87" s="355"/>
      <c r="F87" s="156">
        <f>Q87</f>
        <v>73</v>
      </c>
      <c r="G87" s="434"/>
      <c r="H87" s="136">
        <v>100</v>
      </c>
      <c r="I87" s="178">
        <v>4</v>
      </c>
      <c r="J87" s="340"/>
      <c r="K87" s="341"/>
      <c r="L87" s="341"/>
      <c r="M87" s="341"/>
      <c r="N87" s="342"/>
      <c r="P87" s="18">
        <f t="shared" si="1"/>
        <v>0</v>
      </c>
      <c r="Q87" s="337">
        <f>SUM(P90,P91,IF(P94+P95+P96&gt;10,10,P94+P95+P96),P98,P99)</f>
        <v>73</v>
      </c>
      <c r="R87" s="343">
        <f>Q87/100</f>
        <v>0.73</v>
      </c>
      <c r="S87" s="343">
        <v>0.2</v>
      </c>
      <c r="T87" s="343">
        <f>IF((R87*I87+R100*I100+R127*I127+R132*I132+R153*I153)/(I87+I100+I127+I132+I153)&gt;1,1,(R87*I87+R100*I100+R127*I127+R132*I132+R153*I153)/(I87+I100+I127+I132+I153))</f>
        <v>0.82073750000000012</v>
      </c>
      <c r="U87" s="475"/>
    </row>
    <row r="88" spans="2:21" x14ac:dyDescent="0.25">
      <c r="B88" s="345"/>
      <c r="C88" s="351" t="s">
        <v>54</v>
      </c>
      <c r="D88" s="352" t="str">
        <f>HLOOKUP(Deckblatt!$C$12,Language!$C$1:$D$730,99,FALSE)</f>
        <v>Lebenszykluskostenrechnungen in der Planung</v>
      </c>
      <c r="E88" s="353"/>
      <c r="F88" s="357"/>
      <c r="G88" s="356"/>
      <c r="H88" s="21">
        <v>10</v>
      </c>
      <c r="I88" s="349"/>
      <c r="J88" s="340"/>
      <c r="K88" s="341"/>
      <c r="L88" s="341"/>
      <c r="M88" s="341"/>
      <c r="N88" s="342"/>
      <c r="P88" s="18">
        <f t="shared" si="1"/>
        <v>0</v>
      </c>
      <c r="Q88" s="338"/>
      <c r="R88" s="344"/>
      <c r="S88" s="344"/>
      <c r="T88" s="344"/>
      <c r="U88" s="475"/>
    </row>
    <row r="89" spans="2:21" ht="13.2" customHeight="1" x14ac:dyDescent="0.25">
      <c r="B89" s="346"/>
      <c r="C89" s="351"/>
      <c r="D89" s="398" t="s">
        <v>58</v>
      </c>
      <c r="E89" s="150" t="str">
        <f>HLOOKUP(Deckblatt!$C$12,Language!$C$1:$D$730,100,FALSE)</f>
        <v>Integration von Lebenszykluskostenrechnungen in den Planungsprozess</v>
      </c>
      <c r="F89" s="358"/>
      <c r="G89" s="356"/>
      <c r="H89" s="21">
        <v>10</v>
      </c>
      <c r="I89" s="350"/>
      <c r="J89" s="340"/>
      <c r="K89" s="341"/>
      <c r="L89" s="341"/>
      <c r="M89" s="341"/>
      <c r="N89" s="342"/>
      <c r="P89" s="18">
        <f t="shared" si="1"/>
        <v>0</v>
      </c>
      <c r="Q89" s="338"/>
      <c r="R89" s="344"/>
      <c r="S89" s="344"/>
      <c r="T89" s="344"/>
      <c r="U89" s="475"/>
    </row>
    <row r="90" spans="2:21" ht="66" x14ac:dyDescent="0.25">
      <c r="B90" s="346"/>
      <c r="C90" s="351"/>
      <c r="D90" s="414"/>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358"/>
      <c r="G90" s="69"/>
      <c r="H90" s="18">
        <v>5</v>
      </c>
      <c r="I90" s="350"/>
      <c r="J90" s="340"/>
      <c r="K90" s="341"/>
      <c r="L90" s="341"/>
      <c r="M90" s="341"/>
      <c r="N90" s="342"/>
      <c r="P90" s="18">
        <f t="shared" si="1"/>
        <v>0</v>
      </c>
      <c r="Q90" s="338"/>
      <c r="R90" s="344"/>
      <c r="S90" s="344"/>
      <c r="T90" s="344"/>
      <c r="U90" s="475"/>
    </row>
    <row r="91" spans="2:21" ht="48.6" customHeight="1" x14ac:dyDescent="0.25">
      <c r="B91" s="346"/>
      <c r="C91" s="351"/>
      <c r="D91" s="399"/>
      <c r="E91" s="134" t="str">
        <f>HLOOKUP(Deckblatt!$C$12,Language!$C$1:$D$730,102,FALSE)</f>
        <v xml:space="preserve">Maßnahmen mit Einfluss auf die Lebenszykluskosten werden planungsbegleitend regelmäßig (an den jeweiligen Planungsstand angepasst) ermittelt und im Planungsteam kommuniziert. </v>
      </c>
      <c r="F91" s="358"/>
      <c r="G91" s="69"/>
      <c r="H91" s="18">
        <v>5</v>
      </c>
      <c r="I91" s="350"/>
      <c r="J91" s="340"/>
      <c r="K91" s="341"/>
      <c r="L91" s="341"/>
      <c r="M91" s="341"/>
      <c r="N91" s="342"/>
      <c r="P91" s="18">
        <f t="shared" si="1"/>
        <v>0</v>
      </c>
      <c r="Q91" s="338"/>
      <c r="R91" s="344"/>
      <c r="S91" s="344"/>
      <c r="T91" s="344"/>
      <c r="U91" s="475"/>
    </row>
    <row r="92" spans="2:21" x14ac:dyDescent="0.25">
      <c r="B92" s="346"/>
      <c r="C92" s="351" t="s">
        <v>61</v>
      </c>
      <c r="D92" s="352" t="str">
        <f>HLOOKUP(Deckblatt!$C$12,Language!$C$1:$D$730,103,FALSE)</f>
        <v>Lebenszykluskostenoptimierung</v>
      </c>
      <c r="E92" s="353"/>
      <c r="F92" s="358"/>
      <c r="G92" s="356"/>
      <c r="H92" s="21">
        <v>10</v>
      </c>
      <c r="I92" s="350"/>
      <c r="J92" s="340"/>
      <c r="K92" s="341"/>
      <c r="L92" s="341"/>
      <c r="M92" s="341"/>
      <c r="N92" s="342"/>
      <c r="P92" s="18">
        <f t="shared" si="1"/>
        <v>0</v>
      </c>
      <c r="Q92" s="338"/>
      <c r="R92" s="344"/>
      <c r="S92" s="344"/>
      <c r="T92" s="344"/>
      <c r="U92" s="475"/>
    </row>
    <row r="93" spans="2:21" x14ac:dyDescent="0.25">
      <c r="B93" s="346"/>
      <c r="C93" s="351"/>
      <c r="D93" s="398" t="s">
        <v>63</v>
      </c>
      <c r="E93" s="150" t="str">
        <f>HLOOKUP(Deckblatt!$C$12,Language!$C$1:$D$730,104,FALSE)</f>
        <v>Planungsbegleitende Lebenszykluskostenoptimierung</v>
      </c>
      <c r="F93" s="358"/>
      <c r="G93" s="356"/>
      <c r="H93" s="21">
        <v>10</v>
      </c>
      <c r="I93" s="350"/>
      <c r="J93" s="340"/>
      <c r="K93" s="341"/>
      <c r="L93" s="341"/>
      <c r="M93" s="341"/>
      <c r="N93" s="342"/>
      <c r="P93" s="18">
        <f t="shared" si="1"/>
        <v>0</v>
      </c>
      <c r="Q93" s="338"/>
      <c r="R93" s="344"/>
      <c r="S93" s="344"/>
      <c r="T93" s="344"/>
      <c r="U93" s="475"/>
    </row>
    <row r="94" spans="2:21" ht="46.2" customHeight="1" x14ac:dyDescent="0.25">
      <c r="B94" s="346"/>
      <c r="C94" s="351"/>
      <c r="D94" s="399"/>
      <c r="E94" s="134" t="str">
        <f>HLOOKUP(Deckblatt!$C$12,Language!$C$1:$D$730,105,FALSE)</f>
        <v>- Umfassende Betrachtung  (10 Punkte)
ODER
- Teilbetrachtung (5 Punkte)</v>
      </c>
      <c r="F94" s="358"/>
      <c r="G94" s="69">
        <v>5</v>
      </c>
      <c r="H94" s="18">
        <v>10</v>
      </c>
      <c r="I94" s="350"/>
      <c r="J94" s="340" t="s">
        <v>1849</v>
      </c>
      <c r="K94" s="341"/>
      <c r="L94" s="341"/>
      <c r="M94" s="341"/>
      <c r="N94" s="342"/>
      <c r="P94" s="18">
        <f t="shared" si="1"/>
        <v>5</v>
      </c>
      <c r="Q94" s="338"/>
      <c r="R94" s="344"/>
      <c r="S94" s="344"/>
      <c r="T94" s="344"/>
      <c r="U94" s="475"/>
    </row>
    <row r="95" spans="2:21" ht="117" customHeight="1" x14ac:dyDescent="0.25">
      <c r="B95" s="346"/>
      <c r="C95" s="351"/>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358"/>
      <c r="G95" s="69"/>
      <c r="H95" s="18">
        <v>10</v>
      </c>
      <c r="I95" s="350"/>
      <c r="J95" s="340"/>
      <c r="K95" s="341"/>
      <c r="L95" s="341"/>
      <c r="M95" s="341"/>
      <c r="N95" s="342"/>
      <c r="P95" s="18">
        <f t="shared" si="1"/>
        <v>0</v>
      </c>
      <c r="Q95" s="338"/>
      <c r="R95" s="344"/>
      <c r="S95" s="344"/>
      <c r="T95" s="344"/>
      <c r="U95" s="475"/>
    </row>
    <row r="96" spans="2:21" ht="101.4" customHeight="1" x14ac:dyDescent="0.25">
      <c r="B96" s="346"/>
      <c r="C96" s="351"/>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358"/>
      <c r="G96" s="69"/>
      <c r="H96" s="18">
        <v>10</v>
      </c>
      <c r="I96" s="350"/>
      <c r="J96" s="340"/>
      <c r="K96" s="341"/>
      <c r="L96" s="341"/>
      <c r="M96" s="341"/>
      <c r="N96" s="342"/>
      <c r="P96" s="18">
        <f t="shared" si="1"/>
        <v>0</v>
      </c>
      <c r="Q96" s="338"/>
      <c r="R96" s="344"/>
      <c r="S96" s="344"/>
      <c r="T96" s="344"/>
      <c r="U96" s="475"/>
    </row>
    <row r="97" spans="2:21" x14ac:dyDescent="0.25">
      <c r="B97" s="346"/>
      <c r="C97" s="351" t="s">
        <v>67</v>
      </c>
      <c r="D97" s="352" t="str">
        <f>HLOOKUP(Deckblatt!$C$12,Language!$C$1:$D$730,111,FALSE)</f>
        <v>Benchmarkberechnung</v>
      </c>
      <c r="E97" s="353"/>
      <c r="F97" s="358"/>
      <c r="G97" s="113"/>
      <c r="H97" s="21">
        <v>80</v>
      </c>
      <c r="I97" s="350"/>
      <c r="J97" s="340"/>
      <c r="K97" s="341"/>
      <c r="L97" s="341"/>
      <c r="M97" s="341"/>
      <c r="N97" s="342"/>
      <c r="P97" s="18">
        <f t="shared" si="1"/>
        <v>0</v>
      </c>
      <c r="Q97" s="338"/>
      <c r="R97" s="344"/>
      <c r="S97" s="344"/>
      <c r="T97" s="344"/>
      <c r="U97" s="475"/>
    </row>
    <row r="98" spans="2:21" ht="26.4" x14ac:dyDescent="0.25">
      <c r="B98" s="346"/>
      <c r="C98" s="351"/>
      <c r="D98" s="71" t="s">
        <v>69</v>
      </c>
      <c r="E98" s="150" t="str">
        <f>HLOOKUP(Deckblatt!$C$12,Language!$C$1:$D$730,112,FALSE)</f>
        <v xml:space="preserve">Öffentliche Flächen und Erschließung
</v>
      </c>
      <c r="F98" s="358"/>
      <c r="G98" s="69">
        <v>40</v>
      </c>
      <c r="H98" s="18">
        <v>48</v>
      </c>
      <c r="I98" s="350"/>
      <c r="J98" s="340"/>
      <c r="K98" s="341"/>
      <c r="L98" s="341"/>
      <c r="M98" s="341"/>
      <c r="N98" s="342"/>
      <c r="P98" s="18">
        <f t="shared" si="1"/>
        <v>40</v>
      </c>
      <c r="Q98" s="338"/>
      <c r="R98" s="344"/>
      <c r="S98" s="344"/>
      <c r="T98" s="344"/>
      <c r="U98" s="475"/>
    </row>
    <row r="99" spans="2:21" ht="26.4" x14ac:dyDescent="0.25">
      <c r="B99" s="346"/>
      <c r="C99" s="351"/>
      <c r="D99" s="71" t="s">
        <v>78</v>
      </c>
      <c r="E99" s="150" t="str">
        <f>HLOOKUP(Deckblatt!$C$12,Language!$C$1:$D$730,113,FALSE)</f>
        <v xml:space="preserve">Gebäude und private Freiflächen
</v>
      </c>
      <c r="F99" s="358"/>
      <c r="G99" s="69">
        <v>28</v>
      </c>
      <c r="H99" s="18">
        <v>32</v>
      </c>
      <c r="I99" s="350"/>
      <c r="J99" s="340"/>
      <c r="K99" s="341"/>
      <c r="L99" s="341"/>
      <c r="M99" s="341"/>
      <c r="N99" s="342"/>
      <c r="P99" s="18">
        <f t="shared" si="1"/>
        <v>28</v>
      </c>
      <c r="Q99" s="338"/>
      <c r="R99" s="344"/>
      <c r="S99" s="344"/>
      <c r="T99" s="344"/>
      <c r="U99" s="475"/>
    </row>
    <row r="100" spans="2:21" x14ac:dyDescent="0.25">
      <c r="B100" s="55" t="s">
        <v>178</v>
      </c>
      <c r="C100" s="354" t="str">
        <f>HLOOKUP(Deckblatt!$C$12,Language!$C$1:$D$730,114,FALSE)</f>
        <v>Resilienz und Wandlungsfähigkeit</v>
      </c>
      <c r="D100" s="354"/>
      <c r="E100" s="355"/>
      <c r="F100" s="157">
        <f>Q100</f>
        <v>101.67750000000001</v>
      </c>
      <c r="G100" s="364"/>
      <c r="H100" s="21">
        <v>110</v>
      </c>
      <c r="I100" s="176">
        <v>3</v>
      </c>
      <c r="J100" s="340"/>
      <c r="K100" s="341"/>
      <c r="L100" s="341"/>
      <c r="M100" s="341"/>
      <c r="N100" s="342"/>
      <c r="P100" s="18">
        <f t="shared" si="1"/>
        <v>0</v>
      </c>
      <c r="Q100" s="337">
        <f>SUM(P103:P106,P108:P109,P111:P113,P115:P118,P120,P123:P126)</f>
        <v>101.67750000000001</v>
      </c>
      <c r="R100" s="343">
        <f>Q100/100</f>
        <v>1.016775</v>
      </c>
      <c r="S100" s="344"/>
      <c r="T100" s="344"/>
      <c r="U100" s="475"/>
    </row>
    <row r="101" spans="2:21" x14ac:dyDescent="0.25">
      <c r="B101" s="345"/>
      <c r="C101" s="351" t="s">
        <v>54</v>
      </c>
      <c r="D101" s="352" t="str">
        <f>HLOOKUP(Deckblatt!$C$12,Language!$C$1:$D$730,115,FALSE)</f>
        <v>Klima</v>
      </c>
      <c r="E101" s="353"/>
      <c r="F101" s="357"/>
      <c r="G101" s="364"/>
      <c r="H101" s="21">
        <v>25</v>
      </c>
      <c r="I101" s="349"/>
      <c r="J101" s="340"/>
      <c r="K101" s="341"/>
      <c r="L101" s="341"/>
      <c r="M101" s="341"/>
      <c r="N101" s="342"/>
      <c r="P101" s="18">
        <f t="shared" si="1"/>
        <v>0</v>
      </c>
      <c r="Q101" s="338"/>
      <c r="R101" s="344"/>
      <c r="S101" s="344"/>
      <c r="T101" s="344"/>
      <c r="U101" s="475"/>
    </row>
    <row r="102" spans="2:21" x14ac:dyDescent="0.25">
      <c r="B102" s="346"/>
      <c r="C102" s="351"/>
      <c r="D102" s="361" t="s">
        <v>58</v>
      </c>
      <c r="E102" s="150" t="str">
        <f>HLOOKUP(Deckblatt!$C$12,Language!$C$1:$D$730,116,FALSE)</f>
        <v>Klima</v>
      </c>
      <c r="F102" s="358"/>
      <c r="G102" s="364"/>
      <c r="H102" s="21">
        <v>19.5</v>
      </c>
      <c r="I102" s="350"/>
      <c r="J102" s="340"/>
      <c r="K102" s="341"/>
      <c r="L102" s="341"/>
      <c r="M102" s="341"/>
      <c r="N102" s="342"/>
      <c r="P102" s="18">
        <f t="shared" si="1"/>
        <v>0</v>
      </c>
      <c r="Q102" s="338"/>
      <c r="R102" s="344"/>
      <c r="S102" s="344"/>
      <c r="T102" s="344"/>
      <c r="U102" s="475"/>
    </row>
    <row r="103" spans="2:21" ht="26.4" x14ac:dyDescent="0.25">
      <c r="B103" s="346"/>
      <c r="C103" s="351"/>
      <c r="D103" s="361"/>
      <c r="E103" s="134" t="str">
        <f>HLOOKUP(Deckblatt!$C$12,Language!$C$1:$D$730,117,FALSE)</f>
        <v xml:space="preserve">Stadtklima (PUNKTE aus ENV1.5/100) * 6,5
</v>
      </c>
      <c r="F103" s="358"/>
      <c r="G103" s="69">
        <f>F28/100*6.5</f>
        <v>5.3624999999999998</v>
      </c>
      <c r="H103" s="18">
        <v>6.5</v>
      </c>
      <c r="I103" s="350"/>
      <c r="J103" s="340"/>
      <c r="K103" s="341"/>
      <c r="L103" s="341"/>
      <c r="M103" s="341"/>
      <c r="N103" s="342"/>
      <c r="P103" s="18">
        <f t="shared" si="1"/>
        <v>5.3624999999999998</v>
      </c>
      <c r="Q103" s="338"/>
      <c r="R103" s="344"/>
      <c r="S103" s="344"/>
      <c r="T103" s="344"/>
      <c r="U103" s="475"/>
    </row>
    <row r="104" spans="2:21" ht="26.4" x14ac:dyDescent="0.25">
      <c r="B104" s="346"/>
      <c r="C104" s="351"/>
      <c r="D104" s="361"/>
      <c r="E104" s="134" t="str">
        <f>HLOOKUP(Deckblatt!$C$12,Language!$C$1:$D$730,118,FALSE)</f>
        <v xml:space="preserve">Wasserkreislaufsysteme (PUNKTE aus ENV2.2/100) * 6,5
</v>
      </c>
      <c r="F104" s="358"/>
      <c r="G104" s="69">
        <f>F39/100*6.5</f>
        <v>4.2250000000000005</v>
      </c>
      <c r="H104" s="18">
        <v>6.5</v>
      </c>
      <c r="I104" s="350"/>
      <c r="J104" s="340"/>
      <c r="K104" s="341"/>
      <c r="L104" s="341"/>
      <c r="M104" s="341"/>
      <c r="N104" s="342"/>
      <c r="P104" s="18">
        <f t="shared" si="1"/>
        <v>4.2250000000000005</v>
      </c>
      <c r="Q104" s="338"/>
      <c r="R104" s="344"/>
      <c r="S104" s="344"/>
      <c r="T104" s="344"/>
      <c r="U104" s="475"/>
    </row>
    <row r="105" spans="2:21" ht="26.4" x14ac:dyDescent="0.25">
      <c r="B105" s="346"/>
      <c r="C105" s="351"/>
      <c r="D105" s="361"/>
      <c r="E105" s="134" t="str">
        <f>HLOOKUP(Deckblatt!$C$12,Language!$C$1:$D$730,119,FALSE)</f>
        <v xml:space="preserve">Umweltrisiken (PUNKTE aus ECO2.5/100) * 6,5
</v>
      </c>
      <c r="F105" s="358"/>
      <c r="G105" s="69">
        <f>F153/100*6.5</f>
        <v>5.59</v>
      </c>
      <c r="H105" s="18">
        <v>6.5</v>
      </c>
      <c r="I105" s="350"/>
      <c r="J105" s="340"/>
      <c r="K105" s="341"/>
      <c r="L105" s="341"/>
      <c r="M105" s="341"/>
      <c r="N105" s="342"/>
      <c r="P105" s="18">
        <f t="shared" si="1"/>
        <v>5.59</v>
      </c>
      <c r="Q105" s="338"/>
      <c r="R105" s="344"/>
      <c r="S105" s="344"/>
      <c r="T105" s="344"/>
      <c r="U105" s="475"/>
    </row>
    <row r="106" spans="2:21" ht="39.6" x14ac:dyDescent="0.25">
      <c r="B106" s="346"/>
      <c r="C106" s="351"/>
      <c r="D106" s="71" t="s">
        <v>181</v>
      </c>
      <c r="E106" s="150" t="str">
        <f>HLOOKUP(Deckblatt!$C$12,Language!$C$1:$D$730,120,FALSE)</f>
        <v xml:space="preserve">Klimaanpassungsplan
Die Kommune hat einen Klimaanpassungsplan
</v>
      </c>
      <c r="F106" s="358"/>
      <c r="G106" s="69">
        <v>5.5</v>
      </c>
      <c r="H106" s="18">
        <v>5.5</v>
      </c>
      <c r="I106" s="350"/>
      <c r="J106" s="340"/>
      <c r="K106" s="341"/>
      <c r="L106" s="341"/>
      <c r="M106" s="341"/>
      <c r="N106" s="342"/>
      <c r="P106" s="18">
        <f t="shared" si="1"/>
        <v>5.5</v>
      </c>
      <c r="Q106" s="338"/>
      <c r="R106" s="344"/>
      <c r="S106" s="344"/>
      <c r="T106" s="344"/>
      <c r="U106" s="475"/>
    </row>
    <row r="107" spans="2:21" x14ac:dyDescent="0.25">
      <c r="B107" s="346"/>
      <c r="C107" s="351" t="s">
        <v>61</v>
      </c>
      <c r="D107" s="352" t="str">
        <f>HLOOKUP(Deckblatt!$C$12,Language!$C$1:$D$730,121,FALSE)</f>
        <v>Anpassungsfähigkeit</v>
      </c>
      <c r="E107" s="353"/>
      <c r="F107" s="358"/>
      <c r="G107" s="113"/>
      <c r="H107" s="21">
        <v>10</v>
      </c>
      <c r="I107" s="350"/>
      <c r="J107" s="340"/>
      <c r="K107" s="341"/>
      <c r="L107" s="341"/>
      <c r="M107" s="341"/>
      <c r="N107" s="342"/>
      <c r="P107" s="18">
        <f t="shared" si="1"/>
        <v>0</v>
      </c>
      <c r="Q107" s="338"/>
      <c r="R107" s="344"/>
      <c r="S107" s="344"/>
      <c r="T107" s="344"/>
      <c r="U107" s="475"/>
    </row>
    <row r="108" spans="2:21" ht="40.950000000000003" customHeight="1" x14ac:dyDescent="0.25">
      <c r="B108" s="346"/>
      <c r="C108" s="351"/>
      <c r="D108" s="71" t="s">
        <v>63</v>
      </c>
      <c r="E108" s="150" t="str">
        <f>HLOOKUP(Deckblatt!$C$12,Language!$C$1:$D$730,122,FALSE)</f>
        <v xml:space="preserve">Trendforschung
Bei der Planung wurde ein Trendbarometer für die Region/Stadt berücksichtigt. 
</v>
      </c>
      <c r="F108" s="358"/>
      <c r="G108" s="69">
        <v>5</v>
      </c>
      <c r="H108" s="18">
        <v>5</v>
      </c>
      <c r="I108" s="350"/>
      <c r="J108" s="340"/>
      <c r="K108" s="341"/>
      <c r="L108" s="341"/>
      <c r="M108" s="341"/>
      <c r="N108" s="342"/>
      <c r="P108" s="18">
        <f t="shared" si="1"/>
        <v>5</v>
      </c>
      <c r="Q108" s="338"/>
      <c r="R108" s="344"/>
      <c r="S108" s="344"/>
      <c r="T108" s="344"/>
      <c r="U108" s="475"/>
    </row>
    <row r="109" spans="2:21" ht="52.8" x14ac:dyDescent="0.25">
      <c r="B109" s="346"/>
      <c r="C109" s="351"/>
      <c r="D109" s="71" t="s">
        <v>186</v>
      </c>
      <c r="E109" s="150" t="str">
        <f>HLOOKUP(Deckblatt!$C$12,Language!$C$1:$D$730,123,FALSE)</f>
        <v xml:space="preserve">Innovationsmanagement
Bei der Planung des Quartiers wurde darauf geachtet, dass zukünftige technische und soziale Innovationen intergiert werden können. 
</v>
      </c>
      <c r="F109" s="358"/>
      <c r="G109" s="69">
        <v>5</v>
      </c>
      <c r="H109" s="18">
        <v>5</v>
      </c>
      <c r="I109" s="350"/>
      <c r="J109" s="340"/>
      <c r="K109" s="341"/>
      <c r="L109" s="341"/>
      <c r="M109" s="341"/>
      <c r="N109" s="342"/>
      <c r="P109" s="18">
        <f t="shared" si="1"/>
        <v>5</v>
      </c>
      <c r="Q109" s="338"/>
      <c r="R109" s="344"/>
      <c r="S109" s="344"/>
      <c r="T109" s="344"/>
      <c r="U109" s="475"/>
    </row>
    <row r="110" spans="2:21" x14ac:dyDescent="0.25">
      <c r="B110" s="346"/>
      <c r="C110" s="351" t="s">
        <v>64</v>
      </c>
      <c r="D110" s="352" t="str">
        <f>HLOOKUP(Deckblatt!$C$12,Language!$C$1:$D$730,124,FALSE)</f>
        <v>Versorgung und Erschließung</v>
      </c>
      <c r="E110" s="353"/>
      <c r="F110" s="358"/>
      <c r="G110" s="113"/>
      <c r="H110" s="21">
        <v>57</v>
      </c>
      <c r="I110" s="350"/>
      <c r="J110" s="340"/>
      <c r="K110" s="341"/>
      <c r="L110" s="341"/>
      <c r="M110" s="341"/>
      <c r="N110" s="342"/>
      <c r="P110" s="18">
        <f t="shared" si="1"/>
        <v>0</v>
      </c>
      <c r="Q110" s="338"/>
      <c r="R110" s="344"/>
      <c r="S110" s="344"/>
      <c r="T110" s="344"/>
      <c r="U110" s="475"/>
    </row>
    <row r="111" spans="2:21" ht="26.4" x14ac:dyDescent="0.25">
      <c r="B111" s="346"/>
      <c r="C111" s="351"/>
      <c r="D111" s="71" t="s">
        <v>66</v>
      </c>
      <c r="E111" s="150" t="str">
        <f>HLOOKUP(Deckblatt!$C$12,Language!$C$1:$D$730,125,FALSE)</f>
        <v xml:space="preserve">Versorgungssicherheit Trinkwasser
</v>
      </c>
      <c r="F111" s="358"/>
      <c r="G111" s="69">
        <v>10</v>
      </c>
      <c r="H111" s="18">
        <v>10</v>
      </c>
      <c r="I111" s="350"/>
      <c r="J111" s="340"/>
      <c r="K111" s="341"/>
      <c r="L111" s="341"/>
      <c r="M111" s="341"/>
      <c r="N111" s="342"/>
      <c r="P111" s="18">
        <f t="shared" si="1"/>
        <v>10</v>
      </c>
      <c r="Q111" s="338"/>
      <c r="R111" s="344"/>
      <c r="S111" s="344"/>
      <c r="T111" s="344"/>
      <c r="U111" s="475"/>
    </row>
    <row r="112" spans="2:21" ht="26.4" x14ac:dyDescent="0.25">
      <c r="B112" s="346"/>
      <c r="C112" s="351"/>
      <c r="D112" s="71" t="s">
        <v>188</v>
      </c>
      <c r="E112" s="150" t="str">
        <f>HLOOKUP(Deckblatt!$C$12,Language!$C$1:$D$730,126,FALSE)</f>
        <v xml:space="preserve">Versorgungssicherheit Abwasser
</v>
      </c>
      <c r="F112" s="358"/>
      <c r="G112" s="69">
        <v>5</v>
      </c>
      <c r="H112" s="18">
        <v>5</v>
      </c>
      <c r="I112" s="350"/>
      <c r="J112" s="340"/>
      <c r="K112" s="341"/>
      <c r="L112" s="341"/>
      <c r="M112" s="341"/>
      <c r="N112" s="342"/>
      <c r="P112" s="18">
        <f t="shared" si="1"/>
        <v>5</v>
      </c>
      <c r="Q112" s="338"/>
      <c r="R112" s="344"/>
      <c r="S112" s="344"/>
      <c r="T112" s="344"/>
      <c r="U112" s="475"/>
    </row>
    <row r="113" spans="2:21" ht="90" customHeight="1" x14ac:dyDescent="0.25">
      <c r="B113" s="346"/>
      <c r="C113" s="351"/>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358"/>
      <c r="G113" s="69">
        <v>15</v>
      </c>
      <c r="H113" s="18">
        <v>15</v>
      </c>
      <c r="I113" s="350"/>
      <c r="J113" s="340"/>
      <c r="K113" s="341"/>
      <c r="L113" s="341"/>
      <c r="M113" s="341"/>
      <c r="N113" s="342"/>
      <c r="P113" s="18">
        <f t="shared" si="1"/>
        <v>15</v>
      </c>
      <c r="Q113" s="338"/>
      <c r="R113" s="344"/>
      <c r="S113" s="344"/>
      <c r="T113" s="344"/>
      <c r="U113" s="475"/>
    </row>
    <row r="114" spans="2:21" x14ac:dyDescent="0.25">
      <c r="B114" s="346"/>
      <c r="C114" s="351"/>
      <c r="D114" s="398" t="s">
        <v>377</v>
      </c>
      <c r="E114" s="150" t="str">
        <f>HLOOKUP(Deckblatt!$C$12,Language!$C$1:$D$730,128,FALSE)</f>
        <v>Nahrungsmittelanbauflächen</v>
      </c>
      <c r="F114" s="358"/>
      <c r="G114" s="113"/>
      <c r="H114" s="21">
        <v>10</v>
      </c>
      <c r="I114" s="350"/>
      <c r="J114" s="340"/>
      <c r="K114" s="341"/>
      <c r="L114" s="341"/>
      <c r="M114" s="341"/>
      <c r="N114" s="342"/>
      <c r="P114" s="18">
        <f t="shared" si="1"/>
        <v>0</v>
      </c>
      <c r="Q114" s="338"/>
      <c r="R114" s="344"/>
      <c r="S114" s="344"/>
      <c r="T114" s="344"/>
      <c r="U114" s="475"/>
    </row>
    <row r="115" spans="2:21" ht="39.6" x14ac:dyDescent="0.25">
      <c r="B115" s="346"/>
      <c r="C115" s="351"/>
      <c r="D115" s="414"/>
      <c r="E115" s="134" t="str">
        <f>HLOOKUP(Deckblatt!$C$12,Language!$C$1:$D$730,129,FALSE)</f>
        <v xml:space="preserve">Regionale Produkte werden im Quartier angeboten (z. B. Wochenmarkt, Bauernladen).
</v>
      </c>
      <c r="F115" s="358"/>
      <c r="G115" s="69">
        <v>2</v>
      </c>
      <c r="H115" s="18">
        <v>2</v>
      </c>
      <c r="I115" s="350"/>
      <c r="J115" s="340"/>
      <c r="K115" s="341"/>
      <c r="L115" s="341"/>
      <c r="M115" s="341"/>
      <c r="N115" s="342"/>
      <c r="P115" s="18">
        <f t="shared" si="1"/>
        <v>2</v>
      </c>
      <c r="Q115" s="338"/>
      <c r="R115" s="344"/>
      <c r="S115" s="344"/>
      <c r="T115" s="344"/>
      <c r="U115" s="475"/>
    </row>
    <row r="116" spans="2:21" ht="26.4" x14ac:dyDescent="0.25">
      <c r="B116" s="346"/>
      <c r="C116" s="351"/>
      <c r="D116" s="414"/>
      <c r="E116" s="134" t="str">
        <f>HLOOKUP(Deckblatt!$C$12,Language!$C$1:$D$730,130,FALSE)</f>
        <v xml:space="preserve">Anbauflächen für Bewohner im Quartier sind vorhanden und werden genutzt.
</v>
      </c>
      <c r="F116" s="358"/>
      <c r="G116" s="69">
        <v>4</v>
      </c>
      <c r="H116" s="18">
        <v>4</v>
      </c>
      <c r="I116" s="350"/>
      <c r="J116" s="340"/>
      <c r="K116" s="341"/>
      <c r="L116" s="341"/>
      <c r="M116" s="341"/>
      <c r="N116" s="342"/>
      <c r="P116" s="18">
        <f t="shared" si="1"/>
        <v>4</v>
      </c>
      <c r="Q116" s="338"/>
      <c r="R116" s="344"/>
      <c r="S116" s="344"/>
      <c r="T116" s="344"/>
      <c r="U116" s="475"/>
    </row>
    <row r="117" spans="2:21" ht="26.4" x14ac:dyDescent="0.25">
      <c r="B117" s="346"/>
      <c r="C117" s="351"/>
      <c r="D117" s="399"/>
      <c r="E117" s="134" t="str">
        <f>HLOOKUP(Deckblatt!$C$12,Language!$C$1:$D$730,131,FALSE)</f>
        <v xml:space="preserve">Hocheffiziente oder innovative Anbaumethode im Quartier 
</v>
      </c>
      <c r="F117" s="358"/>
      <c r="G117" s="69">
        <v>0</v>
      </c>
      <c r="H117" s="18">
        <v>4</v>
      </c>
      <c r="I117" s="350"/>
      <c r="J117" s="340"/>
      <c r="K117" s="341"/>
      <c r="L117" s="341"/>
      <c r="M117" s="341"/>
      <c r="N117" s="342"/>
      <c r="P117" s="18">
        <f t="shared" si="1"/>
        <v>0</v>
      </c>
      <c r="Q117" s="338"/>
      <c r="R117" s="344"/>
      <c r="S117" s="344"/>
      <c r="T117" s="344"/>
      <c r="U117" s="475"/>
    </row>
    <row r="118" spans="2:21" ht="39.6" x14ac:dyDescent="0.25">
      <c r="B118" s="346"/>
      <c r="C118" s="351"/>
      <c r="D118" s="71" t="s">
        <v>189</v>
      </c>
      <c r="E118" s="134" t="str">
        <f>HLOOKUP(Deckblatt!$C$12,Language!$C$1:$D$730,132,FALSE)</f>
        <v xml:space="preserve">Flexibilität und Ausbaureserven der  technischen Quartiersinfrastruktur / Gebäude
</v>
      </c>
      <c r="F118" s="358"/>
      <c r="G118" s="69">
        <v>12</v>
      </c>
      <c r="H118" s="18">
        <v>12</v>
      </c>
      <c r="I118" s="350"/>
      <c r="J118" s="340"/>
      <c r="K118" s="341"/>
      <c r="L118" s="341"/>
      <c r="M118" s="341"/>
      <c r="N118" s="342"/>
      <c r="P118" s="18">
        <f t="shared" si="1"/>
        <v>12</v>
      </c>
      <c r="Q118" s="338"/>
      <c r="R118" s="344"/>
      <c r="S118" s="344"/>
      <c r="T118" s="344"/>
      <c r="U118" s="475"/>
    </row>
    <row r="119" spans="2:21" x14ac:dyDescent="0.25">
      <c r="B119" s="346"/>
      <c r="C119" s="351"/>
      <c r="D119" s="361" t="s">
        <v>190</v>
      </c>
      <c r="E119" s="150" t="str">
        <f>HLOOKUP(Deckblatt!$C$12,Language!$C$1:$D$730,133,FALSE)</f>
        <v>Redundanz und Resilienz der Verkehrssysteme</v>
      </c>
      <c r="F119" s="358"/>
      <c r="G119" s="113"/>
      <c r="H119" s="21">
        <v>5</v>
      </c>
      <c r="I119" s="350"/>
      <c r="J119" s="340"/>
      <c r="K119" s="341"/>
      <c r="L119" s="341"/>
      <c r="M119" s="341"/>
      <c r="N119" s="342"/>
      <c r="P119" s="18">
        <f t="shared" si="1"/>
        <v>0</v>
      </c>
      <c r="Q119" s="338"/>
      <c r="R119" s="344"/>
      <c r="S119" s="344"/>
      <c r="T119" s="344"/>
      <c r="U119" s="475"/>
    </row>
    <row r="120" spans="2:21" ht="52.8" x14ac:dyDescent="0.25">
      <c r="B120" s="346"/>
      <c r="C120" s="351"/>
      <c r="D120" s="361"/>
      <c r="E120"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20" s="358"/>
      <c r="G120" s="69">
        <v>5</v>
      </c>
      <c r="H120" s="18">
        <v>5</v>
      </c>
      <c r="I120" s="350"/>
      <c r="J120" s="340"/>
      <c r="K120" s="341"/>
      <c r="L120" s="341"/>
      <c r="M120" s="341"/>
      <c r="N120" s="342"/>
      <c r="P120" s="18">
        <f t="shared" si="1"/>
        <v>5</v>
      </c>
      <c r="Q120" s="338"/>
      <c r="R120" s="344"/>
      <c r="S120" s="344"/>
      <c r="T120" s="344"/>
      <c r="U120" s="475"/>
    </row>
    <row r="121" spans="2:21" x14ac:dyDescent="0.25">
      <c r="B121" s="346"/>
      <c r="C121" s="359" t="s">
        <v>67</v>
      </c>
      <c r="D121" s="352" t="str">
        <f>HLOOKUP(Deckblatt!$C$12,Language!$C$1:$D$730,135,FALSE)</f>
        <v>Städtebau und Architektur</v>
      </c>
      <c r="E121" s="353"/>
      <c r="F121" s="358"/>
      <c r="G121" s="356"/>
      <c r="H121" s="21">
        <v>8</v>
      </c>
      <c r="I121" s="350"/>
      <c r="J121" s="340"/>
      <c r="K121" s="341"/>
      <c r="L121" s="341"/>
      <c r="M121" s="341"/>
      <c r="N121" s="342"/>
      <c r="P121" s="18">
        <f t="shared" si="1"/>
        <v>0</v>
      </c>
      <c r="Q121" s="338"/>
      <c r="R121" s="344"/>
      <c r="S121" s="344"/>
      <c r="T121" s="344"/>
      <c r="U121" s="475"/>
    </row>
    <row r="122" spans="2:21" x14ac:dyDescent="0.25">
      <c r="B122" s="346"/>
      <c r="C122" s="390"/>
      <c r="D122" s="361" t="s">
        <v>69</v>
      </c>
      <c r="E122" s="150" t="str">
        <f>HLOOKUP(Deckblatt!$C$12,Language!$C$1:$D$730,136,FALSE)</f>
        <v>Städtebau</v>
      </c>
      <c r="F122" s="358"/>
      <c r="G122" s="356"/>
      <c r="H122" s="21">
        <v>8</v>
      </c>
      <c r="I122" s="350"/>
      <c r="J122" s="340"/>
      <c r="K122" s="341"/>
      <c r="L122" s="341"/>
      <c r="M122" s="341"/>
      <c r="N122" s="342"/>
      <c r="P122" s="18">
        <f t="shared" si="1"/>
        <v>0</v>
      </c>
      <c r="Q122" s="338"/>
      <c r="R122" s="344"/>
      <c r="S122" s="344"/>
      <c r="T122" s="344"/>
      <c r="U122" s="475"/>
    </row>
    <row r="123" spans="2:21" ht="66" x14ac:dyDescent="0.25">
      <c r="B123" s="346"/>
      <c r="C123" s="390"/>
      <c r="D123" s="361"/>
      <c r="E123"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23" s="358"/>
      <c r="G123" s="69">
        <v>4</v>
      </c>
      <c r="H123" s="18">
        <v>4</v>
      </c>
      <c r="I123" s="350"/>
      <c r="J123" s="340"/>
      <c r="K123" s="341"/>
      <c r="L123" s="341"/>
      <c r="M123" s="341"/>
      <c r="N123" s="342"/>
      <c r="P123" s="18">
        <f t="shared" si="1"/>
        <v>4</v>
      </c>
      <c r="Q123" s="338"/>
      <c r="R123" s="344"/>
      <c r="S123" s="344"/>
      <c r="T123" s="344"/>
      <c r="U123" s="475"/>
    </row>
    <row r="124" spans="2:21" ht="52.8" x14ac:dyDescent="0.25">
      <c r="B124" s="346"/>
      <c r="C124" s="390"/>
      <c r="D124" s="361"/>
      <c r="E124" s="134" t="str">
        <f>HLOOKUP(Deckblatt!$C$12,Language!$C$1:$D$730,138,FALSE)</f>
        <v xml:space="preserve">Die Planungen und Festsetzungen lassen unterschiedliche Bauweisen, Gebäudetypologien und/oder Trauf- und Geschosshöhen auf den Baufeldern zu.
</v>
      </c>
      <c r="F124" s="358"/>
      <c r="G124" s="69">
        <v>2</v>
      </c>
      <c r="H124" s="18">
        <v>2</v>
      </c>
      <c r="I124" s="350"/>
      <c r="J124" s="340"/>
      <c r="K124" s="341"/>
      <c r="L124" s="341"/>
      <c r="M124" s="341"/>
      <c r="N124" s="342"/>
      <c r="P124" s="18">
        <f t="shared" si="1"/>
        <v>2</v>
      </c>
      <c r="Q124" s="338"/>
      <c r="R124" s="344"/>
      <c r="S124" s="344"/>
      <c r="T124" s="344"/>
      <c r="U124" s="475"/>
    </row>
    <row r="125" spans="2:21" ht="39.6" x14ac:dyDescent="0.25">
      <c r="B125" s="346"/>
      <c r="C125" s="390"/>
      <c r="D125" s="361"/>
      <c r="E125" s="134" t="str">
        <f>HLOOKUP(Deckblatt!$C$12,Language!$C$1:$D$730,139,FALSE)</f>
        <v xml:space="preserve">Die Gestaltung des öffentlichen Raums lässt zukünftige Anpassungen der Straßenbreite zu.
</v>
      </c>
      <c r="F125" s="358"/>
      <c r="G125" s="69">
        <v>2</v>
      </c>
      <c r="H125" s="18">
        <v>2</v>
      </c>
      <c r="I125" s="350"/>
      <c r="J125" s="340"/>
      <c r="K125" s="341"/>
      <c r="L125" s="341"/>
      <c r="M125" s="341"/>
      <c r="N125" s="342"/>
      <c r="P125" s="18">
        <f t="shared" si="1"/>
        <v>2</v>
      </c>
      <c r="Q125" s="338"/>
      <c r="R125" s="344"/>
      <c r="S125" s="344"/>
      <c r="T125" s="344"/>
      <c r="U125" s="475"/>
    </row>
    <row r="126" spans="2:21" ht="105.6" x14ac:dyDescent="0.25">
      <c r="B126" s="370"/>
      <c r="C126" s="360"/>
      <c r="D126" s="71" t="s">
        <v>78</v>
      </c>
      <c r="E126" s="68" t="str">
        <f>HLOOKUP(Deckblatt!$C$12,Language!$C$1:$D$730,140,FALSE)</f>
        <v xml:space="preserve">CIRCULAR ECONOMY BONUS – RÜCKBAUFREUNDLICHE BAUKONSTRUKTION
Es gibt quartiersübergreifende Rückbaukonzepte für Gebäude und / oder Infrastruktur
Gebäude: 5 Punkte
Infrastruktur: 5 Punkte
</v>
      </c>
      <c r="F126" s="482"/>
      <c r="G126" s="69">
        <v>10</v>
      </c>
      <c r="H126" s="18">
        <v>10</v>
      </c>
      <c r="I126" s="366"/>
      <c r="J126" s="340" t="s">
        <v>1839</v>
      </c>
      <c r="K126" s="341"/>
      <c r="L126" s="341"/>
      <c r="M126" s="341"/>
      <c r="N126" s="342"/>
      <c r="P126" s="18">
        <f t="shared" si="1"/>
        <v>10</v>
      </c>
      <c r="Q126" s="339"/>
      <c r="R126" s="365"/>
      <c r="S126" s="344"/>
      <c r="T126" s="344"/>
      <c r="U126" s="475"/>
    </row>
    <row r="127" spans="2:21" x14ac:dyDescent="0.25">
      <c r="B127" s="55" t="s">
        <v>201</v>
      </c>
      <c r="C127" s="354" t="str">
        <f>HLOOKUP(Deckblatt!$C$12,Language!$C$1:$D$730,141,FALSE)</f>
        <v>Flächeneffizienz</v>
      </c>
      <c r="D127" s="354"/>
      <c r="E127" s="355"/>
      <c r="F127" s="157">
        <f>Q127</f>
        <v>80</v>
      </c>
      <c r="G127" s="364"/>
      <c r="H127" s="21">
        <v>100</v>
      </c>
      <c r="I127" s="176">
        <v>3</v>
      </c>
      <c r="J127" s="340"/>
      <c r="K127" s="341"/>
      <c r="L127" s="341"/>
      <c r="M127" s="341"/>
      <c r="N127" s="342"/>
      <c r="P127" s="18">
        <f t="shared" si="1"/>
        <v>0</v>
      </c>
      <c r="Q127" s="337">
        <f>P129+P131</f>
        <v>80</v>
      </c>
      <c r="R127" s="343">
        <f>Q127/100</f>
        <v>0.8</v>
      </c>
      <c r="S127" s="344"/>
      <c r="T127" s="344"/>
      <c r="U127" s="475"/>
    </row>
    <row r="128" spans="2:21" x14ac:dyDescent="0.25">
      <c r="B128" s="375"/>
      <c r="C128" s="351" t="s">
        <v>54</v>
      </c>
      <c r="D128" s="352" t="str">
        <f>HLOOKUP(Deckblatt!$C$12,Language!$C$1:$D$730,142,FALSE)</f>
        <v>Erschließungseffizienz des Quartiers</v>
      </c>
      <c r="E128" s="353"/>
      <c r="F128" s="393"/>
      <c r="G128" s="364"/>
      <c r="H128" s="21">
        <v>40</v>
      </c>
      <c r="I128" s="379"/>
      <c r="J128" s="340"/>
      <c r="K128" s="341"/>
      <c r="L128" s="341"/>
      <c r="M128" s="341"/>
      <c r="N128" s="342"/>
      <c r="P128" s="18">
        <f t="shared" si="1"/>
        <v>0</v>
      </c>
      <c r="Q128" s="338"/>
      <c r="R128" s="344"/>
      <c r="S128" s="344"/>
      <c r="T128" s="344"/>
      <c r="U128" s="475"/>
    </row>
    <row r="129" spans="2:21" ht="26.4" x14ac:dyDescent="0.25">
      <c r="B129" s="375"/>
      <c r="C129" s="351"/>
      <c r="D129" s="71" t="s">
        <v>58</v>
      </c>
      <c r="E129" s="150" t="str">
        <f>HLOOKUP(Deckblatt!$C$12,Language!$C$1:$D$730,143,FALSE)</f>
        <v xml:space="preserve">Erschließungseffizienzzahl (EEZ)
</v>
      </c>
      <c r="F129" s="393"/>
      <c r="G129" s="69">
        <v>30</v>
      </c>
      <c r="H129" s="18">
        <v>40</v>
      </c>
      <c r="I129" s="379"/>
      <c r="J129" s="340"/>
      <c r="K129" s="341"/>
      <c r="L129" s="341"/>
      <c r="M129" s="341"/>
      <c r="N129" s="342"/>
      <c r="P129" s="18">
        <f t="shared" si="1"/>
        <v>30</v>
      </c>
      <c r="Q129" s="338"/>
      <c r="R129" s="344"/>
      <c r="S129" s="344"/>
      <c r="T129" s="344"/>
      <c r="U129" s="475"/>
    </row>
    <row r="130" spans="2:21" x14ac:dyDescent="0.25">
      <c r="B130" s="375"/>
      <c r="C130" s="351" t="s">
        <v>61</v>
      </c>
      <c r="D130" s="352" t="str">
        <f>HLOOKUP(Deckblatt!$C$12,Language!$C$1:$D$730,145,FALSE)</f>
        <v>Baudichte</v>
      </c>
      <c r="E130" s="353"/>
      <c r="F130" s="393"/>
      <c r="G130" s="113"/>
      <c r="H130" s="21">
        <v>60</v>
      </c>
      <c r="I130" s="379"/>
      <c r="J130" s="340"/>
      <c r="K130" s="341"/>
      <c r="L130" s="341"/>
      <c r="M130" s="341"/>
      <c r="N130" s="342"/>
      <c r="P130" s="18">
        <f t="shared" ref="P130:P213" si="2">IF(G130&gt;H130,H130,G130)</f>
        <v>0</v>
      </c>
      <c r="Q130" s="338"/>
      <c r="R130" s="344"/>
      <c r="S130" s="344"/>
      <c r="T130" s="344"/>
      <c r="U130" s="475"/>
    </row>
    <row r="131" spans="2:21" ht="26.4" x14ac:dyDescent="0.25">
      <c r="B131" s="375"/>
      <c r="C131" s="351"/>
      <c r="D131" s="71" t="s">
        <v>63</v>
      </c>
      <c r="E131" s="150" t="str">
        <f>HLOOKUP(Deckblatt!$C$12,Language!$C$1:$D$730,146,FALSE)</f>
        <v xml:space="preserve">Geschossflächenanzahl (GFZ)
</v>
      </c>
      <c r="F131" s="393"/>
      <c r="G131" s="69">
        <v>50</v>
      </c>
      <c r="H131" s="18">
        <v>60</v>
      </c>
      <c r="I131" s="379"/>
      <c r="J131" s="340"/>
      <c r="K131" s="341"/>
      <c r="L131" s="341"/>
      <c r="M131" s="341"/>
      <c r="N131" s="342"/>
      <c r="P131" s="18">
        <f t="shared" si="2"/>
        <v>50</v>
      </c>
      <c r="Q131" s="339"/>
      <c r="R131" s="365"/>
      <c r="S131" s="344"/>
      <c r="T131" s="344"/>
      <c r="U131" s="475"/>
    </row>
    <row r="132" spans="2:21" x14ac:dyDescent="0.25">
      <c r="B132" s="55" t="s">
        <v>207</v>
      </c>
      <c r="C132" s="354" t="str">
        <f>HLOOKUP(Deckblatt!$C$12,Language!$C$1:$D$730,147,FALSE)</f>
        <v>Wertstabilität</v>
      </c>
      <c r="D132" s="354"/>
      <c r="E132" s="355"/>
      <c r="F132" s="157">
        <f>Q132</f>
        <v>70</v>
      </c>
      <c r="G132" s="364"/>
      <c r="H132" s="137">
        <v>100</v>
      </c>
      <c r="I132" s="176">
        <v>2</v>
      </c>
      <c r="J132" s="340"/>
      <c r="K132" s="341"/>
      <c r="L132" s="341"/>
      <c r="M132" s="341"/>
      <c r="N132" s="342"/>
      <c r="P132" s="18">
        <f t="shared" si="2"/>
        <v>0</v>
      </c>
      <c r="Q132" s="337">
        <f>SUM(P134,P136,P138,P140:P143,P145:P149,P151:P152)</f>
        <v>70</v>
      </c>
      <c r="R132" s="343">
        <f>Q132/100</f>
        <v>0.7</v>
      </c>
      <c r="S132" s="344"/>
      <c r="T132" s="344"/>
      <c r="U132" s="475"/>
    </row>
    <row r="133" spans="2:21" x14ac:dyDescent="0.25">
      <c r="B133" s="375"/>
      <c r="C133" s="351" t="s">
        <v>54</v>
      </c>
      <c r="D133" s="352" t="str">
        <f>HLOOKUP(Deckblatt!$C$12,Language!$C$1:$D$730,148,FALSE)</f>
        <v>Diversifikation</v>
      </c>
      <c r="E133" s="353"/>
      <c r="F133" s="393"/>
      <c r="G133" s="364"/>
      <c r="H133" s="21">
        <v>30</v>
      </c>
      <c r="I133" s="379"/>
      <c r="J133" s="340"/>
      <c r="K133" s="341"/>
      <c r="L133" s="341"/>
      <c r="M133" s="341"/>
      <c r="N133" s="342"/>
      <c r="P133" s="18">
        <f t="shared" si="2"/>
        <v>0</v>
      </c>
      <c r="Q133" s="338"/>
      <c r="R133" s="344"/>
      <c r="S133" s="344"/>
      <c r="T133" s="344"/>
      <c r="U133" s="475"/>
    </row>
    <row r="134" spans="2:21" ht="26.4" x14ac:dyDescent="0.25">
      <c r="B134" s="375"/>
      <c r="C134" s="351"/>
      <c r="D134" s="71" t="s">
        <v>58</v>
      </c>
      <c r="E134" s="150" t="str">
        <f>HLOOKUP(Deckblatt!$C$12,Language!$C$1:$D$730,149,FALSE)</f>
        <v xml:space="preserve">Diversifikationsgrad
</v>
      </c>
      <c r="F134" s="393"/>
      <c r="G134" s="69">
        <v>15</v>
      </c>
      <c r="H134" s="18">
        <v>30</v>
      </c>
      <c r="I134" s="379"/>
      <c r="J134" s="340"/>
      <c r="K134" s="341"/>
      <c r="L134" s="341"/>
      <c r="M134" s="341"/>
      <c r="N134" s="342"/>
      <c r="P134" s="18">
        <f t="shared" si="2"/>
        <v>15</v>
      </c>
      <c r="Q134" s="338"/>
      <c r="R134" s="344"/>
      <c r="S134" s="344"/>
      <c r="T134" s="344"/>
      <c r="U134" s="475"/>
    </row>
    <row r="135" spans="2:21" x14ac:dyDescent="0.25">
      <c r="B135" s="375"/>
      <c r="C135" s="351" t="s">
        <v>61</v>
      </c>
      <c r="D135" s="352" t="str">
        <f>HLOOKUP(Deckblatt!$C$12,Language!$C$1:$D$730,150,FALSE)</f>
        <v>Kaufkraftkennziffer</v>
      </c>
      <c r="E135" s="353"/>
      <c r="F135" s="393"/>
      <c r="G135" s="113"/>
      <c r="H135" s="21">
        <v>10</v>
      </c>
      <c r="I135" s="379"/>
      <c r="J135" s="340"/>
      <c r="K135" s="341"/>
      <c r="L135" s="341"/>
      <c r="M135" s="341"/>
      <c r="N135" s="342"/>
      <c r="P135" s="18">
        <f t="shared" si="2"/>
        <v>0</v>
      </c>
      <c r="Q135" s="338"/>
      <c r="R135" s="344"/>
      <c r="S135" s="344"/>
      <c r="T135" s="344"/>
      <c r="U135" s="475"/>
    </row>
    <row r="136" spans="2:21" ht="26.4" x14ac:dyDescent="0.25">
      <c r="B136" s="375"/>
      <c r="C136" s="351"/>
      <c r="D136" s="71" t="s">
        <v>63</v>
      </c>
      <c r="E136" s="150" t="str">
        <f>HLOOKUP(Deckblatt!$C$12,Language!$C$1:$D$730,151,FALSE)</f>
        <v xml:space="preserve">Kaufkraftkennziffer
</v>
      </c>
      <c r="F136" s="393"/>
      <c r="G136" s="69">
        <v>0</v>
      </c>
      <c r="H136" s="18">
        <v>10</v>
      </c>
      <c r="I136" s="379"/>
      <c r="J136" s="340"/>
      <c r="K136" s="341"/>
      <c r="L136" s="341"/>
      <c r="M136" s="341"/>
      <c r="N136" s="342"/>
      <c r="P136" s="18">
        <f t="shared" si="2"/>
        <v>0</v>
      </c>
      <c r="Q136" s="338"/>
      <c r="R136" s="344"/>
      <c r="S136" s="344"/>
      <c r="T136" s="344"/>
      <c r="U136" s="475"/>
    </row>
    <row r="137" spans="2:21" x14ac:dyDescent="0.25">
      <c r="B137" s="375"/>
      <c r="C137" s="369" t="s">
        <v>64</v>
      </c>
      <c r="D137" s="352" t="str">
        <f>HLOOKUP(Deckblatt!$C$12,Language!$C$1:$D$730,152,FALSE)</f>
        <v>Arbeitslosenquote</v>
      </c>
      <c r="E137" s="353"/>
      <c r="F137" s="393"/>
      <c r="G137" s="113"/>
      <c r="H137" s="21">
        <v>10</v>
      </c>
      <c r="I137" s="379"/>
      <c r="J137" s="340"/>
      <c r="K137" s="341"/>
      <c r="L137" s="341"/>
      <c r="M137" s="341"/>
      <c r="N137" s="342"/>
      <c r="P137" s="18">
        <f t="shared" si="2"/>
        <v>0</v>
      </c>
      <c r="Q137" s="338"/>
      <c r="R137" s="344"/>
      <c r="S137" s="344"/>
      <c r="T137" s="344"/>
      <c r="U137" s="475"/>
    </row>
    <row r="138" spans="2:21" ht="133.19999999999999" customHeight="1" x14ac:dyDescent="0.25">
      <c r="B138" s="375"/>
      <c r="C138" s="360"/>
      <c r="D138" s="71" t="s">
        <v>66</v>
      </c>
      <c r="E138" s="134" t="str">
        <f>HLOOKUP(Deckblatt!$C$12,Language!$C$1:$D$730,153,FALSE)</f>
        <v xml:space="preserve">Arbeitslosenquote
- Die durchschnittliche Arbeitslosenquote der letzten 5 Jahre für die Stadt / den Stadtteil liegt unter dem Bundesdurchschnitt. (5 Punkte)
ODER
- Die durchschnittliche Arbeitslosenquote der letzten 5 Jahre für die Stadt / den Stadtteil ist niedriger als die durchschnittliche Arbeitslosenquote der letzten 15 Jahre für die Stadt / den Stadtteil. (10 Punkte)
</v>
      </c>
      <c r="F138" s="393"/>
      <c r="G138" s="69">
        <v>10</v>
      </c>
      <c r="H138" s="18">
        <v>10</v>
      </c>
      <c r="I138" s="379"/>
      <c r="J138" s="340"/>
      <c r="K138" s="341"/>
      <c r="L138" s="341"/>
      <c r="M138" s="341"/>
      <c r="N138" s="342"/>
      <c r="P138" s="18">
        <f t="shared" si="2"/>
        <v>10</v>
      </c>
      <c r="Q138" s="338"/>
      <c r="R138" s="344"/>
      <c r="S138" s="344"/>
      <c r="T138" s="344"/>
      <c r="U138" s="475"/>
    </row>
    <row r="139" spans="2:21" x14ac:dyDescent="0.25">
      <c r="B139" s="375"/>
      <c r="C139" s="351" t="s">
        <v>67</v>
      </c>
      <c r="D139" s="352" t="str">
        <f>HLOOKUP(Deckblatt!$C$12,Language!$C$1:$D$730,154,FALSE)</f>
        <v>Markt- und Standortnalyse</v>
      </c>
      <c r="E139" s="353"/>
      <c r="F139" s="393"/>
      <c r="G139" s="113"/>
      <c r="H139" s="21">
        <v>25</v>
      </c>
      <c r="I139" s="379"/>
      <c r="J139" s="340"/>
      <c r="K139" s="341"/>
      <c r="L139" s="341"/>
      <c r="M139" s="341"/>
      <c r="N139" s="342"/>
      <c r="P139" s="18">
        <f t="shared" si="2"/>
        <v>0</v>
      </c>
      <c r="Q139" s="338"/>
      <c r="R139" s="344"/>
      <c r="S139" s="344"/>
      <c r="T139" s="344"/>
      <c r="U139" s="475"/>
    </row>
    <row r="140" spans="2:21" ht="112.2" customHeight="1" x14ac:dyDescent="0.25">
      <c r="B140" s="375"/>
      <c r="C140" s="351"/>
      <c r="D140" s="71" t="s">
        <v>69</v>
      </c>
      <c r="E140"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40" s="393"/>
      <c r="G140" s="69">
        <v>10</v>
      </c>
      <c r="H140" s="18">
        <v>10</v>
      </c>
      <c r="I140" s="379"/>
      <c r="J140" s="340" t="s">
        <v>1840</v>
      </c>
      <c r="K140" s="341"/>
      <c r="L140" s="341"/>
      <c r="M140" s="341"/>
      <c r="N140" s="342"/>
      <c r="P140" s="18">
        <f t="shared" si="2"/>
        <v>10</v>
      </c>
      <c r="Q140" s="338"/>
      <c r="R140" s="344"/>
      <c r="S140" s="344"/>
      <c r="T140" s="344"/>
      <c r="U140" s="475"/>
    </row>
    <row r="141" spans="2:21" ht="94.95" customHeight="1" x14ac:dyDescent="0.25">
      <c r="B141" s="375"/>
      <c r="C141" s="351"/>
      <c r="D141" s="71" t="s">
        <v>78</v>
      </c>
      <c r="E141" s="134" t="str">
        <f>HLOOKUP(Deckblatt!$C$12,Language!$C$1:$D$730,156,FALSE)</f>
        <v xml:space="preserve">Zielgruppenanalyse
- Demografische und soziale Merkmale
- Lebensstil und Freizeitverhalten
- Nachfrageverhalten
- Wirtschaftsbereiche
- Größenmerkmale (gewerbliche Ansiedler)
</v>
      </c>
      <c r="F141" s="393"/>
      <c r="G141" s="69">
        <v>5</v>
      </c>
      <c r="H141" s="18">
        <v>5</v>
      </c>
      <c r="I141" s="379"/>
      <c r="J141" s="340"/>
      <c r="K141" s="341"/>
      <c r="L141" s="341"/>
      <c r="M141" s="341"/>
      <c r="N141" s="342"/>
      <c r="P141" s="18">
        <f t="shared" si="2"/>
        <v>5</v>
      </c>
      <c r="Q141" s="338"/>
      <c r="R141" s="344"/>
      <c r="S141" s="344"/>
      <c r="T141" s="344"/>
      <c r="U141" s="475"/>
    </row>
    <row r="142" spans="2:21" ht="52.8" x14ac:dyDescent="0.25">
      <c r="B142" s="375"/>
      <c r="C142" s="351"/>
      <c r="D142" s="71" t="s">
        <v>214</v>
      </c>
      <c r="E142" s="134" t="str">
        <f>HLOOKUP(Deckblatt!$C$12,Language!$C$1:$D$730,157,FALSE)</f>
        <v xml:space="preserve">Konkurrenzanalyse
liegt vor, wenn in der Analyse auf konkurrierende Projekte eingegangen wird und Folgerungen daraus abgeleitet werden.
</v>
      </c>
      <c r="F142" s="393"/>
      <c r="G142" s="69">
        <v>5</v>
      </c>
      <c r="H142" s="18">
        <v>5</v>
      </c>
      <c r="I142" s="379"/>
      <c r="J142" s="340"/>
      <c r="K142" s="341"/>
      <c r="L142" s="341"/>
      <c r="M142" s="341"/>
      <c r="N142" s="342"/>
      <c r="P142" s="18">
        <f t="shared" si="2"/>
        <v>5</v>
      </c>
      <c r="Q142" s="338"/>
      <c r="R142" s="344"/>
      <c r="S142" s="344"/>
      <c r="T142" s="344"/>
      <c r="U142" s="475"/>
    </row>
    <row r="143" spans="2:21" ht="79.2" x14ac:dyDescent="0.25">
      <c r="B143" s="375"/>
      <c r="C143" s="351"/>
      <c r="D143" s="71" t="s">
        <v>215</v>
      </c>
      <c r="E143"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43" s="393"/>
      <c r="G143" s="69">
        <v>5</v>
      </c>
      <c r="H143" s="18">
        <v>5</v>
      </c>
      <c r="I143" s="379"/>
      <c r="J143" s="340"/>
      <c r="K143" s="341"/>
      <c r="L143" s="341"/>
      <c r="M143" s="341"/>
      <c r="N143" s="342"/>
      <c r="P143" s="18">
        <f t="shared" si="2"/>
        <v>5</v>
      </c>
      <c r="Q143" s="338"/>
      <c r="R143" s="344"/>
      <c r="S143" s="344"/>
      <c r="T143" s="344"/>
      <c r="U143" s="475"/>
    </row>
    <row r="144" spans="2:21" x14ac:dyDescent="0.25">
      <c r="B144" s="375"/>
      <c r="C144" s="351" t="s">
        <v>154</v>
      </c>
      <c r="D144" s="352" t="str">
        <f>HLOOKUP(Deckblatt!$C$12,Language!$C$1:$D$730,159,FALSE)</f>
        <v>Vermarktung</v>
      </c>
      <c r="E144" s="353"/>
      <c r="F144" s="393"/>
      <c r="G144" s="113"/>
      <c r="H144" s="21">
        <v>10</v>
      </c>
      <c r="I144" s="379"/>
      <c r="J144" s="340"/>
      <c r="K144" s="341"/>
      <c r="L144" s="341"/>
      <c r="M144" s="341"/>
      <c r="N144" s="342"/>
      <c r="P144" s="18">
        <f t="shared" si="2"/>
        <v>0</v>
      </c>
      <c r="Q144" s="338"/>
      <c r="R144" s="344"/>
      <c r="S144" s="344"/>
      <c r="T144" s="344"/>
      <c r="U144" s="475"/>
    </row>
    <row r="145" spans="2:21" ht="62.4" customHeight="1" x14ac:dyDescent="0.25">
      <c r="B145" s="375"/>
      <c r="C145" s="351"/>
      <c r="D145" s="71" t="s">
        <v>156</v>
      </c>
      <c r="E145" s="134" t="str">
        <f>HLOOKUP(Deckblatt!$C$12,Language!$C$1:$D$730,160,FALSE)</f>
        <v xml:space="preserve">Medienarbeit/Broschüren
mit min. zwei verschiedenen Medien beworben wird. (Broschüren/Zeitungen/Internet/Fernsehen/Radio/Plakate usw.)  
(Artikel und Meldungen zum Projekt reichen nicht aus).
</v>
      </c>
      <c r="F145" s="393"/>
      <c r="G145" s="69">
        <v>2</v>
      </c>
      <c r="H145" s="18">
        <v>2</v>
      </c>
      <c r="I145" s="379"/>
      <c r="J145" s="340"/>
      <c r="K145" s="341"/>
      <c r="L145" s="341"/>
      <c r="M145" s="341"/>
      <c r="N145" s="342"/>
      <c r="P145" s="18">
        <f t="shared" si="2"/>
        <v>2</v>
      </c>
      <c r="Q145" s="338"/>
      <c r="R145" s="344"/>
      <c r="S145" s="344"/>
      <c r="T145" s="344"/>
      <c r="U145" s="475"/>
    </row>
    <row r="146" spans="2:21" ht="26.4" x14ac:dyDescent="0.25">
      <c r="B146" s="375"/>
      <c r="C146" s="351"/>
      <c r="D146" s="71" t="s">
        <v>218</v>
      </c>
      <c r="E146" s="150" t="str">
        <f>HLOOKUP(Deckblatt!$C$12,Language!$C$1:$D$730,161,FALSE)</f>
        <v xml:space="preserve">Öffentlichkeitsarbeit
</v>
      </c>
      <c r="F146" s="393"/>
      <c r="G146" s="69">
        <v>2</v>
      </c>
      <c r="H146" s="18">
        <v>2</v>
      </c>
      <c r="I146" s="379"/>
      <c r="J146" s="340"/>
      <c r="K146" s="341"/>
      <c r="L146" s="341"/>
      <c r="M146" s="341"/>
      <c r="N146" s="342"/>
      <c r="P146" s="18">
        <f t="shared" si="2"/>
        <v>2</v>
      </c>
      <c r="Q146" s="338"/>
      <c r="R146" s="344"/>
      <c r="S146" s="344"/>
      <c r="T146" s="344"/>
      <c r="U146" s="475"/>
    </row>
    <row r="147" spans="2:21" ht="26.4" x14ac:dyDescent="0.25">
      <c r="B147" s="375"/>
      <c r="C147" s="351"/>
      <c r="D147" s="71" t="s">
        <v>219</v>
      </c>
      <c r="E147" s="150" t="str">
        <f>HLOOKUP(Deckblatt!$C$12,Language!$C$1:$D$730,162,FALSE)</f>
        <v xml:space="preserve">Festivalisierung/Events
</v>
      </c>
      <c r="F147" s="393"/>
      <c r="G147" s="69">
        <v>2</v>
      </c>
      <c r="H147" s="18">
        <v>2</v>
      </c>
      <c r="I147" s="379"/>
      <c r="J147" s="340"/>
      <c r="K147" s="341"/>
      <c r="L147" s="341"/>
      <c r="M147" s="341"/>
      <c r="N147" s="342"/>
      <c r="P147" s="18">
        <f t="shared" si="2"/>
        <v>2</v>
      </c>
      <c r="Q147" s="338"/>
      <c r="R147" s="344"/>
      <c r="S147" s="344"/>
      <c r="T147" s="344"/>
      <c r="U147" s="475"/>
    </row>
    <row r="148" spans="2:21" ht="26.4" x14ac:dyDescent="0.25">
      <c r="B148" s="375"/>
      <c r="C148" s="351"/>
      <c r="D148" s="71" t="s">
        <v>220</v>
      </c>
      <c r="E148" s="150" t="str">
        <f>HLOOKUP(Deckblatt!$C$12,Language!$C$1:$D$730,163,FALSE)</f>
        <v xml:space="preserve">Vor-Ort-Information
</v>
      </c>
      <c r="F148" s="393"/>
      <c r="G148" s="69">
        <v>2</v>
      </c>
      <c r="H148" s="18">
        <v>2</v>
      </c>
      <c r="I148" s="379"/>
      <c r="J148" s="340"/>
      <c r="K148" s="341"/>
      <c r="L148" s="341"/>
      <c r="M148" s="341"/>
      <c r="N148" s="342"/>
      <c r="P148" s="18">
        <f t="shared" si="2"/>
        <v>2</v>
      </c>
      <c r="Q148" s="338"/>
      <c r="R148" s="344"/>
      <c r="S148" s="344"/>
      <c r="T148" s="344"/>
      <c r="U148" s="475"/>
    </row>
    <row r="149" spans="2:21" ht="26.4" x14ac:dyDescent="0.25">
      <c r="B149" s="375"/>
      <c r="C149" s="351"/>
      <c r="D149" s="71" t="s">
        <v>221</v>
      </c>
      <c r="E149" s="150" t="str">
        <f>HLOOKUP(Deckblatt!$C$12,Language!$C$1:$D$730,164,FALSE)</f>
        <v xml:space="preserve">Direkte Vermarktung
</v>
      </c>
      <c r="F149" s="393"/>
      <c r="G149" s="69">
        <v>2</v>
      </c>
      <c r="H149" s="18">
        <v>2</v>
      </c>
      <c r="I149" s="379"/>
      <c r="J149" s="340"/>
      <c r="K149" s="341"/>
      <c r="L149" s="341"/>
      <c r="M149" s="341"/>
      <c r="N149" s="342"/>
      <c r="P149" s="18">
        <f t="shared" si="2"/>
        <v>2</v>
      </c>
      <c r="Q149" s="338"/>
      <c r="R149" s="344"/>
      <c r="S149" s="344"/>
      <c r="T149" s="344"/>
      <c r="U149" s="475"/>
    </row>
    <row r="150" spans="2:21" x14ac:dyDescent="0.25">
      <c r="B150" s="375"/>
      <c r="C150" s="351" t="s">
        <v>157</v>
      </c>
      <c r="D150" s="352" t="str">
        <f>HLOOKUP(Deckblatt!$C$12,Language!$C$1:$D$730,165,FALSE)</f>
        <v>Auszeichnungen</v>
      </c>
      <c r="E150" s="353"/>
      <c r="F150" s="393"/>
      <c r="G150" s="113"/>
      <c r="H150" s="21">
        <v>15</v>
      </c>
      <c r="I150" s="379"/>
      <c r="J150" s="340"/>
      <c r="K150" s="341"/>
      <c r="L150" s="341"/>
      <c r="M150" s="341"/>
      <c r="N150" s="342"/>
      <c r="P150" s="18">
        <f t="shared" si="2"/>
        <v>0</v>
      </c>
      <c r="Q150" s="338"/>
      <c r="R150" s="344"/>
      <c r="S150" s="344"/>
      <c r="T150" s="344"/>
      <c r="U150" s="475"/>
    </row>
    <row r="151" spans="2:21" ht="52.8" x14ac:dyDescent="0.25">
      <c r="B151" s="375"/>
      <c r="C151" s="351"/>
      <c r="D151" s="71" t="s">
        <v>159</v>
      </c>
      <c r="E151" s="134" t="str">
        <f>HLOOKUP(Deckblatt!$C$12,Language!$C$1:$D$730,166,FALSE)</f>
        <v xml:space="preserve">Immobilienauszeichnung
Immobilienauszeichnung mit offiziellem Charakter (keine Auszeichnungen durch den Entwickler selbst)
</v>
      </c>
      <c r="F151" s="393"/>
      <c r="G151" s="69">
        <v>0</v>
      </c>
      <c r="H151" s="18">
        <v>5</v>
      </c>
      <c r="I151" s="379"/>
      <c r="J151" s="340"/>
      <c r="K151" s="341"/>
      <c r="L151" s="341"/>
      <c r="M151" s="341"/>
      <c r="N151" s="342"/>
      <c r="P151" s="18">
        <f t="shared" si="2"/>
        <v>0</v>
      </c>
      <c r="Q151" s="338"/>
      <c r="R151" s="344"/>
      <c r="S151" s="344"/>
      <c r="T151" s="344"/>
      <c r="U151" s="475"/>
    </row>
    <row r="152" spans="2:21" ht="52.8" x14ac:dyDescent="0.25">
      <c r="B152" s="375"/>
      <c r="C152" s="351"/>
      <c r="D152" s="71" t="s">
        <v>160</v>
      </c>
      <c r="E152" s="134" t="str">
        <f>HLOOKUP(Deckblatt!$C$12,Language!$C$1:$D$730,167,FALSE)</f>
        <v xml:space="preserve">Gebäudezertifikat
Ist erfüllt, wenn der Projektträger min. 20 % der Gebäude im Quartier nach
DGNB oder einem anderen unabhängigen Nachhaltigkeitssystem zertifiziert.
</v>
      </c>
      <c r="F152" s="393"/>
      <c r="G152" s="69">
        <v>10</v>
      </c>
      <c r="H152" s="18">
        <v>10</v>
      </c>
      <c r="I152" s="379"/>
      <c r="J152" s="340" t="s">
        <v>1847</v>
      </c>
      <c r="K152" s="341"/>
      <c r="L152" s="341"/>
      <c r="M152" s="341"/>
      <c r="N152" s="342"/>
      <c r="P152" s="18">
        <f t="shared" si="2"/>
        <v>10</v>
      </c>
      <c r="Q152" s="339"/>
      <c r="R152" s="365"/>
      <c r="S152" s="344"/>
      <c r="T152" s="344"/>
      <c r="U152" s="475"/>
    </row>
    <row r="153" spans="2:21" x14ac:dyDescent="0.25">
      <c r="B153" s="152" t="s">
        <v>789</v>
      </c>
      <c r="C153" s="354" t="str">
        <f>HLOOKUP(Deckblatt!$C$12,Language!$C$1:$D$730,170,FALSE)</f>
        <v>Umweltrisiken</v>
      </c>
      <c r="D153" s="354"/>
      <c r="E153" s="355"/>
      <c r="F153" s="153">
        <f>Q153</f>
        <v>86</v>
      </c>
      <c r="G153" s="151"/>
      <c r="H153" s="65">
        <v>110</v>
      </c>
      <c r="I153" s="179">
        <v>2</v>
      </c>
      <c r="J153" s="340"/>
      <c r="K153" s="341"/>
      <c r="L153" s="341"/>
      <c r="M153" s="341"/>
      <c r="N153" s="342"/>
      <c r="P153" s="18">
        <f t="shared" si="2"/>
        <v>0</v>
      </c>
      <c r="Q153" s="337">
        <f>SUM(P154:P158)</f>
        <v>86</v>
      </c>
      <c r="R153" s="343">
        <f>Q153/100</f>
        <v>0.86</v>
      </c>
      <c r="S153" s="344"/>
      <c r="T153" s="344"/>
      <c r="U153" s="475"/>
    </row>
    <row r="154" spans="2:21" x14ac:dyDescent="0.25">
      <c r="B154" s="345"/>
      <c r="C154" s="143" t="s">
        <v>54</v>
      </c>
      <c r="D154" s="220" t="str">
        <f>IF(Deckblatt!$C$12=Language!$C$1,"Risiko 1",IF(Deckblatt!$C$12=Language!$D$1,"Risk 1"))</f>
        <v>Risiko 1</v>
      </c>
      <c r="E154" s="158" t="s">
        <v>1192</v>
      </c>
      <c r="F154" s="347"/>
      <c r="G154" s="69">
        <v>24</v>
      </c>
      <c r="H154" s="21">
        <v>30</v>
      </c>
      <c r="I154" s="498"/>
      <c r="J154" s="340"/>
      <c r="K154" s="341"/>
      <c r="L154" s="341"/>
      <c r="M154" s="341"/>
      <c r="N154" s="342"/>
      <c r="P154" s="18">
        <f t="shared" si="2"/>
        <v>24</v>
      </c>
      <c r="Q154" s="338"/>
      <c r="R154" s="344"/>
      <c r="S154" s="344"/>
      <c r="T154" s="344"/>
      <c r="U154" s="475"/>
    </row>
    <row r="155" spans="2:21" x14ac:dyDescent="0.25">
      <c r="B155" s="346"/>
      <c r="C155" s="143" t="s">
        <v>61</v>
      </c>
      <c r="D155" s="220" t="str">
        <f>IF(Deckblatt!$C$12=Language!$C$1,"Risiko 2",IF(Deckblatt!$C$12=Language!$D$1,"Risk 2"))</f>
        <v>Risiko 2</v>
      </c>
      <c r="E155" s="158" t="s">
        <v>1193</v>
      </c>
      <c r="F155" s="348"/>
      <c r="G155" s="69">
        <v>28</v>
      </c>
      <c r="H155" s="145">
        <v>30</v>
      </c>
      <c r="I155" s="499"/>
      <c r="J155" s="340"/>
      <c r="K155" s="341"/>
      <c r="L155" s="341"/>
      <c r="M155" s="341"/>
      <c r="N155" s="342"/>
      <c r="P155" s="18">
        <f t="shared" si="2"/>
        <v>28</v>
      </c>
      <c r="Q155" s="338"/>
      <c r="R155" s="344"/>
      <c r="S155" s="344"/>
      <c r="T155" s="344"/>
      <c r="U155" s="475"/>
    </row>
    <row r="156" spans="2:21" x14ac:dyDescent="0.25">
      <c r="B156" s="346"/>
      <c r="C156" s="143" t="s">
        <v>64</v>
      </c>
      <c r="D156" s="220" t="str">
        <f>IF(Deckblatt!$C$12=Language!$C$1,"Risiko 3",IF(Deckblatt!$C$12=Language!$D$1,"Risk 3"))</f>
        <v>Risiko 3</v>
      </c>
      <c r="E156" s="158" t="s">
        <v>1209</v>
      </c>
      <c r="F156" s="348"/>
      <c r="G156" s="69">
        <v>24</v>
      </c>
      <c r="H156" s="21">
        <v>30</v>
      </c>
      <c r="I156" s="499"/>
      <c r="J156" s="340"/>
      <c r="K156" s="341"/>
      <c r="L156" s="341"/>
      <c r="M156" s="341"/>
      <c r="N156" s="342"/>
      <c r="P156" s="18">
        <f t="shared" si="2"/>
        <v>24</v>
      </c>
      <c r="Q156" s="338"/>
      <c r="R156" s="344"/>
      <c r="S156" s="344"/>
      <c r="T156" s="344"/>
      <c r="U156" s="475"/>
    </row>
    <row r="157" spans="2:21" x14ac:dyDescent="0.25">
      <c r="B157" s="346"/>
      <c r="C157" s="125" t="s">
        <v>107</v>
      </c>
      <c r="D157" s="155" t="s">
        <v>108</v>
      </c>
      <c r="E157" s="256"/>
      <c r="F157" s="348"/>
      <c r="G157" s="69">
        <v>10</v>
      </c>
      <c r="H157" s="65">
        <v>10</v>
      </c>
      <c r="I157" s="499"/>
      <c r="J157" s="340"/>
      <c r="K157" s="341"/>
      <c r="L157" s="341"/>
      <c r="M157" s="341"/>
      <c r="N157" s="342"/>
      <c r="P157" s="18">
        <f t="shared" si="2"/>
        <v>10</v>
      </c>
      <c r="Q157" s="338"/>
      <c r="R157" s="344"/>
      <c r="S157" s="344"/>
      <c r="T157" s="344"/>
      <c r="U157" s="475"/>
    </row>
    <row r="158" spans="2:21" ht="88.95" customHeight="1" x14ac:dyDescent="0.25">
      <c r="B158" s="346"/>
      <c r="C158" s="127" t="s">
        <v>1814</v>
      </c>
      <c r="D158" s="472"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8" s="473"/>
      <c r="F158" s="371"/>
      <c r="G158" s="69">
        <v>0</v>
      </c>
      <c r="H158" s="21">
        <v>10</v>
      </c>
      <c r="I158" s="500"/>
      <c r="J158" s="340" t="s">
        <v>1850</v>
      </c>
      <c r="K158" s="341"/>
      <c r="L158" s="341"/>
      <c r="M158" s="341"/>
      <c r="N158" s="342"/>
      <c r="P158" s="18">
        <f t="shared" si="2"/>
        <v>0</v>
      </c>
      <c r="Q158" s="339"/>
      <c r="R158" s="365"/>
      <c r="S158" s="365"/>
      <c r="T158" s="365"/>
      <c r="U158" s="475"/>
    </row>
    <row r="159" spans="2:21" x14ac:dyDescent="0.25">
      <c r="B159" s="152" t="s">
        <v>628</v>
      </c>
      <c r="C159" s="483" t="str">
        <f>HLOOKUP(Deckblatt!$C$12,Language!$C$1:$D$730,183,FALSE)</f>
        <v>Mikroklima – Thermischer Komfort im Freiraum</v>
      </c>
      <c r="D159" s="483"/>
      <c r="E159" s="484"/>
      <c r="F159" s="154">
        <f>Q159</f>
        <v>50</v>
      </c>
      <c r="G159" s="497"/>
      <c r="H159" s="65">
        <v>100</v>
      </c>
      <c r="I159" s="179">
        <v>3</v>
      </c>
      <c r="J159" s="494"/>
      <c r="K159" s="495"/>
      <c r="L159" s="495"/>
      <c r="M159" s="495"/>
      <c r="N159" s="496"/>
      <c r="P159" s="18">
        <f t="shared" si="2"/>
        <v>0</v>
      </c>
      <c r="Q159" s="337">
        <f>SUM(P161:P165,P167,P169)</f>
        <v>50</v>
      </c>
      <c r="R159" s="343">
        <f>Q159/100</f>
        <v>0.5</v>
      </c>
      <c r="S159" s="343">
        <v>0.2</v>
      </c>
      <c r="T159" s="343">
        <f>IF((R159*I159+R170*I170+R201*I201+R222*I222+R273*I273+R297*I297+R313*I313)/(I159+I170+I201+I222+I273+I297+I313)&gt;1,1,(R159*I159+R170*I170+R201*I201+R222*I222+R273*I273+R297*I297+R313*I313)/(I159+I170+I201+I222+I273+I297+I313))</f>
        <v>0.84869565217391318</v>
      </c>
      <c r="U159" s="475"/>
    </row>
    <row r="160" spans="2:21" x14ac:dyDescent="0.25">
      <c r="B160" s="345"/>
      <c r="C160" s="359" t="s">
        <v>54</v>
      </c>
      <c r="D160" s="352" t="str">
        <f>HLOOKUP(Deckblatt!$C$12,Language!$C$1:$D$730,184,FALSE)</f>
        <v>Basiskomfort</v>
      </c>
      <c r="E160" s="353"/>
      <c r="F160" s="345"/>
      <c r="G160" s="489"/>
      <c r="H160" s="21">
        <v>70</v>
      </c>
      <c r="I160" s="349"/>
      <c r="J160" s="340"/>
      <c r="K160" s="341"/>
      <c r="L160" s="341"/>
      <c r="M160" s="341"/>
      <c r="N160" s="342"/>
      <c r="P160" s="18">
        <f t="shared" si="2"/>
        <v>0</v>
      </c>
      <c r="Q160" s="338"/>
      <c r="R160" s="344"/>
      <c r="S160" s="344"/>
      <c r="T160" s="344"/>
      <c r="U160" s="475"/>
    </row>
    <row r="161" spans="2:21" ht="26.4" x14ac:dyDescent="0.25">
      <c r="B161" s="346"/>
      <c r="C161" s="390"/>
      <c r="D161" s="71" t="s">
        <v>58</v>
      </c>
      <c r="E161" s="150" t="str">
        <f>HLOOKUP(Deckblatt!$C$12,Language!$C$1:$D$730,185,FALSE)</f>
        <v xml:space="preserve">Analyse Mikroklima
</v>
      </c>
      <c r="F161" s="346"/>
      <c r="G161" s="69">
        <v>10</v>
      </c>
      <c r="H161" s="18">
        <v>10</v>
      </c>
      <c r="I161" s="350"/>
      <c r="J161" s="340"/>
      <c r="K161" s="341"/>
      <c r="L161" s="341"/>
      <c r="M161" s="341"/>
      <c r="N161" s="342"/>
      <c r="P161" s="18">
        <f t="shared" si="2"/>
        <v>10</v>
      </c>
      <c r="Q161" s="338"/>
      <c r="R161" s="344"/>
      <c r="S161" s="344"/>
      <c r="T161" s="344"/>
      <c r="U161" s="475"/>
    </row>
    <row r="162" spans="2:21" ht="66" x14ac:dyDescent="0.25">
      <c r="B162" s="346"/>
      <c r="C162" s="390"/>
      <c r="D162" s="71" t="s">
        <v>181</v>
      </c>
      <c r="E162" s="134" t="str">
        <f>HLOOKUP(Deckblatt!$C$12,Language!$C$1:$D$730,186,FALSE)</f>
        <v xml:space="preserve">Sonneneinstrahlung am 21. Dezember in Stunden
- ≥ 1 h  (5 Punkte)
ODER
- ≥ 3 h  (10 Punkte)
</v>
      </c>
      <c r="F162" s="346"/>
      <c r="G162" s="69">
        <v>5</v>
      </c>
      <c r="H162" s="18">
        <v>10</v>
      </c>
      <c r="I162" s="350"/>
      <c r="J162" s="340"/>
      <c r="K162" s="341"/>
      <c r="L162" s="341"/>
      <c r="M162" s="341"/>
      <c r="N162" s="342"/>
      <c r="P162" s="18">
        <f t="shared" si="2"/>
        <v>5</v>
      </c>
      <c r="Q162" s="338"/>
      <c r="R162" s="344"/>
      <c r="S162" s="344"/>
      <c r="T162" s="344"/>
      <c r="U162" s="475"/>
    </row>
    <row r="163" spans="2:21" ht="66" x14ac:dyDescent="0.25">
      <c r="B163" s="346"/>
      <c r="C163" s="390"/>
      <c r="D163" s="71" t="s">
        <v>246</v>
      </c>
      <c r="E163" s="134" t="str">
        <f>HLOOKUP(Deckblatt!$C$12,Language!$C$1:$D$730,187,FALSE)</f>
        <v xml:space="preserve">Verschattung der Untersuchungsbereiche in Prozent
≥ 10 % der Flächen haben einen sommerlichen Sonnenschutz  (5 Punkte)
ODER
≥ 30 % der Flächen haben einen sommerlichen Sonnenschutz  (10 Punkte)
</v>
      </c>
      <c r="F163" s="346"/>
      <c r="G163" s="69">
        <v>10</v>
      </c>
      <c r="H163" s="18">
        <v>10</v>
      </c>
      <c r="I163" s="350"/>
      <c r="J163" s="340"/>
      <c r="K163" s="341"/>
      <c r="L163" s="341"/>
      <c r="M163" s="341"/>
      <c r="N163" s="342"/>
      <c r="P163" s="18">
        <f t="shared" si="2"/>
        <v>10</v>
      </c>
      <c r="Q163" s="338"/>
      <c r="R163" s="344"/>
      <c r="S163" s="344"/>
      <c r="T163" s="344"/>
      <c r="U163" s="475"/>
    </row>
    <row r="164" spans="2:21" ht="66" x14ac:dyDescent="0.25">
      <c r="B164" s="346"/>
      <c r="C164" s="390"/>
      <c r="D164" s="71" t="s">
        <v>250</v>
      </c>
      <c r="E164"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64" s="346"/>
      <c r="G164" s="69">
        <v>10</v>
      </c>
      <c r="H164" s="18">
        <v>10</v>
      </c>
      <c r="I164" s="350"/>
      <c r="J164" s="340"/>
      <c r="K164" s="341"/>
      <c r="L164" s="341"/>
      <c r="M164" s="341"/>
      <c r="N164" s="342"/>
      <c r="P164" s="18">
        <f t="shared" si="2"/>
        <v>10</v>
      </c>
      <c r="Q164" s="338"/>
      <c r="R164" s="344"/>
      <c r="S164" s="344"/>
      <c r="T164" s="344"/>
      <c r="U164" s="475"/>
    </row>
    <row r="165" spans="2:21" ht="39.6" x14ac:dyDescent="0.25">
      <c r="B165" s="346"/>
      <c r="C165" s="360"/>
      <c r="D165" s="71" t="s">
        <v>121</v>
      </c>
      <c r="E165" s="134" t="str">
        <f>HLOOKUP(Deckblatt!$C$12,Language!$C$1:$D$730,189,FALSE)</f>
        <v xml:space="preserve">Maßnahmen Verbesserung Mikroklima
Zwischen 33 und 100% der notwendigen Maßnahmen werden umgesetzt
</v>
      </c>
      <c r="F165" s="346"/>
      <c r="G165" s="69">
        <v>15</v>
      </c>
      <c r="H165" s="18">
        <v>30</v>
      </c>
      <c r="I165" s="350"/>
      <c r="J165" s="340"/>
      <c r="K165" s="341"/>
      <c r="L165" s="341"/>
      <c r="M165" s="341"/>
      <c r="N165" s="342"/>
      <c r="P165" s="18">
        <f t="shared" si="2"/>
        <v>15</v>
      </c>
      <c r="Q165" s="338"/>
      <c r="R165" s="344"/>
      <c r="S165" s="344"/>
      <c r="T165" s="344"/>
      <c r="U165" s="475"/>
    </row>
    <row r="166" spans="2:21" x14ac:dyDescent="0.25">
      <c r="B166" s="346"/>
      <c r="C166" s="359" t="s">
        <v>61</v>
      </c>
      <c r="D166" s="352" t="str">
        <f>HLOOKUP(Deckblatt!$C$12,Language!$C$1:$D$730,190,FALSE)</f>
        <v>Windkomfort</v>
      </c>
      <c r="E166" s="353"/>
      <c r="F166" s="346"/>
      <c r="G166" s="113"/>
      <c r="H166" s="21">
        <v>10</v>
      </c>
      <c r="I166" s="350"/>
      <c r="J166" s="340"/>
      <c r="K166" s="341"/>
      <c r="L166" s="341"/>
      <c r="M166" s="341"/>
      <c r="N166" s="342"/>
      <c r="P166" s="18">
        <f t="shared" si="2"/>
        <v>0</v>
      </c>
      <c r="Q166" s="338"/>
      <c r="R166" s="344"/>
      <c r="S166" s="344"/>
      <c r="T166" s="344"/>
      <c r="U166" s="475"/>
    </row>
    <row r="167" spans="2:21" ht="145.19999999999999" x14ac:dyDescent="0.25">
      <c r="B167" s="346"/>
      <c r="C167" s="360"/>
      <c r="D167" s="71" t="s">
        <v>63</v>
      </c>
      <c r="E167"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7" s="346"/>
      <c r="G167" s="69">
        <v>0</v>
      </c>
      <c r="H167" s="18">
        <v>10</v>
      </c>
      <c r="I167" s="350"/>
      <c r="J167" s="340"/>
      <c r="K167" s="341"/>
      <c r="L167" s="341"/>
      <c r="M167" s="341"/>
      <c r="N167" s="342"/>
      <c r="P167" s="18">
        <f t="shared" si="2"/>
        <v>0</v>
      </c>
      <c r="Q167" s="338"/>
      <c r="R167" s="344"/>
      <c r="S167" s="344"/>
      <c r="T167" s="344"/>
      <c r="U167" s="475"/>
    </row>
    <row r="168" spans="2:21" x14ac:dyDescent="0.25">
      <c r="B168" s="346"/>
      <c r="C168" s="359" t="s">
        <v>64</v>
      </c>
      <c r="D168" s="352" t="str">
        <f>HLOOKUP(Deckblatt!$C$12,Language!$C$1:$D$730,192,FALSE)</f>
        <v>Gefühlte Temperatur</v>
      </c>
      <c r="E168" s="353"/>
      <c r="F168" s="346"/>
      <c r="G168" s="113"/>
      <c r="H168" s="21">
        <v>20</v>
      </c>
      <c r="I168" s="350"/>
      <c r="J168" s="340"/>
      <c r="K168" s="341"/>
      <c r="L168" s="341"/>
      <c r="M168" s="341"/>
      <c r="N168" s="342"/>
      <c r="P168" s="18">
        <f t="shared" si="2"/>
        <v>0</v>
      </c>
      <c r="Q168" s="338"/>
      <c r="R168" s="344"/>
      <c r="S168" s="344"/>
      <c r="T168" s="344"/>
      <c r="U168" s="475"/>
    </row>
    <row r="169" spans="2:21" ht="145.19999999999999" x14ac:dyDescent="0.25">
      <c r="B169" s="370"/>
      <c r="C169" s="360"/>
      <c r="D169" s="71" t="s">
        <v>66</v>
      </c>
      <c r="E169"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9" s="370"/>
      <c r="G169" s="69">
        <v>0</v>
      </c>
      <c r="H169" s="18">
        <v>20</v>
      </c>
      <c r="I169" s="366"/>
      <c r="J169" s="340" t="s">
        <v>1841</v>
      </c>
      <c r="K169" s="341"/>
      <c r="L169" s="341"/>
      <c r="M169" s="341"/>
      <c r="N169" s="342"/>
      <c r="P169" s="18">
        <f t="shared" si="2"/>
        <v>0</v>
      </c>
      <c r="Q169" s="339"/>
      <c r="R169" s="365"/>
      <c r="S169" s="344"/>
      <c r="T169" s="344"/>
      <c r="U169" s="475"/>
    </row>
    <row r="170" spans="2:21" x14ac:dyDescent="0.25">
      <c r="B170" s="63" t="s">
        <v>237</v>
      </c>
      <c r="C170" s="354" t="str">
        <f>HLOOKUP(Deckblatt!$C$12,Language!$C$1:$D$730,194,FALSE)</f>
        <v>Freiraum</v>
      </c>
      <c r="D170" s="354"/>
      <c r="E170" s="355"/>
      <c r="F170" s="64">
        <f>Q170</f>
        <v>95</v>
      </c>
      <c r="G170" s="374"/>
      <c r="H170" s="65">
        <v>100</v>
      </c>
      <c r="I170" s="180">
        <v>4</v>
      </c>
      <c r="J170" s="340"/>
      <c r="K170" s="341"/>
      <c r="L170" s="341"/>
      <c r="M170" s="341"/>
      <c r="N170" s="342"/>
      <c r="P170" s="18">
        <f t="shared" si="2"/>
        <v>0</v>
      </c>
      <c r="Q170" s="337">
        <f>SUM(P173:P174,P176:P177,P179:P180,P182:P183,P185:P192,P194,P196,P198,P200)</f>
        <v>95</v>
      </c>
      <c r="R170" s="343">
        <f>Q170/100</f>
        <v>0.95</v>
      </c>
      <c r="S170" s="344"/>
      <c r="T170" s="344"/>
      <c r="U170" s="475"/>
    </row>
    <row r="171" spans="2:21" x14ac:dyDescent="0.25">
      <c r="B171" s="345"/>
      <c r="C171" s="351" t="s">
        <v>54</v>
      </c>
      <c r="D171" s="352" t="str">
        <f>HLOOKUP(Deckblatt!$C$12,Language!$C$1:$D$730,195,FALSE)</f>
        <v>Einbindung in den landschaftlichen Kontext</v>
      </c>
      <c r="E171" s="353"/>
      <c r="F171" s="347"/>
      <c r="G171" s="364"/>
      <c r="H171" s="21">
        <v>20</v>
      </c>
      <c r="I171" s="349"/>
      <c r="J171" s="340"/>
      <c r="K171" s="341"/>
      <c r="L171" s="341"/>
      <c r="M171" s="341"/>
      <c r="N171" s="342"/>
      <c r="P171" s="18">
        <f t="shared" si="2"/>
        <v>0</v>
      </c>
      <c r="Q171" s="338"/>
      <c r="R171" s="344"/>
      <c r="S171" s="344"/>
      <c r="T171" s="344"/>
      <c r="U171" s="475"/>
    </row>
    <row r="172" spans="2:21" x14ac:dyDescent="0.25">
      <c r="B172" s="346"/>
      <c r="C172" s="351"/>
      <c r="D172" s="361" t="s">
        <v>58</v>
      </c>
      <c r="E172" s="150" t="str">
        <f>HLOOKUP(Deckblatt!$C$12,Language!$C$1:$D$730,196,FALSE)</f>
        <v>Berücksichtigung landschaftlicher Aspekte</v>
      </c>
      <c r="F172" s="348"/>
      <c r="G172" s="364"/>
      <c r="H172" s="21">
        <v>5</v>
      </c>
      <c r="I172" s="350"/>
      <c r="J172" s="340"/>
      <c r="K172" s="341"/>
      <c r="L172" s="341"/>
      <c r="M172" s="341"/>
      <c r="N172" s="342"/>
      <c r="P172" s="18">
        <f t="shared" si="2"/>
        <v>0</v>
      </c>
      <c r="Q172" s="338"/>
      <c r="R172" s="344"/>
      <c r="S172" s="344"/>
      <c r="T172" s="344"/>
      <c r="U172" s="475"/>
    </row>
    <row r="173" spans="2:21" ht="26.4" x14ac:dyDescent="0.25">
      <c r="B173" s="346"/>
      <c r="C173" s="351"/>
      <c r="D173" s="361"/>
      <c r="E173" s="134" t="str">
        <f>HLOOKUP(Deckblatt!$C$12,Language!$C$1:$D$730,197,FALSE)</f>
        <v xml:space="preserve">Es liegt eine Analyse/Bestandsuntersuchung vor.
</v>
      </c>
      <c r="F173" s="348"/>
      <c r="G173" s="69">
        <v>3</v>
      </c>
      <c r="H173" s="18">
        <v>3</v>
      </c>
      <c r="I173" s="350"/>
      <c r="J173" s="340"/>
      <c r="K173" s="341"/>
      <c r="L173" s="341"/>
      <c r="M173" s="341"/>
      <c r="N173" s="342"/>
      <c r="P173" s="18">
        <f t="shared" si="2"/>
        <v>3</v>
      </c>
      <c r="Q173" s="338"/>
      <c r="R173" s="344"/>
      <c r="S173" s="344"/>
      <c r="T173" s="344"/>
      <c r="U173" s="475"/>
    </row>
    <row r="174" spans="2:21" ht="52.8" x14ac:dyDescent="0.25">
      <c r="B174" s="346"/>
      <c r="C174" s="351"/>
      <c r="D174" s="361"/>
      <c r="E174" s="134" t="str">
        <f>HLOOKUP(Deckblatt!$C$12,Language!$C$1:$D$730,198,FALSE)</f>
        <v xml:space="preserve">Die Einbindung des Projekts in den landschaftlichen Kontext wird im Freiraumkonzept nachvollziehbar aus den Erkenntnissen der Analyse/Bestandsuntersuchung hergeleitet (Erläuterung).
</v>
      </c>
      <c r="F174" s="348"/>
      <c r="G174" s="69">
        <v>2</v>
      </c>
      <c r="H174" s="18">
        <v>2</v>
      </c>
      <c r="I174" s="350"/>
      <c r="J174" s="340"/>
      <c r="K174" s="341"/>
      <c r="L174" s="341"/>
      <c r="M174" s="341"/>
      <c r="N174" s="342"/>
      <c r="P174" s="18">
        <f t="shared" si="2"/>
        <v>2</v>
      </c>
      <c r="Q174" s="338"/>
      <c r="R174" s="344"/>
      <c r="S174" s="344"/>
      <c r="T174" s="344"/>
      <c r="U174" s="475"/>
    </row>
    <row r="175" spans="2:21" x14ac:dyDescent="0.25">
      <c r="B175" s="346"/>
      <c r="C175" s="351"/>
      <c r="D175" s="361" t="s">
        <v>88</v>
      </c>
      <c r="E175" s="150" t="str">
        <f>HLOOKUP(Deckblatt!$C$12,Language!$C$1:$D$730,199,FALSE)</f>
        <v>Einbindung in den städtebaulichen Kontext</v>
      </c>
      <c r="F175" s="348"/>
      <c r="G175" s="113"/>
      <c r="H175" s="21">
        <v>5</v>
      </c>
      <c r="I175" s="350"/>
      <c r="J175" s="340"/>
      <c r="K175" s="341"/>
      <c r="L175" s="341"/>
      <c r="M175" s="341"/>
      <c r="N175" s="342"/>
      <c r="P175" s="18">
        <f t="shared" si="2"/>
        <v>0</v>
      </c>
      <c r="Q175" s="338"/>
      <c r="R175" s="344"/>
      <c r="S175" s="344"/>
      <c r="T175" s="344"/>
      <c r="U175" s="475"/>
    </row>
    <row r="176" spans="2:21" ht="26.4" x14ac:dyDescent="0.25">
      <c r="B176" s="346"/>
      <c r="C176" s="351"/>
      <c r="D176" s="361"/>
      <c r="E176" s="134" t="str">
        <f>HLOOKUP(Deckblatt!$C$12,Language!$C$1:$D$730,200,FALSE)</f>
        <v xml:space="preserve">Es liegt eine Analyse/Bestandsuntersuchung vor.
</v>
      </c>
      <c r="F176" s="348"/>
      <c r="G176" s="69">
        <v>3</v>
      </c>
      <c r="H176" s="18">
        <v>3</v>
      </c>
      <c r="I176" s="350"/>
      <c r="J176" s="340"/>
      <c r="K176" s="341"/>
      <c r="L176" s="341"/>
      <c r="M176" s="341"/>
      <c r="N176" s="342"/>
      <c r="P176" s="18">
        <f t="shared" si="2"/>
        <v>3</v>
      </c>
      <c r="Q176" s="338"/>
      <c r="R176" s="344"/>
      <c r="S176" s="344"/>
      <c r="T176" s="344"/>
      <c r="U176" s="475"/>
    </row>
    <row r="177" spans="2:21" ht="52.8" x14ac:dyDescent="0.25">
      <c r="B177" s="346"/>
      <c r="C177" s="351"/>
      <c r="D177" s="361"/>
      <c r="E177" s="134" t="str">
        <f>HLOOKUP(Deckblatt!$C$12,Language!$C$1:$D$730,201,FALSE)</f>
        <v xml:space="preserve">Die Einbindung des Projekts in den städtebaulichen Kontext wird im Freiraumkonzept nachvollziehbar aus den Erkenntnissen der Analyse/Bestandsuntersuchung hergeleitet (Erläuterung).
</v>
      </c>
      <c r="F177" s="348"/>
      <c r="G177" s="69">
        <v>2</v>
      </c>
      <c r="H177" s="18">
        <v>2</v>
      </c>
      <c r="I177" s="350"/>
      <c r="J177" s="340"/>
      <c r="K177" s="341"/>
      <c r="L177" s="341"/>
      <c r="M177" s="341"/>
      <c r="N177" s="342"/>
      <c r="P177" s="18">
        <f t="shared" si="2"/>
        <v>2</v>
      </c>
      <c r="Q177" s="338"/>
      <c r="R177" s="344"/>
      <c r="S177" s="344"/>
      <c r="T177" s="344"/>
      <c r="U177" s="475"/>
    </row>
    <row r="178" spans="2:21" x14ac:dyDescent="0.25">
      <c r="B178" s="346"/>
      <c r="C178" s="351"/>
      <c r="D178" s="361" t="s">
        <v>246</v>
      </c>
      <c r="E178" s="150" t="str">
        <f>HLOOKUP(Deckblatt!$C$12,Language!$C$1:$D$730,202,FALSE)</f>
        <v>Einbindung in die übergeordnete Planung</v>
      </c>
      <c r="F178" s="348"/>
      <c r="G178" s="113"/>
      <c r="H178" s="21">
        <v>5</v>
      </c>
      <c r="I178" s="350"/>
      <c r="J178" s="340"/>
      <c r="K178" s="341"/>
      <c r="L178" s="341"/>
      <c r="M178" s="341"/>
      <c r="N178" s="342"/>
      <c r="P178" s="18">
        <f t="shared" si="2"/>
        <v>0</v>
      </c>
      <c r="Q178" s="338"/>
      <c r="R178" s="344"/>
      <c r="S178" s="344"/>
      <c r="T178" s="344"/>
      <c r="U178" s="475"/>
    </row>
    <row r="179" spans="2:21" ht="26.4" x14ac:dyDescent="0.25">
      <c r="B179" s="346"/>
      <c r="C179" s="351"/>
      <c r="D179" s="361"/>
      <c r="E179" s="134" t="str">
        <f>HLOOKUP(Deckblatt!$C$12,Language!$C$1:$D$730,203,FALSE)</f>
        <v xml:space="preserve">Es liegt eine Analyse/Bestandsuntersuchung vor.
</v>
      </c>
      <c r="F179" s="348"/>
      <c r="G179" s="69">
        <v>3</v>
      </c>
      <c r="H179" s="18">
        <v>3</v>
      </c>
      <c r="I179" s="350"/>
      <c r="J179" s="340"/>
      <c r="K179" s="341"/>
      <c r="L179" s="341"/>
      <c r="M179" s="341"/>
      <c r="N179" s="342"/>
      <c r="P179" s="18">
        <f t="shared" si="2"/>
        <v>3</v>
      </c>
      <c r="Q179" s="338"/>
      <c r="R179" s="344"/>
      <c r="S179" s="344"/>
      <c r="T179" s="344"/>
      <c r="U179" s="475"/>
    </row>
    <row r="180" spans="2:21" ht="52.8" x14ac:dyDescent="0.25">
      <c r="B180" s="346"/>
      <c r="C180" s="351"/>
      <c r="D180" s="361"/>
      <c r="E180" s="134" t="str">
        <f>HLOOKUP(Deckblatt!$C$12,Language!$C$1:$D$730,204,FALSE)</f>
        <v xml:space="preserve">Die Einbindung des Projekts in die übergeordnete Planung wird im Freiraumkonzept nachvollziehbar aus den Erkenntnissen der Analyse/Bestandsuntersuchung hergeleitet (Erläuterung). 
</v>
      </c>
      <c r="F180" s="348"/>
      <c r="G180" s="69">
        <v>2</v>
      </c>
      <c r="H180" s="18">
        <v>2</v>
      </c>
      <c r="I180" s="350"/>
      <c r="J180" s="340"/>
      <c r="K180" s="341"/>
      <c r="L180" s="341"/>
      <c r="M180" s="341"/>
      <c r="N180" s="342"/>
      <c r="P180" s="18">
        <f t="shared" si="2"/>
        <v>2</v>
      </c>
      <c r="Q180" s="338"/>
      <c r="R180" s="344"/>
      <c r="S180" s="344"/>
      <c r="T180" s="344"/>
      <c r="U180" s="475"/>
    </row>
    <row r="181" spans="2:21" ht="26.4" x14ac:dyDescent="0.25">
      <c r="B181" s="346"/>
      <c r="C181" s="351"/>
      <c r="D181" s="361" t="s">
        <v>250</v>
      </c>
      <c r="E181" s="150" t="str">
        <f>HLOOKUP(Deckblatt!$C$12,Language!$C$1:$D$730,205,FALSE)</f>
        <v>Einbindung bestehender und identitätsstiftender Landschafts- und Freiraumelemente</v>
      </c>
      <c r="F181" s="348"/>
      <c r="G181" s="113"/>
      <c r="H181" s="21">
        <v>5</v>
      </c>
      <c r="I181" s="350"/>
      <c r="J181" s="340"/>
      <c r="K181" s="341"/>
      <c r="L181" s="341"/>
      <c r="M181" s="341"/>
      <c r="N181" s="342"/>
      <c r="P181" s="18">
        <f t="shared" si="2"/>
        <v>0</v>
      </c>
      <c r="Q181" s="338"/>
      <c r="R181" s="344"/>
      <c r="S181" s="344"/>
      <c r="T181" s="344"/>
      <c r="U181" s="475"/>
    </row>
    <row r="182" spans="2:21" ht="26.4" x14ac:dyDescent="0.25">
      <c r="B182" s="346"/>
      <c r="C182" s="351"/>
      <c r="D182" s="361"/>
      <c r="E182" s="134" t="str">
        <f>HLOOKUP(Deckblatt!$C$12,Language!$C$1:$D$730,206,FALSE)</f>
        <v xml:space="preserve">Es liegt eine Analyse/Bestandsuntersuchung vor.
</v>
      </c>
      <c r="F182" s="348"/>
      <c r="G182" s="69">
        <v>3</v>
      </c>
      <c r="H182" s="18">
        <v>3</v>
      </c>
      <c r="I182" s="350"/>
      <c r="J182" s="340"/>
      <c r="K182" s="341"/>
      <c r="L182" s="341"/>
      <c r="M182" s="341"/>
      <c r="N182" s="342"/>
      <c r="P182" s="18">
        <f t="shared" si="2"/>
        <v>3</v>
      </c>
      <c r="Q182" s="338"/>
      <c r="R182" s="344"/>
      <c r="S182" s="344"/>
      <c r="T182" s="344"/>
      <c r="U182" s="475"/>
    </row>
    <row r="183" spans="2:21" ht="52.8" x14ac:dyDescent="0.25">
      <c r="B183" s="346"/>
      <c r="C183" s="351"/>
      <c r="D183" s="361"/>
      <c r="E183"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83" s="348"/>
      <c r="G183" s="69">
        <v>2</v>
      </c>
      <c r="H183" s="18">
        <v>2</v>
      </c>
      <c r="I183" s="350"/>
      <c r="J183" s="340"/>
      <c r="K183" s="341"/>
      <c r="L183" s="341"/>
      <c r="M183" s="341"/>
      <c r="N183" s="342"/>
      <c r="P183" s="18">
        <f t="shared" si="2"/>
        <v>2</v>
      </c>
      <c r="Q183" s="338"/>
      <c r="R183" s="344"/>
      <c r="S183" s="344"/>
      <c r="T183" s="344"/>
      <c r="U183" s="475"/>
    </row>
    <row r="184" spans="2:21" x14ac:dyDescent="0.25">
      <c r="B184" s="346"/>
      <c r="C184" s="359" t="s">
        <v>61</v>
      </c>
      <c r="D184" s="352" t="str">
        <f>HLOOKUP(Deckblatt!$C$12,Language!$C$1:$D$730,208,FALSE)</f>
        <v>Qualifizierung der Freiräume</v>
      </c>
      <c r="E184" s="353"/>
      <c r="F184" s="348"/>
      <c r="G184" s="113"/>
      <c r="H184" s="21">
        <v>50</v>
      </c>
      <c r="I184" s="350"/>
      <c r="J184" s="340"/>
      <c r="K184" s="341"/>
      <c r="L184" s="341"/>
      <c r="M184" s="341"/>
      <c r="N184" s="342"/>
      <c r="P184" s="18">
        <f t="shared" si="2"/>
        <v>0</v>
      </c>
      <c r="Q184" s="338"/>
      <c r="R184" s="344"/>
      <c r="S184" s="344"/>
      <c r="T184" s="344"/>
      <c r="U184" s="475"/>
    </row>
    <row r="185" spans="2:21" ht="26.4" x14ac:dyDescent="0.25">
      <c r="B185" s="346"/>
      <c r="C185" s="390"/>
      <c r="D185" s="71" t="s">
        <v>63</v>
      </c>
      <c r="E185" s="150" t="str">
        <f>HLOOKUP(Deckblatt!$C$12,Language!$C$1:$D$730,209,FALSE)</f>
        <v xml:space="preserve">Freiraumstruktur
</v>
      </c>
      <c r="F185" s="348"/>
      <c r="G185" s="69">
        <v>10</v>
      </c>
      <c r="H185" s="18">
        <v>10</v>
      </c>
      <c r="I185" s="350"/>
      <c r="J185" s="340"/>
      <c r="K185" s="341"/>
      <c r="L185" s="341"/>
      <c r="M185" s="341"/>
      <c r="N185" s="342"/>
      <c r="P185" s="18">
        <f t="shared" si="2"/>
        <v>10</v>
      </c>
      <c r="Q185" s="338"/>
      <c r="R185" s="344"/>
      <c r="S185" s="344"/>
      <c r="T185" s="344"/>
      <c r="U185" s="475"/>
    </row>
    <row r="186" spans="2:21" ht="26.4" x14ac:dyDescent="0.25">
      <c r="B186" s="346"/>
      <c r="C186" s="390"/>
      <c r="D186" s="71" t="s">
        <v>186</v>
      </c>
      <c r="E186" s="150" t="str">
        <f>HLOOKUP(Deckblatt!$C$12,Language!$C$1:$D$730,210,FALSE)</f>
        <v xml:space="preserve">Freiraumtypen
</v>
      </c>
      <c r="F186" s="348"/>
      <c r="G186" s="69">
        <v>5</v>
      </c>
      <c r="H186" s="18">
        <v>5</v>
      </c>
      <c r="I186" s="350"/>
      <c r="J186" s="340"/>
      <c r="K186" s="341"/>
      <c r="L186" s="341"/>
      <c r="M186" s="341"/>
      <c r="N186" s="342"/>
      <c r="P186" s="18">
        <f t="shared" si="2"/>
        <v>5</v>
      </c>
      <c r="Q186" s="338"/>
      <c r="R186" s="344"/>
      <c r="S186" s="344"/>
      <c r="T186" s="344"/>
      <c r="U186" s="475"/>
    </row>
    <row r="187" spans="2:21" ht="26.4" x14ac:dyDescent="0.25">
      <c r="B187" s="346"/>
      <c r="C187" s="390"/>
      <c r="D187" s="71" t="s">
        <v>255</v>
      </c>
      <c r="E187" s="150" t="str">
        <f>HLOOKUP(Deckblatt!$C$12,Language!$C$1:$D$730,211,FALSE)</f>
        <v xml:space="preserve">Materialität
</v>
      </c>
      <c r="F187" s="348"/>
      <c r="G187" s="69">
        <v>5</v>
      </c>
      <c r="H187" s="18">
        <v>5</v>
      </c>
      <c r="I187" s="350"/>
      <c r="J187" s="340"/>
      <c r="K187" s="341"/>
      <c r="L187" s="341"/>
      <c r="M187" s="341"/>
      <c r="N187" s="342"/>
      <c r="P187" s="18">
        <f t="shared" si="2"/>
        <v>5</v>
      </c>
      <c r="Q187" s="338"/>
      <c r="R187" s="344"/>
      <c r="S187" s="344"/>
      <c r="T187" s="344"/>
      <c r="U187" s="475"/>
    </row>
    <row r="188" spans="2:21" ht="26.4" x14ac:dyDescent="0.25">
      <c r="B188" s="346"/>
      <c r="C188" s="390"/>
      <c r="D188" s="71" t="s">
        <v>256</v>
      </c>
      <c r="E188" s="150" t="str">
        <f>HLOOKUP(Deckblatt!$C$12,Language!$C$1:$D$730,212,FALSE)</f>
        <v xml:space="preserve">Vegetation
</v>
      </c>
      <c r="F188" s="348"/>
      <c r="G188" s="69">
        <v>5</v>
      </c>
      <c r="H188" s="18">
        <v>5</v>
      </c>
      <c r="I188" s="350"/>
      <c r="J188" s="340"/>
      <c r="K188" s="341"/>
      <c r="L188" s="341"/>
      <c r="M188" s="341"/>
      <c r="N188" s="342"/>
      <c r="P188" s="18">
        <f t="shared" si="2"/>
        <v>5</v>
      </c>
      <c r="Q188" s="338"/>
      <c r="R188" s="344"/>
      <c r="S188" s="344"/>
      <c r="T188" s="344"/>
      <c r="U188" s="475"/>
    </row>
    <row r="189" spans="2:21" ht="27.6" customHeight="1" x14ac:dyDescent="0.25">
      <c r="B189" s="346"/>
      <c r="C189" s="390"/>
      <c r="D189" s="71" t="s">
        <v>257</v>
      </c>
      <c r="E189" s="150" t="str">
        <f>HLOOKUP(Deckblatt!$C$12,Language!$C$1:$D$730,213,FALSE)</f>
        <v xml:space="preserve">Ausstattung
</v>
      </c>
      <c r="F189" s="348"/>
      <c r="G189" s="69">
        <v>5</v>
      </c>
      <c r="H189" s="18">
        <v>5</v>
      </c>
      <c r="I189" s="350"/>
      <c r="J189" s="340"/>
      <c r="K189" s="341"/>
      <c r="L189" s="341"/>
      <c r="M189" s="341"/>
      <c r="N189" s="342"/>
      <c r="P189" s="18">
        <f t="shared" si="2"/>
        <v>5</v>
      </c>
      <c r="Q189" s="338"/>
      <c r="R189" s="344"/>
      <c r="S189" s="344"/>
      <c r="T189" s="344"/>
      <c r="U189" s="475"/>
    </row>
    <row r="190" spans="2:21" ht="26.4" x14ac:dyDescent="0.25">
      <c r="B190" s="346"/>
      <c r="C190" s="390"/>
      <c r="D190" s="71" t="s">
        <v>258</v>
      </c>
      <c r="E190" s="150" t="str">
        <f>HLOOKUP(Deckblatt!$C$12,Language!$C$1:$D$730,214,FALSE)</f>
        <v xml:space="preserve">Beleuchtung
</v>
      </c>
      <c r="F190" s="348"/>
      <c r="G190" s="69">
        <v>5</v>
      </c>
      <c r="H190" s="18">
        <v>5</v>
      </c>
      <c r="I190" s="350"/>
      <c r="J190" s="340" t="s">
        <v>1837</v>
      </c>
      <c r="K190" s="341"/>
      <c r="L190" s="341"/>
      <c r="M190" s="341"/>
      <c r="N190" s="342"/>
      <c r="P190" s="18">
        <f t="shared" si="2"/>
        <v>5</v>
      </c>
      <c r="Q190" s="338"/>
      <c r="R190" s="344"/>
      <c r="S190" s="344"/>
      <c r="T190" s="344"/>
      <c r="U190" s="475"/>
    </row>
    <row r="191" spans="2:21" ht="26.4" x14ac:dyDescent="0.25">
      <c r="B191" s="346"/>
      <c r="C191" s="390"/>
      <c r="D191" s="71" t="s">
        <v>259</v>
      </c>
      <c r="E191" s="150" t="str">
        <f>HLOOKUP(Deckblatt!$C$12,Language!$C$1:$D$730,215,FALSE)</f>
        <v xml:space="preserve">Verkehrsflächen
</v>
      </c>
      <c r="F191" s="348"/>
      <c r="G191" s="69">
        <v>10</v>
      </c>
      <c r="H191" s="18">
        <v>10</v>
      </c>
      <c r="I191" s="350"/>
      <c r="J191" s="340" t="s">
        <v>1837</v>
      </c>
      <c r="K191" s="341"/>
      <c r="L191" s="341"/>
      <c r="M191" s="341"/>
      <c r="N191" s="342"/>
      <c r="P191" s="18">
        <f t="shared" si="2"/>
        <v>10</v>
      </c>
      <c r="Q191" s="338"/>
      <c r="R191" s="344"/>
      <c r="S191" s="344"/>
      <c r="T191" s="344"/>
      <c r="U191" s="475"/>
    </row>
    <row r="192" spans="2:21" ht="26.4" x14ac:dyDescent="0.25">
      <c r="B192" s="346"/>
      <c r="C192" s="360"/>
      <c r="D192" s="71" t="s">
        <v>366</v>
      </c>
      <c r="E192" s="150" t="str">
        <f>HLOOKUP(Deckblatt!$C$12,Language!$C$1:$D$730,216,FALSE)</f>
        <v xml:space="preserve">Gestaltung von privaten Freiflächen
</v>
      </c>
      <c r="F192" s="348"/>
      <c r="G192" s="69">
        <v>5</v>
      </c>
      <c r="H192" s="18">
        <v>5</v>
      </c>
      <c r="I192" s="350"/>
      <c r="J192" s="340"/>
      <c r="K192" s="341"/>
      <c r="L192" s="341"/>
      <c r="M192" s="341"/>
      <c r="N192" s="342"/>
      <c r="P192" s="18">
        <f t="shared" si="2"/>
        <v>5</v>
      </c>
      <c r="Q192" s="338"/>
      <c r="R192" s="344"/>
      <c r="S192" s="344"/>
      <c r="T192" s="344"/>
      <c r="U192" s="475"/>
    </row>
    <row r="193" spans="2:22" ht="27" customHeight="1" x14ac:dyDescent="0.25">
      <c r="B193" s="346"/>
      <c r="C193" s="351" t="s">
        <v>64</v>
      </c>
      <c r="D193" s="352" t="str">
        <f>HLOOKUP(Deckblatt!$C$12,Language!$C$1:$D$730,217,FALSE)</f>
        <v>Freiraumangebot - öffentlicher Freiräume BGF_DGNB (innerhalb des Projektgebietes)</v>
      </c>
      <c r="E193" s="353"/>
      <c r="F193" s="348"/>
      <c r="G193" s="113"/>
      <c r="H193" s="21">
        <v>10</v>
      </c>
      <c r="I193" s="350"/>
      <c r="J193" s="340"/>
      <c r="K193" s="341"/>
      <c r="L193" s="341"/>
      <c r="M193" s="341"/>
      <c r="N193" s="342"/>
      <c r="P193" s="18">
        <f t="shared" si="2"/>
        <v>0</v>
      </c>
      <c r="Q193" s="338"/>
      <c r="R193" s="344"/>
      <c r="S193" s="344"/>
      <c r="T193" s="344"/>
      <c r="U193" s="475"/>
    </row>
    <row r="194" spans="2:22" ht="26.4" x14ac:dyDescent="0.25">
      <c r="B194" s="346"/>
      <c r="C194" s="351"/>
      <c r="D194" s="71" t="s">
        <v>66</v>
      </c>
      <c r="E194" s="150" t="str">
        <f>HLOOKUP(Deckblatt!$C$12,Language!$C$1:$D$730,218,FALSE)</f>
        <v xml:space="preserve">Freiraumfaktor
</v>
      </c>
      <c r="F194" s="348"/>
      <c r="G194" s="69">
        <v>10</v>
      </c>
      <c r="H194" s="18">
        <v>10</v>
      </c>
      <c r="I194" s="350"/>
      <c r="J194" s="340"/>
      <c r="K194" s="341"/>
      <c r="L194" s="341"/>
      <c r="M194" s="341"/>
      <c r="N194" s="342"/>
      <c r="P194" s="18">
        <f t="shared" si="2"/>
        <v>10</v>
      </c>
      <c r="Q194" s="338"/>
      <c r="R194" s="344"/>
      <c r="S194" s="344"/>
      <c r="T194" s="344"/>
      <c r="U194" s="475"/>
    </row>
    <row r="195" spans="2:22" ht="26.1" customHeight="1" x14ac:dyDescent="0.25">
      <c r="B195" s="346"/>
      <c r="C195" s="351" t="s">
        <v>67</v>
      </c>
      <c r="D195" s="352" t="str">
        <f>HLOOKUP(Deckblatt!$C$12,Language!$C$1:$D$730,219,FALSE)</f>
        <v>Freiraumangebot - Erreichbarkeit öffentlicher Freiräume / Standortfreiräume (außerhalb des Projektgebietes)</v>
      </c>
      <c r="E195" s="353"/>
      <c r="F195" s="348"/>
      <c r="G195" s="113"/>
      <c r="H195" s="21">
        <v>10</v>
      </c>
      <c r="I195" s="350"/>
      <c r="J195" s="340"/>
      <c r="K195" s="341"/>
      <c r="L195" s="341"/>
      <c r="M195" s="341"/>
      <c r="N195" s="342"/>
      <c r="P195" s="18">
        <f t="shared" si="2"/>
        <v>0</v>
      </c>
      <c r="Q195" s="338"/>
      <c r="R195" s="344"/>
      <c r="S195" s="344"/>
      <c r="T195" s="344"/>
      <c r="U195" s="475"/>
    </row>
    <row r="196" spans="2:22" ht="26.4" x14ac:dyDescent="0.25">
      <c r="B196" s="346"/>
      <c r="C196" s="351"/>
      <c r="D196" s="71" t="s">
        <v>69</v>
      </c>
      <c r="E196" s="150" t="str">
        <f>HLOOKUP(Deckblatt!$C$12,Language!$C$1:$D$730,220,FALSE)</f>
        <v xml:space="preserve">Freiraumfaktor
</v>
      </c>
      <c r="F196" s="348"/>
      <c r="G196" s="69">
        <v>5</v>
      </c>
      <c r="H196" s="18">
        <v>10</v>
      </c>
      <c r="I196" s="350"/>
      <c r="J196" s="340"/>
      <c r="K196" s="341"/>
      <c r="L196" s="341"/>
      <c r="M196" s="341"/>
      <c r="N196" s="342"/>
      <c r="P196" s="18">
        <f t="shared" si="2"/>
        <v>5</v>
      </c>
      <c r="Q196" s="338"/>
      <c r="R196" s="344"/>
      <c r="S196" s="344"/>
      <c r="T196" s="344"/>
      <c r="U196" s="475"/>
    </row>
    <row r="197" spans="2:22" ht="30" customHeight="1" x14ac:dyDescent="0.25">
      <c r="B197" s="346"/>
      <c r="C197" s="359" t="s">
        <v>154</v>
      </c>
      <c r="D197" s="367" t="str">
        <f>HLOOKUP(Deckblatt!$C$12,Language!$C$1:$D$730,221,FALSE)</f>
        <v xml:space="preserve">Freiraumangebot – private Freiräume pro BGF_W / werksinterne Freiräume pro Mitarbeiter pro Schicht </v>
      </c>
      <c r="E197" s="368"/>
      <c r="F197" s="348"/>
      <c r="G197" s="113"/>
      <c r="H197" s="21">
        <v>5</v>
      </c>
      <c r="I197" s="350"/>
      <c r="J197" s="340"/>
      <c r="K197" s="341"/>
      <c r="L197" s="341"/>
      <c r="M197" s="341"/>
      <c r="N197" s="342"/>
      <c r="P197" s="18">
        <f t="shared" si="2"/>
        <v>0</v>
      </c>
      <c r="Q197" s="338"/>
      <c r="R197" s="344"/>
      <c r="S197" s="344"/>
      <c r="T197" s="344"/>
      <c r="U197" s="475"/>
    </row>
    <row r="198" spans="2:22" ht="24" customHeight="1" x14ac:dyDescent="0.25">
      <c r="B198" s="346"/>
      <c r="C198" s="360"/>
      <c r="D198" s="71" t="s">
        <v>156</v>
      </c>
      <c r="E198" s="150" t="str">
        <f>HLOOKUP(Deckblatt!$C$12,Language!$C$1:$D$730,222,FALSE)</f>
        <v>Freiraumfaktor für Quartiere</v>
      </c>
      <c r="F198" s="348"/>
      <c r="G198" s="69">
        <v>5</v>
      </c>
      <c r="H198" s="18">
        <v>5</v>
      </c>
      <c r="I198" s="350"/>
      <c r="J198" s="340"/>
      <c r="K198" s="341"/>
      <c r="L198" s="341"/>
      <c r="M198" s="341"/>
      <c r="N198" s="342"/>
      <c r="P198" s="18">
        <f t="shared" si="2"/>
        <v>5</v>
      </c>
      <c r="Q198" s="338"/>
      <c r="R198" s="344"/>
      <c r="S198" s="344"/>
      <c r="T198" s="344"/>
      <c r="U198" s="475"/>
    </row>
    <row r="199" spans="2:22" s="72" customFormat="1" ht="12.9" customHeight="1" x14ac:dyDescent="0.25">
      <c r="B199" s="346"/>
      <c r="C199" s="369" t="s">
        <v>157</v>
      </c>
      <c r="D199" s="367" t="str">
        <f>HLOOKUP(Deckblatt!$C$12,Language!$C$1:$D$730,224,FALSE)</f>
        <v>Urban Farming</v>
      </c>
      <c r="E199" s="368"/>
      <c r="F199" s="348"/>
      <c r="G199" s="113"/>
      <c r="H199" s="21">
        <v>5</v>
      </c>
      <c r="I199" s="350"/>
      <c r="J199" s="340"/>
      <c r="K199" s="341"/>
      <c r="L199" s="341"/>
      <c r="M199" s="341"/>
      <c r="N199" s="342"/>
      <c r="P199" s="18">
        <f t="shared" si="2"/>
        <v>0</v>
      </c>
      <c r="Q199" s="338"/>
      <c r="R199" s="344"/>
      <c r="S199" s="344"/>
      <c r="T199" s="344"/>
      <c r="U199" s="475"/>
      <c r="V199" s="184"/>
    </row>
    <row r="200" spans="2:22" ht="24" customHeight="1" x14ac:dyDescent="0.25">
      <c r="B200" s="370"/>
      <c r="C200" s="360"/>
      <c r="D200" s="71" t="s">
        <v>159</v>
      </c>
      <c r="E200" s="150" t="str">
        <f>HLOOKUP(Deckblatt!$C$12,Language!$C$1:$D$730,225,FALSE)</f>
        <v xml:space="preserve">Nahrungsmittelanbauflächen
</v>
      </c>
      <c r="F200" s="371"/>
      <c r="G200" s="69">
        <v>5</v>
      </c>
      <c r="H200" s="18">
        <v>5</v>
      </c>
      <c r="I200" s="366"/>
      <c r="J200" s="340"/>
      <c r="K200" s="341"/>
      <c r="L200" s="341"/>
      <c r="M200" s="341"/>
      <c r="N200" s="342"/>
      <c r="P200" s="18">
        <f t="shared" si="2"/>
        <v>5</v>
      </c>
      <c r="Q200" s="339"/>
      <c r="R200" s="365"/>
      <c r="S200" s="344"/>
      <c r="T200" s="344"/>
      <c r="U200" s="475"/>
    </row>
    <row r="201" spans="2:22" x14ac:dyDescent="0.25">
      <c r="B201" s="55" t="s">
        <v>270</v>
      </c>
      <c r="C201" s="354" t="str">
        <f>HLOOKUP(Deckblatt!$C$12,Language!$C$1:$D$730,254,FALSE)</f>
        <v>Emissionen / Immissionen</v>
      </c>
      <c r="D201" s="354"/>
      <c r="E201" s="355"/>
      <c r="F201" s="56">
        <f>Q201</f>
        <v>75</v>
      </c>
      <c r="G201" s="356"/>
      <c r="H201" s="21">
        <v>100</v>
      </c>
      <c r="I201" s="176">
        <v>3</v>
      </c>
      <c r="J201" s="340"/>
      <c r="K201" s="341"/>
      <c r="L201" s="341"/>
      <c r="M201" s="341"/>
      <c r="N201" s="342"/>
      <c r="P201" s="18">
        <f t="shared" si="2"/>
        <v>0</v>
      </c>
      <c r="Q201" s="337">
        <f>IF(SUM(P204,P206:P207,P209,P211,P213,P218:P221)-P215&gt;100,100,SUM(P204,P206:P207,P209,P211,P213,P218:P221)-P215)</f>
        <v>75</v>
      </c>
      <c r="R201" s="343">
        <f>Q201/100</f>
        <v>0.75</v>
      </c>
      <c r="S201" s="344"/>
      <c r="T201" s="344"/>
      <c r="U201" s="475"/>
    </row>
    <row r="202" spans="2:22" x14ac:dyDescent="0.25">
      <c r="B202" s="375"/>
      <c r="C202" s="351" t="s">
        <v>54</v>
      </c>
      <c r="D202" s="352" t="str">
        <f>HLOOKUP(Deckblatt!$C$12,Language!$C$1:$D$730,255,FALSE)</f>
        <v>Luftqualität</v>
      </c>
      <c r="E202" s="353"/>
      <c r="F202" s="485"/>
      <c r="G202" s="356"/>
      <c r="H202" s="21">
        <v>20</v>
      </c>
      <c r="I202" s="379"/>
      <c r="J202" s="340"/>
      <c r="K202" s="341"/>
      <c r="L202" s="341"/>
      <c r="M202" s="341"/>
      <c r="N202" s="342"/>
      <c r="P202" s="18">
        <f t="shared" si="2"/>
        <v>0</v>
      </c>
      <c r="Q202" s="338"/>
      <c r="R202" s="344"/>
      <c r="S202" s="344"/>
      <c r="T202" s="344"/>
      <c r="U202" s="475"/>
    </row>
    <row r="203" spans="2:22" x14ac:dyDescent="0.25">
      <c r="B203" s="375"/>
      <c r="C203" s="351"/>
      <c r="D203" s="361" t="s">
        <v>58</v>
      </c>
      <c r="E203" s="150" t="str">
        <f>HLOOKUP(Deckblatt!$C$12,Language!$C$1:$D$730,256,FALSE)</f>
        <v>Einhaltung der gesetzlichen Grenzwerte für Luftqualitätsmerkmale</v>
      </c>
      <c r="F203" s="485"/>
      <c r="G203" s="356"/>
      <c r="H203" s="21">
        <v>10</v>
      </c>
      <c r="I203" s="379"/>
      <c r="J203" s="340"/>
      <c r="K203" s="341"/>
      <c r="L203" s="341"/>
      <c r="M203" s="341"/>
      <c r="N203" s="342"/>
      <c r="P203" s="18">
        <f t="shared" si="2"/>
        <v>0</v>
      </c>
      <c r="Q203" s="338"/>
      <c r="R203" s="344"/>
      <c r="S203" s="344"/>
      <c r="T203" s="344"/>
      <c r="U203" s="475"/>
    </row>
    <row r="204" spans="2:22" ht="66" x14ac:dyDescent="0.25">
      <c r="B204" s="375"/>
      <c r="C204" s="351"/>
      <c r="D204" s="361"/>
      <c r="E204" s="134" t="str">
        <f>HLOOKUP(Deckblatt!$C$12,Language!$C$1:$D$730,257,FALSE)</f>
        <v xml:space="preserve">- NO2-Überschreitung an maximal 18 3-Stunden-Intervallen (über den Ein-Stunden-Tagesmaxima-Wert) (5 Punkte)
ODER
- Keine Überschreitung NO2 (10 Punkte)
</v>
      </c>
      <c r="F204" s="485"/>
      <c r="G204" s="69">
        <v>10</v>
      </c>
      <c r="H204" s="18">
        <v>10</v>
      </c>
      <c r="I204" s="379"/>
      <c r="J204" s="340"/>
      <c r="K204" s="341"/>
      <c r="L204" s="341"/>
      <c r="M204" s="341"/>
      <c r="N204" s="342"/>
      <c r="P204" s="18">
        <f t="shared" si="2"/>
        <v>10</v>
      </c>
      <c r="Q204" s="338"/>
      <c r="R204" s="344"/>
      <c r="S204" s="344"/>
      <c r="T204" s="344"/>
      <c r="U204" s="475"/>
    </row>
    <row r="205" spans="2:22" x14ac:dyDescent="0.25">
      <c r="B205" s="375"/>
      <c r="C205" s="351"/>
      <c r="D205" s="361" t="s">
        <v>181</v>
      </c>
      <c r="E205" s="150" t="str">
        <f>HLOOKUP(Deckblatt!$C$12,Language!$C$1:$D$730,258,FALSE)</f>
        <v>Veränderung der Immissionssituation / Lufthygienischen Gutachten</v>
      </c>
      <c r="F205" s="485"/>
      <c r="G205" s="113"/>
      <c r="H205" s="21">
        <v>10</v>
      </c>
      <c r="I205" s="379"/>
      <c r="J205" s="340"/>
      <c r="K205" s="341"/>
      <c r="L205" s="341"/>
      <c r="M205" s="341"/>
      <c r="N205" s="342"/>
      <c r="P205" s="18">
        <f t="shared" si="2"/>
        <v>0</v>
      </c>
      <c r="Q205" s="338"/>
      <c r="R205" s="344"/>
      <c r="S205" s="344"/>
      <c r="T205" s="344"/>
      <c r="U205" s="475"/>
    </row>
    <row r="206" spans="2:22" ht="26.4" x14ac:dyDescent="0.25">
      <c r="B206" s="375"/>
      <c r="C206" s="351"/>
      <c r="D206" s="361"/>
      <c r="E206" s="134" t="str">
        <f>HLOOKUP(Deckblatt!$C$12,Language!$C$1:$D$730,259,FALSE)</f>
        <v xml:space="preserve">Durchführung eines qualifizierten lufthygienisches Gutachtens
</v>
      </c>
      <c r="F206" s="485"/>
      <c r="G206" s="69">
        <v>0</v>
      </c>
      <c r="H206" s="18">
        <v>3</v>
      </c>
      <c r="I206" s="379"/>
      <c r="J206" s="340"/>
      <c r="K206" s="341"/>
      <c r="L206" s="341"/>
      <c r="M206" s="341"/>
      <c r="N206" s="342"/>
      <c r="P206" s="18">
        <f t="shared" si="2"/>
        <v>0</v>
      </c>
      <c r="Q206" s="338"/>
      <c r="R206" s="344"/>
      <c r="S206" s="344"/>
      <c r="T206" s="344"/>
      <c r="U206" s="475"/>
    </row>
    <row r="207" spans="2:22" ht="66" x14ac:dyDescent="0.25">
      <c r="B207" s="375"/>
      <c r="C207" s="351"/>
      <c r="D207" s="361"/>
      <c r="E207" s="134" t="str">
        <f>HLOOKUP(Deckblatt!$C$12,Language!$C$1:$D$730,260,FALSE)</f>
        <v xml:space="preserve">Umsetzung der Ergebnisse des lufthygienisches Gutachtens
- mind. 50 % Umgesetzt (3 Punkte)
ODER
- vollständig umgesetzt (7 Punkte)
</v>
      </c>
      <c r="F207" s="485"/>
      <c r="G207" s="69">
        <v>0</v>
      </c>
      <c r="H207" s="18">
        <v>7</v>
      </c>
      <c r="I207" s="379"/>
      <c r="J207" s="340"/>
      <c r="K207" s="341"/>
      <c r="L207" s="341"/>
      <c r="M207" s="341"/>
      <c r="N207" s="342"/>
      <c r="P207" s="18">
        <f t="shared" si="2"/>
        <v>0</v>
      </c>
      <c r="Q207" s="338"/>
      <c r="R207" s="344"/>
      <c r="S207" s="344"/>
      <c r="T207" s="344"/>
      <c r="U207" s="475"/>
    </row>
    <row r="208" spans="2:22" x14ac:dyDescent="0.25">
      <c r="B208" s="375"/>
      <c r="C208" s="351" t="s">
        <v>61</v>
      </c>
      <c r="D208" s="352" t="str">
        <f>HLOOKUP(Deckblatt!$C$12,Language!$C$1:$D$730,261,FALSE)</f>
        <v>Straßenverkehrslärm (innerhalb)</v>
      </c>
      <c r="E208" s="353"/>
      <c r="F208" s="485"/>
      <c r="G208" s="113"/>
      <c r="H208" s="21">
        <v>30</v>
      </c>
      <c r="I208" s="379"/>
      <c r="J208" s="340"/>
      <c r="K208" s="341"/>
      <c r="L208" s="341"/>
      <c r="M208" s="341"/>
      <c r="N208" s="342"/>
      <c r="P208" s="18">
        <f t="shared" si="2"/>
        <v>0</v>
      </c>
      <c r="Q208" s="338"/>
      <c r="R208" s="344"/>
      <c r="S208" s="344"/>
      <c r="T208" s="344"/>
      <c r="U208" s="475"/>
    </row>
    <row r="209" spans="2:21" ht="39.6" x14ac:dyDescent="0.25">
      <c r="B209" s="375"/>
      <c r="C209" s="351"/>
      <c r="D209" s="71" t="s">
        <v>63</v>
      </c>
      <c r="E209" s="150" t="str">
        <f>HLOOKUP(Deckblatt!$C$12,Language!$C$1:$D$730,262,FALSE)</f>
        <v xml:space="preserve">Bewertung des durchschnittlich vorhandenen Straßenverkehrslärm-pegels (Tag / Nacht)
</v>
      </c>
      <c r="F209" s="485"/>
      <c r="G209" s="69">
        <v>15</v>
      </c>
      <c r="H209" s="18">
        <v>30</v>
      </c>
      <c r="I209" s="379"/>
      <c r="J209" s="340"/>
      <c r="K209" s="341"/>
      <c r="L209" s="341"/>
      <c r="M209" s="341"/>
      <c r="N209" s="342"/>
      <c r="P209" s="18">
        <f t="shared" si="2"/>
        <v>15</v>
      </c>
      <c r="Q209" s="338"/>
      <c r="R209" s="344"/>
      <c r="S209" s="344"/>
      <c r="T209" s="344"/>
      <c r="U209" s="475"/>
    </row>
    <row r="210" spans="2:21" x14ac:dyDescent="0.25">
      <c r="B210" s="375"/>
      <c r="C210" s="351" t="s">
        <v>64</v>
      </c>
      <c r="D210" s="352" t="str">
        <f>HLOOKUP(Deckblatt!$C$12,Language!$C$1:$D$730,263,FALSE)</f>
        <v>Lärm auf dem zentralen öffentlich zugänglichen Freiraum</v>
      </c>
      <c r="E210" s="353"/>
      <c r="F210" s="485"/>
      <c r="G210" s="113"/>
      <c r="H210" s="21">
        <v>10</v>
      </c>
      <c r="I210" s="379"/>
      <c r="J210" s="340"/>
      <c r="K210" s="341"/>
      <c r="L210" s="341"/>
      <c r="M210" s="341"/>
      <c r="N210" s="342"/>
      <c r="P210" s="18">
        <f t="shared" si="2"/>
        <v>0</v>
      </c>
      <c r="Q210" s="338"/>
      <c r="R210" s="344"/>
      <c r="S210" s="344"/>
      <c r="T210" s="344"/>
      <c r="U210" s="475"/>
    </row>
    <row r="211" spans="2:21" ht="26.4" x14ac:dyDescent="0.25">
      <c r="B211" s="375"/>
      <c r="C211" s="351"/>
      <c r="D211" s="71" t="s">
        <v>66</v>
      </c>
      <c r="E211" s="150" t="str">
        <f>HLOOKUP(Deckblatt!$C$12,Language!$C$1:$D$730,264,FALSE)</f>
        <v xml:space="preserve">Lärmwert Freiraum (Tag)
</v>
      </c>
      <c r="F211" s="485"/>
      <c r="G211" s="69">
        <v>10</v>
      </c>
      <c r="H211" s="18">
        <v>10</v>
      </c>
      <c r="I211" s="379"/>
      <c r="J211" s="340"/>
      <c r="K211" s="341"/>
      <c r="L211" s="341"/>
      <c r="M211" s="341"/>
      <c r="N211" s="342"/>
      <c r="P211" s="18">
        <f t="shared" si="2"/>
        <v>10</v>
      </c>
      <c r="Q211" s="338"/>
      <c r="R211" s="344"/>
      <c r="S211" s="344"/>
      <c r="T211" s="344"/>
      <c r="U211" s="475"/>
    </row>
    <row r="212" spans="2:21" x14ac:dyDescent="0.25">
      <c r="B212" s="375"/>
      <c r="C212" s="359" t="s">
        <v>154</v>
      </c>
      <c r="D212" s="352" t="str">
        <f>HLOOKUP(Deckblatt!$C$12,Language!$C$1:$D$730,267,FALSE)</f>
        <v xml:space="preserve">Vermeidung oder Verminderung von Emissionen </v>
      </c>
      <c r="E212" s="353"/>
      <c r="F212" s="485"/>
      <c r="G212" s="113"/>
      <c r="H212" s="21">
        <v>10</v>
      </c>
      <c r="I212" s="379"/>
      <c r="J212" s="340"/>
      <c r="K212" s="341"/>
      <c r="L212" s="341"/>
      <c r="M212" s="341"/>
      <c r="N212" s="342"/>
      <c r="P212" s="18">
        <f t="shared" si="2"/>
        <v>0</v>
      </c>
      <c r="Q212" s="338"/>
      <c r="R212" s="344"/>
      <c r="S212" s="344"/>
      <c r="T212" s="344"/>
      <c r="U212" s="475"/>
    </row>
    <row r="213" spans="2:21" x14ac:dyDescent="0.25">
      <c r="B213" s="375"/>
      <c r="C213" s="360"/>
      <c r="D213" s="71" t="s">
        <v>156</v>
      </c>
      <c r="E213" s="150" t="str">
        <f>HLOOKUP(Deckblatt!$C$12,Language!$C$1:$D$730,268,FALSE)</f>
        <v>Luftbelastung durch Heiz-/Feuerungsanlagen</v>
      </c>
      <c r="F213" s="485"/>
      <c r="G213" s="69">
        <v>10</v>
      </c>
      <c r="H213" s="18">
        <v>10</v>
      </c>
      <c r="I213" s="379"/>
      <c r="J213" s="340"/>
      <c r="K213" s="341"/>
      <c r="L213" s="341"/>
      <c r="M213" s="341"/>
      <c r="N213" s="342"/>
      <c r="P213" s="18">
        <f t="shared" si="2"/>
        <v>10</v>
      </c>
      <c r="Q213" s="338"/>
      <c r="R213" s="344"/>
      <c r="S213" s="344"/>
      <c r="T213" s="344"/>
      <c r="U213" s="475"/>
    </row>
    <row r="214" spans="2:21" ht="26.1" customHeight="1" x14ac:dyDescent="0.25">
      <c r="B214" s="375"/>
      <c r="C214" s="351" t="s">
        <v>157</v>
      </c>
      <c r="D214" s="352" t="str">
        <f>HLOOKUP(Deckblatt!$C$12,Language!$C$1:$D$730,271,FALSE)</f>
        <v>Lärm aus Schienen- und Flugverkehr, Industrie und Gewerbe sowie Sport und Freizeit (Reduzierungsfaktor)</v>
      </c>
      <c r="E214" s="353"/>
      <c r="F214" s="485"/>
      <c r="G214" s="113"/>
      <c r="H214" s="21">
        <v>37.5</v>
      </c>
      <c r="I214" s="379"/>
      <c r="J214" s="340"/>
      <c r="K214" s="341"/>
      <c r="L214" s="341"/>
      <c r="M214" s="341"/>
      <c r="N214" s="342"/>
      <c r="P214" s="18">
        <f t="shared" ref="P214:P266" si="3">IF(G214&gt;H214,H214,G214)</f>
        <v>0</v>
      </c>
      <c r="Q214" s="338"/>
      <c r="R214" s="344"/>
      <c r="S214" s="344"/>
      <c r="T214" s="344"/>
      <c r="U214" s="475"/>
    </row>
    <row r="215" spans="2:21" ht="90.6" customHeight="1" x14ac:dyDescent="0.25">
      <c r="B215" s="375"/>
      <c r="C215" s="351"/>
      <c r="D215" s="71" t="s">
        <v>159</v>
      </c>
      <c r="E215"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15" s="485"/>
      <c r="G215" s="69"/>
      <c r="H215" s="18">
        <v>37.5</v>
      </c>
      <c r="I215" s="379"/>
      <c r="J215" s="340"/>
      <c r="K215" s="341"/>
      <c r="L215" s="341"/>
      <c r="M215" s="341"/>
      <c r="N215" s="342"/>
      <c r="P215" s="18">
        <f t="shared" si="3"/>
        <v>0</v>
      </c>
      <c r="Q215" s="338"/>
      <c r="R215" s="344"/>
      <c r="S215" s="344"/>
      <c r="T215" s="344"/>
      <c r="U215" s="475"/>
    </row>
    <row r="216" spans="2:21" ht="13.2" customHeight="1" x14ac:dyDescent="0.25">
      <c r="B216" s="375"/>
      <c r="C216" s="351" t="s">
        <v>282</v>
      </c>
      <c r="D216" s="352" t="str">
        <f>HLOOKUP(Deckblatt!$C$12,Language!$C$1:$D$730,273,FALSE)</f>
        <v>Maßnahmen zur Reduzierung der Lichtverschmutzung</v>
      </c>
      <c r="E216" s="353"/>
      <c r="F216" s="485"/>
      <c r="G216" s="356"/>
      <c r="H216" s="21">
        <v>30</v>
      </c>
      <c r="I216" s="379"/>
      <c r="J216" s="340"/>
      <c r="K216" s="341"/>
      <c r="L216" s="341"/>
      <c r="M216" s="341"/>
      <c r="N216" s="342"/>
      <c r="P216" s="18">
        <f t="shared" si="3"/>
        <v>0</v>
      </c>
      <c r="Q216" s="338"/>
      <c r="R216" s="344"/>
      <c r="S216" s="344"/>
      <c r="T216" s="344"/>
      <c r="U216" s="475"/>
    </row>
    <row r="217" spans="2:21" x14ac:dyDescent="0.25">
      <c r="B217" s="375"/>
      <c r="C217" s="351"/>
      <c r="D217" s="361" t="s">
        <v>284</v>
      </c>
      <c r="E217" s="150" t="str">
        <f>HLOOKUP(Deckblatt!$C$12,Language!$C$1:$D$730,274,FALSE)</f>
        <v>Maßnahmen zur Reduzierung der Lichtverschmutzung</v>
      </c>
      <c r="F217" s="485"/>
      <c r="G217" s="356"/>
      <c r="H217" s="21">
        <v>30</v>
      </c>
      <c r="I217" s="379"/>
      <c r="J217" s="340"/>
      <c r="K217" s="341"/>
      <c r="L217" s="341"/>
      <c r="M217" s="341"/>
      <c r="N217" s="342"/>
      <c r="P217" s="18">
        <f t="shared" si="3"/>
        <v>0</v>
      </c>
      <c r="Q217" s="338"/>
      <c r="R217" s="344"/>
      <c r="S217" s="344"/>
      <c r="T217" s="344"/>
      <c r="U217" s="475"/>
    </row>
    <row r="218" spans="2:21" ht="44.25" customHeight="1" x14ac:dyDescent="0.25">
      <c r="B218" s="375"/>
      <c r="C218" s="351"/>
      <c r="D218" s="361"/>
      <c r="E218" s="134" t="str">
        <f>HLOOKUP(Deckblatt!$C$12,Language!$C$1:$D$730,275,FALSE)</f>
        <v>Es gibt ein (umgesetztes) Beleuchtungskonzept, das explizit auf das Thema Lichtverschmutzung und deren Vermeidung eingeht  und v. a. eine möglichst geringe Raumaufhellung angrenzender Nutzungen berücksichtigt.</v>
      </c>
      <c r="F218" s="485"/>
      <c r="G218" s="69">
        <v>8</v>
      </c>
      <c r="H218" s="18">
        <v>8</v>
      </c>
      <c r="I218" s="379"/>
      <c r="J218" s="340" t="s">
        <v>1853</v>
      </c>
      <c r="K218" s="341"/>
      <c r="L218" s="341"/>
      <c r="M218" s="341"/>
      <c r="N218" s="342"/>
      <c r="P218" s="18">
        <f t="shared" si="3"/>
        <v>8</v>
      </c>
      <c r="Q218" s="338"/>
      <c r="R218" s="344"/>
      <c r="S218" s="344"/>
      <c r="T218" s="344"/>
      <c r="U218" s="475"/>
    </row>
    <row r="219" spans="2:21" ht="39.6" x14ac:dyDescent="0.25">
      <c r="B219" s="375"/>
      <c r="C219" s="351"/>
      <c r="D219" s="361"/>
      <c r="E219" s="134" t="str">
        <f>HLOOKUP(Deckblatt!$C$12,Language!$C$1:$D$730,276,FALSE)</f>
        <v xml:space="preserve">Alle Leuchtmittel im Außenbereich sind derart gestaltet, das keine Lichtstreuung nach oben und zur Seite stattfindet.
</v>
      </c>
      <c r="F219" s="485"/>
      <c r="G219" s="69">
        <v>8</v>
      </c>
      <c r="H219" s="18">
        <v>8</v>
      </c>
      <c r="I219" s="379"/>
      <c r="J219" s="340"/>
      <c r="K219" s="341"/>
      <c r="L219" s="341"/>
      <c r="M219" s="341"/>
      <c r="N219" s="342"/>
      <c r="P219" s="18">
        <f t="shared" si="3"/>
        <v>8</v>
      </c>
      <c r="Q219" s="338"/>
      <c r="R219" s="344"/>
      <c r="S219" s="344"/>
      <c r="T219" s="344"/>
      <c r="U219" s="475"/>
    </row>
    <row r="220" spans="2:21" ht="39.6" x14ac:dyDescent="0.25">
      <c r="B220" s="375"/>
      <c r="C220" s="351"/>
      <c r="D220" s="361"/>
      <c r="E220" s="134" t="str">
        <f>HLOOKUP(Deckblatt!$C$12,Language!$C$1:$D$730,277,FALSE)</f>
        <v xml:space="preserve">Alle Leuchtmittel im Außenbereich verfügen über Lichtfarben und Orientierung die für den Artenschutz unschädlich sind.
</v>
      </c>
      <c r="F220" s="485"/>
      <c r="G220" s="69">
        <v>8</v>
      </c>
      <c r="H220" s="18">
        <v>8</v>
      </c>
      <c r="I220" s="379"/>
      <c r="J220" s="340"/>
      <c r="K220" s="341"/>
      <c r="L220" s="341"/>
      <c r="M220" s="341"/>
      <c r="N220" s="342"/>
      <c r="P220" s="18">
        <f t="shared" si="3"/>
        <v>8</v>
      </c>
      <c r="Q220" s="338"/>
      <c r="R220" s="344"/>
      <c r="S220" s="344"/>
      <c r="T220" s="344"/>
      <c r="U220" s="475"/>
    </row>
    <row r="221" spans="2:21" ht="26.4" x14ac:dyDescent="0.25">
      <c r="B221" s="375"/>
      <c r="C221" s="351"/>
      <c r="D221" s="361"/>
      <c r="E221" s="134" t="str">
        <f>HLOOKUP(Deckblatt!$C$12,Language!$C$1:$D$730,278,FALSE)</f>
        <v xml:space="preserve">Bei allen Leuchtmittel treten keine unerwünschten Blendeffekte auf
</v>
      </c>
      <c r="F221" s="485"/>
      <c r="G221" s="69">
        <v>6</v>
      </c>
      <c r="H221" s="18">
        <v>6</v>
      </c>
      <c r="I221" s="379"/>
      <c r="J221" s="340"/>
      <c r="K221" s="341"/>
      <c r="L221" s="341"/>
      <c r="M221" s="341"/>
      <c r="N221" s="342"/>
      <c r="P221" s="18">
        <f t="shared" si="3"/>
        <v>6</v>
      </c>
      <c r="Q221" s="338"/>
      <c r="R221" s="344"/>
      <c r="S221" s="344"/>
      <c r="T221" s="344"/>
      <c r="U221" s="475"/>
    </row>
    <row r="222" spans="2:21" x14ac:dyDescent="0.25">
      <c r="B222" s="55" t="s">
        <v>294</v>
      </c>
      <c r="C222" s="354" t="str">
        <f>HLOOKUP(Deckblatt!$C$12,Language!$C$1:$D$730,279,FALSE)</f>
        <v>Barrierefreiheit</v>
      </c>
      <c r="D222" s="354"/>
      <c r="E222" s="355"/>
      <c r="F222" s="56">
        <f>Q222</f>
        <v>82</v>
      </c>
      <c r="G222" s="364"/>
      <c r="H222" s="21">
        <v>100</v>
      </c>
      <c r="I222" s="137">
        <v>3</v>
      </c>
      <c r="J222" s="340"/>
      <c r="K222" s="341"/>
      <c r="L222" s="341"/>
      <c r="M222" s="341"/>
      <c r="N222" s="342"/>
      <c r="P222" s="18">
        <f t="shared" si="3"/>
        <v>0</v>
      </c>
      <c r="Q222" s="337">
        <f>SUM(P224,IF(SUM(P227:P233)&gt;30,30,SUM(P227:P233)),IF(SUM(P236:P246)&gt;15,15,SUM(P236:P246)),IF(SUM(P249:P256)&gt;10,10,SUM(P249:P256)),IF(SUM(P259:P263)&gt;8,8,SUM(P259:P263)),IF(P266+P267+P268&gt;4,4,P266+P267+P268),P271,P272)</f>
        <v>82</v>
      </c>
      <c r="R222" s="343">
        <f>Q222/100</f>
        <v>0.82</v>
      </c>
      <c r="S222" s="344"/>
      <c r="T222" s="344"/>
      <c r="U222" s="475"/>
    </row>
    <row r="223" spans="2:21" ht="13.2" customHeight="1" x14ac:dyDescent="0.25">
      <c r="B223" s="375"/>
      <c r="C223" s="351" t="s">
        <v>54</v>
      </c>
      <c r="D223" s="352" t="str">
        <f>HLOOKUP(Deckblatt!$C$12,Language!$C$1:$D$730,280,FALSE)</f>
        <v>Barrierefreie Fläche</v>
      </c>
      <c r="E223" s="353"/>
      <c r="F223" s="363"/>
      <c r="G223" s="364"/>
      <c r="H223" s="21">
        <v>30</v>
      </c>
      <c r="I223" s="379"/>
      <c r="J223" s="340"/>
      <c r="K223" s="341"/>
      <c r="L223" s="341"/>
      <c r="M223" s="341"/>
      <c r="N223" s="342"/>
      <c r="P223" s="18">
        <f t="shared" si="3"/>
        <v>0</v>
      </c>
      <c r="Q223" s="338"/>
      <c r="R223" s="344"/>
      <c r="S223" s="344"/>
      <c r="T223" s="344"/>
      <c r="U223" s="475"/>
    </row>
    <row r="224" spans="2:21" ht="26.4" x14ac:dyDescent="0.25">
      <c r="B224" s="375"/>
      <c r="C224" s="351"/>
      <c r="D224" s="160" t="s">
        <v>58</v>
      </c>
      <c r="E224" s="134" t="str">
        <f>HLOOKUP(Deckblatt!$C$12,Language!$C$1:$D$730,281,FALSE)</f>
        <v xml:space="preserve">Index Barrierefreiheit
</v>
      </c>
      <c r="F224" s="363"/>
      <c r="G224" s="69">
        <v>25</v>
      </c>
      <c r="H224" s="18">
        <v>30</v>
      </c>
      <c r="I224" s="379"/>
      <c r="J224" s="340"/>
      <c r="K224" s="341"/>
      <c r="L224" s="341"/>
      <c r="M224" s="341"/>
      <c r="N224" s="342"/>
      <c r="P224" s="18">
        <f t="shared" si="3"/>
        <v>25</v>
      </c>
      <c r="Q224" s="338"/>
      <c r="R224" s="344"/>
      <c r="S224" s="344"/>
      <c r="T224" s="344"/>
      <c r="U224" s="475"/>
    </row>
    <row r="225" spans="2:21" ht="13.2" customHeight="1" x14ac:dyDescent="0.25">
      <c r="B225" s="375"/>
      <c r="C225" s="351" t="s">
        <v>61</v>
      </c>
      <c r="D225" s="352" t="str">
        <f>HLOOKUP(Deckblatt!$C$12,Language!$C$1:$D$730,282,FALSE)</f>
        <v>Erreichbarkeit der notwendigen Infrastruktur</v>
      </c>
      <c r="E225" s="353"/>
      <c r="F225" s="363"/>
      <c r="G225" s="356"/>
      <c r="H225" s="21">
        <v>30</v>
      </c>
      <c r="I225" s="379"/>
      <c r="J225" s="340"/>
      <c r="K225" s="341"/>
      <c r="L225" s="341"/>
      <c r="M225" s="341"/>
      <c r="N225" s="342"/>
      <c r="P225" s="18">
        <f t="shared" si="3"/>
        <v>0</v>
      </c>
      <c r="Q225" s="338"/>
      <c r="R225" s="344"/>
      <c r="S225" s="344"/>
      <c r="T225" s="344"/>
      <c r="U225" s="475"/>
    </row>
    <row r="226" spans="2:21" x14ac:dyDescent="0.25">
      <c r="B226" s="375"/>
      <c r="C226" s="351"/>
      <c r="D226" s="361" t="s">
        <v>63</v>
      </c>
      <c r="E226" s="150" t="str">
        <f>HLOOKUP(Deckblatt!$C$12,Language!$C$1:$D$730,283,FALSE)</f>
        <v>Lokale Einrichtungen</v>
      </c>
      <c r="F226" s="363"/>
      <c r="G226" s="356"/>
      <c r="H226" s="21">
        <v>30</v>
      </c>
      <c r="I226" s="379"/>
      <c r="J226" s="340"/>
      <c r="K226" s="341"/>
      <c r="L226" s="341"/>
      <c r="M226" s="341"/>
      <c r="N226" s="342"/>
      <c r="P226" s="18">
        <f t="shared" si="3"/>
        <v>0</v>
      </c>
      <c r="Q226" s="338"/>
      <c r="R226" s="344"/>
      <c r="S226" s="344"/>
      <c r="T226" s="344"/>
      <c r="U226" s="475"/>
    </row>
    <row r="227" spans="2:21" ht="26.4" x14ac:dyDescent="0.25">
      <c r="B227" s="375"/>
      <c r="C227" s="351"/>
      <c r="D227" s="361"/>
      <c r="E227" s="134" t="str">
        <f>HLOOKUP(Deckblatt!$C$12,Language!$C$1:$D$730,284,FALSE)</f>
        <v xml:space="preserve">Bildung: Kinderbetreuung und Grundschule max. Gehdistanz 200m Luftlinie
</v>
      </c>
      <c r="F227" s="363"/>
      <c r="G227" s="69">
        <v>2.5</v>
      </c>
      <c r="H227" s="18">
        <v>5</v>
      </c>
      <c r="I227" s="379"/>
      <c r="J227" s="340"/>
      <c r="K227" s="341"/>
      <c r="L227" s="341"/>
      <c r="M227" s="341"/>
      <c r="N227" s="342"/>
      <c r="P227" s="18">
        <f t="shared" si="3"/>
        <v>2.5</v>
      </c>
      <c r="Q227" s="338"/>
      <c r="R227" s="344"/>
      <c r="S227" s="344"/>
      <c r="T227" s="344"/>
      <c r="U227" s="475"/>
    </row>
    <row r="228" spans="2:21" ht="26.4" x14ac:dyDescent="0.25">
      <c r="B228" s="375"/>
      <c r="C228" s="351"/>
      <c r="D228" s="361"/>
      <c r="E228" s="134" t="str">
        <f>HLOOKUP(Deckblatt!$C$12,Language!$C$1:$D$730,285,FALSE)</f>
        <v xml:space="preserve">Spielplätze max. Gehdistanz 200m Luftlinie
</v>
      </c>
      <c r="F228" s="363"/>
      <c r="G228" s="69">
        <v>2.5</v>
      </c>
      <c r="H228" s="18">
        <v>5</v>
      </c>
      <c r="I228" s="379"/>
      <c r="J228" s="340"/>
      <c r="K228" s="341"/>
      <c r="L228" s="341"/>
      <c r="M228" s="341"/>
      <c r="N228" s="342"/>
      <c r="P228" s="18">
        <f t="shared" si="3"/>
        <v>2.5</v>
      </c>
      <c r="Q228" s="338"/>
      <c r="R228" s="344"/>
      <c r="S228" s="344"/>
      <c r="T228" s="344"/>
      <c r="U228" s="475"/>
    </row>
    <row r="229" spans="2:21" ht="39.6" x14ac:dyDescent="0.25">
      <c r="B229" s="375"/>
      <c r="C229" s="351"/>
      <c r="D229" s="361"/>
      <c r="E229" s="134" t="str">
        <f>HLOOKUP(Deckblatt!$C$12,Language!$C$1:$D$730,286,FALSE)</f>
        <v xml:space="preserve">Nahversorgung 1: Vollsortimenter (Angebot von Gütern des täglichen Bedarfs) max. Gehdistanz 400m Luftlinie
</v>
      </c>
      <c r="F229" s="363"/>
      <c r="G229" s="69">
        <v>4</v>
      </c>
      <c r="H229" s="18">
        <v>8</v>
      </c>
      <c r="I229" s="379"/>
      <c r="J229" s="340"/>
      <c r="K229" s="341"/>
      <c r="L229" s="341"/>
      <c r="M229" s="341"/>
      <c r="N229" s="342"/>
      <c r="P229" s="18">
        <f t="shared" si="3"/>
        <v>4</v>
      </c>
      <c r="Q229" s="338"/>
      <c r="R229" s="344"/>
      <c r="S229" s="344"/>
      <c r="T229" s="344"/>
      <c r="U229" s="475"/>
    </row>
    <row r="230" spans="2:21" ht="39.6" x14ac:dyDescent="0.25">
      <c r="B230" s="375"/>
      <c r="C230" s="351"/>
      <c r="D230" s="361"/>
      <c r="E230" s="134" t="str">
        <f>HLOOKUP(Deckblatt!$C$12,Language!$C$1:$D$730,287,FALSE)</f>
        <v xml:space="preserve">Nahversorgung 2: Kleinteiliger Einzelhandel (Bäckerei, Metzgerei, Drogerie,…) max. Gehdistanz 400m Luftlinie
</v>
      </c>
      <c r="F230" s="363"/>
      <c r="G230" s="69">
        <v>3.5</v>
      </c>
      <c r="H230" s="18">
        <v>7</v>
      </c>
      <c r="I230" s="379"/>
      <c r="J230" s="340"/>
      <c r="K230" s="341"/>
      <c r="L230" s="341"/>
      <c r="M230" s="341"/>
      <c r="N230" s="342"/>
      <c r="P230" s="18">
        <f t="shared" si="3"/>
        <v>3.5</v>
      </c>
      <c r="Q230" s="338"/>
      <c r="R230" s="344"/>
      <c r="S230" s="344"/>
      <c r="T230" s="344"/>
      <c r="U230" s="475"/>
    </row>
    <row r="231" spans="2:21" ht="31.2" customHeight="1" x14ac:dyDescent="0.25">
      <c r="B231" s="375"/>
      <c r="C231" s="351"/>
      <c r="D231" s="361"/>
      <c r="E231" s="134" t="str">
        <f>HLOOKUP(Deckblatt!$C$12,Language!$C$1:$D$730,288,FALSE)</f>
        <v xml:space="preserve">Medizinische Versorgung: Allgemeinmediziner max. Gehdistanz 400m Luftlinie
</v>
      </c>
      <c r="F231" s="363"/>
      <c r="G231" s="69">
        <v>2.5</v>
      </c>
      <c r="H231" s="18">
        <v>5</v>
      </c>
      <c r="I231" s="379"/>
      <c r="J231" s="340"/>
      <c r="K231" s="341"/>
      <c r="L231" s="341"/>
      <c r="M231" s="341"/>
      <c r="N231" s="342"/>
      <c r="P231" s="18">
        <f t="shared" si="3"/>
        <v>2.5</v>
      </c>
      <c r="Q231" s="338"/>
      <c r="R231" s="344"/>
      <c r="S231" s="344"/>
      <c r="T231" s="344"/>
      <c r="U231" s="475"/>
    </row>
    <row r="232" spans="2:21" ht="26.4" x14ac:dyDescent="0.25">
      <c r="B232" s="375"/>
      <c r="C232" s="351"/>
      <c r="D232" s="361"/>
      <c r="E232" s="134" t="str">
        <f>HLOOKUP(Deckblatt!$C$12,Language!$C$1:$D$730,289,FALSE)</f>
        <v xml:space="preserve">Bus- oder Straßenbahnhaltestelle: max. Gehdistanz 200m Luftlinie
</v>
      </c>
      <c r="F232" s="363"/>
      <c r="G232" s="69">
        <v>2.5</v>
      </c>
      <c r="H232" s="18">
        <v>5</v>
      </c>
      <c r="I232" s="379"/>
      <c r="J232" s="340"/>
      <c r="K232" s="341"/>
      <c r="L232" s="341"/>
      <c r="M232" s="341"/>
      <c r="N232" s="342"/>
      <c r="P232" s="18">
        <f t="shared" si="3"/>
        <v>2.5</v>
      </c>
      <c r="Q232" s="338"/>
      <c r="R232" s="344"/>
      <c r="S232" s="344"/>
      <c r="T232" s="344"/>
      <c r="U232" s="475"/>
    </row>
    <row r="233" spans="2:21" ht="39.6" x14ac:dyDescent="0.25">
      <c r="B233" s="375"/>
      <c r="C233" s="351"/>
      <c r="D233" s="361"/>
      <c r="E233" s="134" t="str">
        <f>HLOOKUP(Deckblatt!$C$12,Language!$C$1:$D$730,290,FALSE)</f>
        <v xml:space="preserve">Gastronomie: Restaurant, Café, Kantine, Mensa, etc.
max. Gehdistanz 400 m Luftlinie
</v>
      </c>
      <c r="F233" s="363"/>
      <c r="G233" s="69">
        <v>2.5</v>
      </c>
      <c r="H233" s="18">
        <v>5</v>
      </c>
      <c r="I233" s="379"/>
      <c r="J233" s="340"/>
      <c r="K233" s="341"/>
      <c r="L233" s="341"/>
      <c r="M233" s="341"/>
      <c r="N233" s="342"/>
      <c r="P233" s="18">
        <f t="shared" si="3"/>
        <v>2.5</v>
      </c>
      <c r="Q233" s="338"/>
      <c r="R233" s="344"/>
      <c r="S233" s="344"/>
      <c r="T233" s="344"/>
      <c r="U233" s="475"/>
    </row>
    <row r="234" spans="2:21" ht="13.2" customHeight="1" x14ac:dyDescent="0.25">
      <c r="B234" s="375"/>
      <c r="C234" s="351" t="s">
        <v>64</v>
      </c>
      <c r="D234" s="352" t="str">
        <f>HLOOKUP(Deckblatt!$C$12,Language!$C$1:$D$730,292,FALSE)</f>
        <v>Barrierefreiheit der Verkehrsflächen</v>
      </c>
      <c r="E234" s="353"/>
      <c r="F234" s="363"/>
      <c r="G234" s="356"/>
      <c r="H234" s="21">
        <v>15</v>
      </c>
      <c r="I234" s="379"/>
      <c r="J234" s="340"/>
      <c r="K234" s="341"/>
      <c r="L234" s="341"/>
      <c r="M234" s="341"/>
      <c r="N234" s="342"/>
      <c r="P234" s="18">
        <f t="shared" si="3"/>
        <v>0</v>
      </c>
      <c r="Q234" s="338"/>
      <c r="R234" s="344"/>
      <c r="S234" s="344"/>
      <c r="T234" s="344"/>
      <c r="U234" s="475"/>
    </row>
    <row r="235" spans="2:21" x14ac:dyDescent="0.25">
      <c r="B235" s="375"/>
      <c r="C235" s="351"/>
      <c r="D235" s="361" t="s">
        <v>66</v>
      </c>
      <c r="E235" s="150" t="str">
        <f>HLOOKUP(Deckblatt!$C$12,Language!$C$1:$D$730,293,FALSE)</f>
        <v>Barrierefreie Bewegungsflächen</v>
      </c>
      <c r="F235" s="363"/>
      <c r="G235" s="356"/>
      <c r="H235" s="21">
        <v>15</v>
      </c>
      <c r="I235" s="379"/>
      <c r="J235" s="340"/>
      <c r="K235" s="341"/>
      <c r="L235" s="341"/>
      <c r="M235" s="341"/>
      <c r="N235" s="342"/>
      <c r="P235" s="18">
        <f t="shared" si="3"/>
        <v>0</v>
      </c>
      <c r="Q235" s="338"/>
      <c r="R235" s="344"/>
      <c r="S235" s="344"/>
      <c r="T235" s="344"/>
      <c r="U235" s="475"/>
    </row>
    <row r="236" spans="2:21" ht="52.8" x14ac:dyDescent="0.25">
      <c r="B236" s="375"/>
      <c r="C236" s="351"/>
      <c r="D236" s="361"/>
      <c r="E236" s="134" t="str">
        <f>HLOOKUP(Deckblatt!$C$12,Language!$C$1:$D$730,294,FALSE)</f>
        <v xml:space="preserve">Breite der Bewegungsfläche auf Gehwegen im Umfeld von Schulen, Kinderbetreuungseinrichtungen, Freizeit- und Pflegeeinrichtungen, Einkaufszentren, bei Fußgängerüberwegen und Furten: 3 m
</v>
      </c>
      <c r="F236" s="363"/>
      <c r="G236" s="69">
        <v>2</v>
      </c>
      <c r="H236" s="18">
        <v>2</v>
      </c>
      <c r="I236" s="379"/>
      <c r="J236" s="340"/>
      <c r="K236" s="341"/>
      <c r="L236" s="341"/>
      <c r="M236" s="341"/>
      <c r="N236" s="342"/>
      <c r="P236" s="18">
        <f t="shared" si="3"/>
        <v>2</v>
      </c>
      <c r="Q236" s="338"/>
      <c r="R236" s="344"/>
      <c r="S236" s="344"/>
      <c r="T236" s="344"/>
      <c r="U236" s="475"/>
    </row>
    <row r="237" spans="2:21" ht="39.6" x14ac:dyDescent="0.25">
      <c r="B237" s="375"/>
      <c r="C237" s="351"/>
      <c r="D237" s="361"/>
      <c r="E237" s="134" t="str">
        <f>HLOOKUP(Deckblatt!$C$12,Language!$C$1:$D$730,295,FALSE)</f>
        <v xml:space="preserve">Breite der Bewegungsfläche von Gehwegen an der schmalsten Stelle (im Straßenraum und in Freiflächen): 1,5 m
</v>
      </c>
      <c r="F237" s="363"/>
      <c r="G237" s="69">
        <v>2</v>
      </c>
      <c r="H237" s="18">
        <v>2</v>
      </c>
      <c r="I237" s="379"/>
      <c r="J237" s="340"/>
      <c r="K237" s="341"/>
      <c r="L237" s="341"/>
      <c r="M237" s="341"/>
      <c r="N237" s="342"/>
      <c r="P237" s="18">
        <f t="shared" si="3"/>
        <v>2</v>
      </c>
      <c r="Q237" s="338"/>
      <c r="R237" s="344"/>
      <c r="S237" s="344"/>
      <c r="T237" s="344"/>
      <c r="U237" s="475"/>
    </row>
    <row r="238" spans="2:21" ht="39.6" x14ac:dyDescent="0.25">
      <c r="B238" s="375"/>
      <c r="C238" s="351"/>
      <c r="D238" s="361"/>
      <c r="E238" s="134" t="str">
        <f>HLOOKUP(Deckblatt!$C$12,Language!$C$1:$D$730,296,FALSE)</f>
        <v xml:space="preserve">Breite der Bewegungsfläche auf Nebengehwegen, in Durchgängen an Kassen und Kontrollen: 0,9 m
</v>
      </c>
      <c r="F238" s="363"/>
      <c r="G238" s="69">
        <v>2</v>
      </c>
      <c r="H238" s="18">
        <v>2</v>
      </c>
      <c r="I238" s="379"/>
      <c r="J238" s="340"/>
      <c r="K238" s="341"/>
      <c r="L238" s="341"/>
      <c r="M238" s="341"/>
      <c r="N238" s="342"/>
      <c r="P238" s="18">
        <f t="shared" si="3"/>
        <v>2</v>
      </c>
      <c r="Q238" s="338"/>
      <c r="R238" s="344"/>
      <c r="S238" s="344"/>
      <c r="T238" s="344"/>
      <c r="U238" s="475"/>
    </row>
    <row r="239" spans="2:21" ht="52.8" x14ac:dyDescent="0.25">
      <c r="B239" s="375"/>
      <c r="C239" s="351"/>
      <c r="D239" s="361"/>
      <c r="E239" s="134" t="str">
        <f>HLOOKUP(Deckblatt!$C$12,Language!$C$1:$D$730,297,FALSE)</f>
        <v xml:space="preserve">Verweilplätze vor öffentlichen Einrichtungen: 1,5x1,5 m
(z.B. als Wendemöglichkeit, als Ruhe- oder Verweilfläche, am Anfang und Ende einer Rampe, vor Haus- und Gebäudeeingängen etc.)
</v>
      </c>
      <c r="F239" s="363"/>
      <c r="G239" s="69">
        <v>2</v>
      </c>
      <c r="H239" s="18">
        <v>2</v>
      </c>
      <c r="I239" s="379"/>
      <c r="J239" s="340"/>
      <c r="K239" s="341"/>
      <c r="L239" s="341"/>
      <c r="M239" s="341"/>
      <c r="N239" s="342"/>
      <c r="P239" s="18">
        <f t="shared" si="3"/>
        <v>2</v>
      </c>
      <c r="Q239" s="338"/>
      <c r="R239" s="344"/>
      <c r="S239" s="344"/>
      <c r="T239" s="344"/>
      <c r="U239" s="475"/>
    </row>
    <row r="240" spans="2:21" ht="39.6" x14ac:dyDescent="0.25">
      <c r="B240" s="375"/>
      <c r="C240" s="351"/>
      <c r="D240" s="361"/>
      <c r="E240" s="134" t="str">
        <f>HLOOKUP(Deckblatt!$C$12,Language!$C$1:$D$730,298,FALSE)</f>
        <v xml:space="preserve">Bewegungsfläche innerhalb der Gehwege: 2,0 x 2,5 m (nach max. 18m, innerhalb der Sichtweite)
</v>
      </c>
      <c r="F240" s="363"/>
      <c r="G240" s="69">
        <v>2</v>
      </c>
      <c r="H240" s="18">
        <v>2</v>
      </c>
      <c r="I240" s="379"/>
      <c r="J240" s="340"/>
      <c r="K240" s="341"/>
      <c r="L240" s="341"/>
      <c r="M240" s="341"/>
      <c r="N240" s="342"/>
      <c r="P240" s="18">
        <f t="shared" si="3"/>
        <v>2</v>
      </c>
      <c r="Q240" s="338"/>
      <c r="R240" s="344"/>
      <c r="S240" s="344"/>
      <c r="T240" s="344"/>
      <c r="U240" s="475"/>
    </row>
    <row r="241" spans="2:21" ht="39.6" x14ac:dyDescent="0.25">
      <c r="B241" s="375"/>
      <c r="C241" s="351"/>
      <c r="D241" s="361"/>
      <c r="E241" s="134" t="str">
        <f>HLOOKUP(Deckblatt!$C$12,Language!$C$1:$D$730,299,FALSE)</f>
        <v xml:space="preserve">Gehwege mit Längsgefälle von 0-3% ausführen, wenn nötig bei 3-6 % Gefälle nur Verweilplätzen spätestens alle 10 m
</v>
      </c>
      <c r="F241" s="363"/>
      <c r="G241" s="69">
        <v>2</v>
      </c>
      <c r="H241" s="18">
        <v>2</v>
      </c>
      <c r="I241" s="379"/>
      <c r="J241" s="340"/>
      <c r="K241" s="341"/>
      <c r="L241" s="341"/>
      <c r="M241" s="341"/>
      <c r="N241" s="342"/>
      <c r="P241" s="18">
        <f t="shared" si="3"/>
        <v>2</v>
      </c>
      <c r="Q241" s="338"/>
      <c r="R241" s="344"/>
      <c r="S241" s="344"/>
      <c r="T241" s="344"/>
      <c r="U241" s="475"/>
    </row>
    <row r="242" spans="2:21" ht="39.6" x14ac:dyDescent="0.25">
      <c r="B242" s="375"/>
      <c r="C242" s="351"/>
      <c r="D242" s="361"/>
      <c r="E242" s="134" t="str">
        <f>HLOOKUP(Deckblatt!$C$12,Language!$C$1:$D$730,300,FALSE)</f>
        <v xml:space="preserve">Verkehrsberuhigter Straßenraum: Orientierung schaffen mittels taktil und optisch kontrastierendem Leitsystem
</v>
      </c>
      <c r="F242" s="363"/>
      <c r="G242" s="69">
        <v>2</v>
      </c>
      <c r="H242" s="18">
        <v>2</v>
      </c>
      <c r="I242" s="379"/>
      <c r="J242" s="340"/>
      <c r="K242" s="341"/>
      <c r="L242" s="341"/>
      <c r="M242" s="341"/>
      <c r="N242" s="342"/>
      <c r="P242" s="18">
        <f t="shared" si="3"/>
        <v>2</v>
      </c>
      <c r="Q242" s="338"/>
      <c r="R242" s="344"/>
      <c r="S242" s="344"/>
      <c r="T242" s="344"/>
      <c r="U242" s="475"/>
    </row>
    <row r="243" spans="2:21" ht="39.6" x14ac:dyDescent="0.25">
      <c r="B243" s="375"/>
      <c r="C243" s="351"/>
      <c r="D243" s="361"/>
      <c r="E243" s="134" t="str">
        <f>HLOOKUP(Deckblatt!$C$12,Language!$C$1:$D$730,301,FALSE)</f>
        <v xml:space="preserve">Zugang, Fußgängerüberweg und Furt mit abgesenktem Bürgersteig, senkrecht zur Straße, ohne Sichthindernisse
</v>
      </c>
      <c r="F243" s="363"/>
      <c r="G243" s="69">
        <v>2</v>
      </c>
      <c r="H243" s="18">
        <v>2</v>
      </c>
      <c r="I243" s="379"/>
      <c r="J243" s="340"/>
      <c r="K243" s="341"/>
      <c r="L243" s="341"/>
      <c r="M243" s="341"/>
      <c r="N243" s="342"/>
      <c r="P243" s="18">
        <f t="shared" si="3"/>
        <v>2</v>
      </c>
      <c r="Q243" s="338"/>
      <c r="R243" s="344"/>
      <c r="S243" s="344"/>
      <c r="T243" s="344"/>
      <c r="U243" s="475"/>
    </row>
    <row r="244" spans="2:21" ht="39.6" x14ac:dyDescent="0.25">
      <c r="B244" s="375"/>
      <c r="C244" s="351"/>
      <c r="D244" s="361"/>
      <c r="E244" s="134" t="str">
        <f>HLOOKUP(Deckblatt!$C$12,Language!$C$1:$D$730,302,FALSE)</f>
        <v xml:space="preserve">Unterschiedliche Ebenen sind mittels DIN-konformen Rampen oder Aufzügen zugängig zu machen (evtl. auch Fahrtreppe oder Fahrsteig).
</v>
      </c>
      <c r="F244" s="363"/>
      <c r="G244" s="69">
        <v>2</v>
      </c>
      <c r="H244" s="18">
        <v>2</v>
      </c>
      <c r="I244" s="379"/>
      <c r="J244" s="340"/>
      <c r="K244" s="341"/>
      <c r="L244" s="341"/>
      <c r="M244" s="341"/>
      <c r="N244" s="342"/>
      <c r="P244" s="18">
        <f t="shared" si="3"/>
        <v>2</v>
      </c>
      <c r="Q244" s="338"/>
      <c r="R244" s="344"/>
      <c r="S244" s="344"/>
      <c r="T244" s="344"/>
      <c r="U244" s="475"/>
    </row>
    <row r="245" spans="2:21" ht="52.8" x14ac:dyDescent="0.25">
      <c r="B245" s="375"/>
      <c r="C245" s="351"/>
      <c r="D245" s="361"/>
      <c r="E245" s="134" t="str">
        <f>HLOOKUP(Deckblatt!$C$12,Language!$C$1:$D$730,303,FALSE)</f>
        <v xml:space="preserve">Barrierefreie Haltestellen ÖPNV (zu überwindende Höhenunterschiede und Abstände ≤ 3 cm, Einstiegstellen markiert, Witterungsschutz, Bewegungsflächen nicht von Radwegen gequert)
</v>
      </c>
      <c r="F245" s="363"/>
      <c r="G245" s="69">
        <v>2</v>
      </c>
      <c r="H245" s="18">
        <v>2</v>
      </c>
      <c r="I245" s="379"/>
      <c r="J245" s="340"/>
      <c r="K245" s="341"/>
      <c r="L245" s="341"/>
      <c r="M245" s="341"/>
      <c r="N245" s="342"/>
      <c r="P245" s="18">
        <f t="shared" si="3"/>
        <v>2</v>
      </c>
      <c r="Q245" s="338"/>
      <c r="R245" s="344"/>
      <c r="S245" s="344"/>
      <c r="T245" s="344"/>
      <c r="U245" s="475"/>
    </row>
    <row r="246" spans="2:21" ht="52.8" x14ac:dyDescent="0.25">
      <c r="B246" s="375"/>
      <c r="C246" s="351"/>
      <c r="D246" s="361"/>
      <c r="E246"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46" s="363"/>
      <c r="G246" s="69">
        <v>2</v>
      </c>
      <c r="H246" s="18">
        <v>2</v>
      </c>
      <c r="I246" s="379"/>
      <c r="J246" s="340"/>
      <c r="K246" s="341"/>
      <c r="L246" s="341"/>
      <c r="M246" s="341"/>
      <c r="N246" s="342"/>
      <c r="P246" s="18">
        <f t="shared" si="3"/>
        <v>2</v>
      </c>
      <c r="Q246" s="338"/>
      <c r="R246" s="344"/>
      <c r="S246" s="344"/>
      <c r="T246" s="344"/>
      <c r="U246" s="475"/>
    </row>
    <row r="247" spans="2:21" ht="13.2" customHeight="1" x14ac:dyDescent="0.25">
      <c r="B247" s="375"/>
      <c r="C247" s="351" t="s">
        <v>67</v>
      </c>
      <c r="D247" s="352" t="str">
        <f>HLOOKUP(Deckblatt!$C$12,Language!$C$1:$D$730,306,FALSE)</f>
        <v>Visuelle Informationen im öffentlichen Raum</v>
      </c>
      <c r="E247" s="353"/>
      <c r="F247" s="363"/>
      <c r="G247" s="356"/>
      <c r="H247" s="21">
        <v>10</v>
      </c>
      <c r="I247" s="379"/>
      <c r="J247" s="340"/>
      <c r="K247" s="341"/>
      <c r="L247" s="341"/>
      <c r="M247" s="341"/>
      <c r="N247" s="342"/>
      <c r="P247" s="18">
        <f t="shared" si="3"/>
        <v>0</v>
      </c>
      <c r="Q247" s="338"/>
      <c r="R247" s="344"/>
      <c r="S247" s="344"/>
      <c r="T247" s="344"/>
      <c r="U247" s="475"/>
    </row>
    <row r="248" spans="2:21" x14ac:dyDescent="0.25">
      <c r="B248" s="375"/>
      <c r="C248" s="351"/>
      <c r="D248" s="376" t="s">
        <v>69</v>
      </c>
      <c r="E248" s="150" t="str">
        <f>HLOOKUP(Deckblatt!$C$12,Language!$C$1:$D$730,307,FALSE)</f>
        <v>Visuelle Informationselemente</v>
      </c>
      <c r="F248" s="363"/>
      <c r="G248" s="356"/>
      <c r="H248" s="21">
        <v>10</v>
      </c>
      <c r="I248" s="379"/>
      <c r="J248" s="340"/>
      <c r="K248" s="341"/>
      <c r="L248" s="341"/>
      <c r="M248" s="341"/>
      <c r="N248" s="342"/>
      <c r="P248" s="18">
        <f t="shared" si="3"/>
        <v>0</v>
      </c>
      <c r="Q248" s="338"/>
      <c r="R248" s="344"/>
      <c r="S248" s="344"/>
      <c r="T248" s="344"/>
      <c r="U248" s="475"/>
    </row>
    <row r="249" spans="2:21" ht="52.8" x14ac:dyDescent="0.25">
      <c r="B249" s="375"/>
      <c r="C249" s="351"/>
      <c r="D249" s="376"/>
      <c r="E249" s="134" t="str">
        <f>HLOOKUP(Deckblatt!$C$12,Language!$C$1:$D$730,308,FALSE)</f>
        <v xml:space="preserve">Einhaltung der vorgeschriebenen Kontraste bei Schrift- und Bildzeichen, besonders mit Notfall- und Warnfunktionen sowie bei Informationsträgern (Besondere Vorsicht bei Sonderlösungen!)
</v>
      </c>
      <c r="F249" s="363"/>
      <c r="G249" s="69">
        <v>2</v>
      </c>
      <c r="H249" s="18">
        <v>2</v>
      </c>
      <c r="I249" s="379"/>
      <c r="J249" s="340"/>
      <c r="K249" s="341"/>
      <c r="L249" s="341"/>
      <c r="M249" s="341"/>
      <c r="N249" s="342"/>
      <c r="P249" s="18">
        <f t="shared" si="3"/>
        <v>2</v>
      </c>
      <c r="Q249" s="338"/>
      <c r="R249" s="344"/>
      <c r="S249" s="344"/>
      <c r="T249" s="344"/>
      <c r="U249" s="475"/>
    </row>
    <row r="250" spans="2:21" ht="52.8" x14ac:dyDescent="0.25">
      <c r="B250" s="375"/>
      <c r="C250" s="351"/>
      <c r="D250" s="376"/>
      <c r="E250" s="134" t="str">
        <f>HLOOKUP(Deckblatt!$C$12,Language!$C$1:$D$730,309,FALSE)</f>
        <v xml:space="preserve">Realisierung einer gleichmäßigen, blendfreien Grundbeleuchtung mit akzentuierter Beleuchtung wichtiger Bereiche (z. B. Treppen) und möglicher Ziele (z. B. Informationstafeln)
</v>
      </c>
      <c r="F250" s="363"/>
      <c r="G250" s="69">
        <v>2</v>
      </c>
      <c r="H250" s="18">
        <v>2</v>
      </c>
      <c r="I250" s="379"/>
      <c r="J250" s="340"/>
      <c r="K250" s="341"/>
      <c r="L250" s="341"/>
      <c r="M250" s="341"/>
      <c r="N250" s="342"/>
      <c r="P250" s="18">
        <f t="shared" si="3"/>
        <v>2</v>
      </c>
      <c r="Q250" s="338"/>
      <c r="R250" s="344"/>
      <c r="S250" s="344"/>
      <c r="T250" s="344"/>
      <c r="U250" s="475"/>
    </row>
    <row r="251" spans="2:21" ht="26.4" x14ac:dyDescent="0.25">
      <c r="B251" s="375"/>
      <c r="C251" s="351"/>
      <c r="D251" s="376"/>
      <c r="E251" s="134" t="str">
        <f>HLOOKUP(Deckblatt!$C$12,Language!$C$1:$D$730,310,FALSE)</f>
        <v xml:space="preserve">Wahl hilfreicher Farbkombinationen von Sehobjekt und Umfeld
</v>
      </c>
      <c r="F251" s="363"/>
      <c r="G251" s="69">
        <v>2</v>
      </c>
      <c r="H251" s="18">
        <v>2</v>
      </c>
      <c r="I251" s="379"/>
      <c r="J251" s="340"/>
      <c r="K251" s="341"/>
      <c r="L251" s="341"/>
      <c r="M251" s="341"/>
      <c r="N251" s="342"/>
      <c r="P251" s="18">
        <f t="shared" si="3"/>
        <v>2</v>
      </c>
      <c r="Q251" s="338"/>
      <c r="R251" s="344"/>
      <c r="S251" s="344"/>
      <c r="T251" s="344"/>
      <c r="U251" s="475"/>
    </row>
    <row r="252" spans="2:21" ht="39.6" x14ac:dyDescent="0.25">
      <c r="B252" s="375"/>
      <c r="C252" s="351"/>
      <c r="D252" s="376"/>
      <c r="E252" s="134" t="str">
        <f>HLOOKUP(Deckblatt!$C$12,Language!$C$1:$D$730,311,FALSE)</f>
        <v xml:space="preserve">Einhaltung der Mindestzeichengröße in Abhängigkeit von der Beobachterentfernung
</v>
      </c>
      <c r="F252" s="363"/>
      <c r="G252" s="69">
        <v>2</v>
      </c>
      <c r="H252" s="18">
        <v>2</v>
      </c>
      <c r="I252" s="379"/>
      <c r="J252" s="340"/>
      <c r="K252" s="341"/>
      <c r="L252" s="341"/>
      <c r="M252" s="341"/>
      <c r="N252" s="342"/>
      <c r="P252" s="18">
        <f t="shared" si="3"/>
        <v>2</v>
      </c>
      <c r="Q252" s="338"/>
      <c r="R252" s="344"/>
      <c r="S252" s="344"/>
      <c r="T252" s="344"/>
      <c r="U252" s="475"/>
    </row>
    <row r="253" spans="2:21" ht="26.4" x14ac:dyDescent="0.25">
      <c r="B253" s="375"/>
      <c r="C253" s="351"/>
      <c r="D253" s="376"/>
      <c r="E253" s="134" t="str">
        <f>HLOOKUP(Deckblatt!$C$12,Language!$C$1:$D$730,312,FALSE)</f>
        <v xml:space="preserve">Anbringung und Beständigkeit visueller Informationen
</v>
      </c>
      <c r="F253" s="363"/>
      <c r="G253" s="69">
        <v>2</v>
      </c>
      <c r="H253" s="18">
        <v>2</v>
      </c>
      <c r="I253" s="379"/>
      <c r="J253" s="340"/>
      <c r="K253" s="341"/>
      <c r="L253" s="341"/>
      <c r="M253" s="341"/>
      <c r="N253" s="342"/>
      <c r="P253" s="18">
        <f t="shared" si="3"/>
        <v>2</v>
      </c>
      <c r="Q253" s="338"/>
      <c r="R253" s="344"/>
      <c r="S253" s="344"/>
      <c r="T253" s="344"/>
      <c r="U253" s="475"/>
    </row>
    <row r="254" spans="2:21" ht="39.6" x14ac:dyDescent="0.25">
      <c r="B254" s="375"/>
      <c r="C254" s="351"/>
      <c r="D254" s="376"/>
      <c r="E254" s="134" t="str">
        <f>HLOOKUP(Deckblatt!$C$12,Language!$C$1:$D$730,313,FALSE)</f>
        <v xml:space="preserve">Leichte Verständlichkeit und Eindeutigkeit (Verwendung leichter
Sprache)
</v>
      </c>
      <c r="F254" s="363"/>
      <c r="G254" s="69">
        <v>2</v>
      </c>
      <c r="H254" s="18">
        <v>2</v>
      </c>
      <c r="I254" s="379"/>
      <c r="J254" s="340"/>
      <c r="K254" s="341"/>
      <c r="L254" s="341"/>
      <c r="M254" s="341"/>
      <c r="N254" s="342"/>
      <c r="P254" s="18">
        <f t="shared" si="3"/>
        <v>2</v>
      </c>
      <c r="Q254" s="338"/>
      <c r="R254" s="344"/>
      <c r="S254" s="344"/>
      <c r="T254" s="344"/>
      <c r="U254" s="475"/>
    </row>
    <row r="255" spans="2:21" ht="39.6" x14ac:dyDescent="0.25">
      <c r="B255" s="375"/>
      <c r="C255" s="351"/>
      <c r="D255" s="376"/>
      <c r="E255" s="134" t="str">
        <f>HLOOKUP(Deckblatt!$C$12,Language!$C$1:$D$730,314,FALSE)</f>
        <v xml:space="preserve">Semantische Gruppierung (Informationselemente mit verwandten Inhalten sollten zu Gruppen räumlich zusammengefasst werden)
</v>
      </c>
      <c r="F255" s="363"/>
      <c r="G255" s="69">
        <v>2</v>
      </c>
      <c r="H255" s="18">
        <v>2</v>
      </c>
      <c r="I255" s="379"/>
      <c r="J255" s="340"/>
      <c r="K255" s="341"/>
      <c r="L255" s="341"/>
      <c r="M255" s="341"/>
      <c r="N255" s="342"/>
      <c r="P255" s="18">
        <f t="shared" si="3"/>
        <v>2</v>
      </c>
      <c r="Q255" s="338"/>
      <c r="R255" s="344"/>
      <c r="S255" s="344"/>
      <c r="T255" s="344"/>
      <c r="U255" s="475"/>
    </row>
    <row r="256" spans="2:21" ht="39.6" x14ac:dyDescent="0.25">
      <c r="B256" s="375"/>
      <c r="C256" s="351"/>
      <c r="D256" s="376"/>
      <c r="E256" s="134" t="str">
        <f>HLOOKUP(Deckblatt!$C$12,Language!$C$1:$D$730,315,FALSE)</f>
        <v xml:space="preserve">Informationselemente, die einen Fortbewegungsprozess steuern und begleiten, sollen eine kontinuierliche Informationskette bilden
</v>
      </c>
      <c r="F256" s="363"/>
      <c r="G256" s="69">
        <v>2</v>
      </c>
      <c r="H256" s="18">
        <v>2</v>
      </c>
      <c r="I256" s="379"/>
      <c r="J256" s="340"/>
      <c r="K256" s="341"/>
      <c r="L256" s="341"/>
      <c r="M256" s="341"/>
      <c r="N256" s="342"/>
      <c r="P256" s="18">
        <f t="shared" si="3"/>
        <v>2</v>
      </c>
      <c r="Q256" s="338"/>
      <c r="R256" s="344"/>
      <c r="S256" s="344"/>
      <c r="T256" s="344"/>
      <c r="U256" s="475"/>
    </row>
    <row r="257" spans="2:21" ht="13.2" customHeight="1" x14ac:dyDescent="0.25">
      <c r="B257" s="375"/>
      <c r="C257" s="351" t="s">
        <v>154</v>
      </c>
      <c r="D257" s="352" t="str">
        <f>HLOOKUP(Deckblatt!$C$12,Language!$C$1:$D$730,316,FALSE)</f>
        <v>Bodenindikatoren im öffentlichen Raum</v>
      </c>
      <c r="E257" s="353"/>
      <c r="F257" s="363"/>
      <c r="G257" s="356"/>
      <c r="H257" s="21">
        <v>8</v>
      </c>
      <c r="I257" s="379"/>
      <c r="J257" s="340"/>
      <c r="K257" s="341"/>
      <c r="L257" s="341"/>
      <c r="M257" s="341"/>
      <c r="N257" s="342"/>
      <c r="P257" s="18">
        <f t="shared" si="3"/>
        <v>0</v>
      </c>
      <c r="Q257" s="338"/>
      <c r="R257" s="344"/>
      <c r="S257" s="344"/>
      <c r="T257" s="344"/>
      <c r="U257" s="475"/>
    </row>
    <row r="258" spans="2:21" x14ac:dyDescent="0.25">
      <c r="B258" s="375"/>
      <c r="C258" s="351"/>
      <c r="D258" s="376" t="s">
        <v>156</v>
      </c>
      <c r="E258" s="150" t="str">
        <f>HLOOKUP(Deckblatt!$C$12,Language!$C$1:$D$730,317,FALSE)</f>
        <v>Oberflächenschutzmaßnahmen</v>
      </c>
      <c r="F258" s="363"/>
      <c r="G258" s="356"/>
      <c r="H258" s="21">
        <v>8</v>
      </c>
      <c r="I258" s="379"/>
      <c r="J258" s="340"/>
      <c r="K258" s="341"/>
      <c r="L258" s="341"/>
      <c r="M258" s="341"/>
      <c r="N258" s="342"/>
      <c r="P258" s="18">
        <f t="shared" si="3"/>
        <v>0</v>
      </c>
      <c r="Q258" s="338"/>
      <c r="R258" s="344"/>
      <c r="S258" s="344"/>
      <c r="T258" s="344"/>
      <c r="U258" s="475"/>
    </row>
    <row r="259" spans="2:21" x14ac:dyDescent="0.25">
      <c r="B259" s="375"/>
      <c r="C259" s="351"/>
      <c r="D259" s="376"/>
      <c r="E259" s="134" t="str">
        <f>HLOOKUP(Deckblatt!$C$12,Language!$C$1:$D$730,318,FALSE)</f>
        <v>Eine einheitliche Orientierung der Oberflächenstruktur z. B. an Querungsstellen</v>
      </c>
      <c r="F259" s="363"/>
      <c r="G259" s="69">
        <v>2</v>
      </c>
      <c r="H259" s="18">
        <v>2</v>
      </c>
      <c r="I259" s="379"/>
      <c r="J259" s="340"/>
      <c r="K259" s="341"/>
      <c r="L259" s="341"/>
      <c r="M259" s="341"/>
      <c r="N259" s="342"/>
      <c r="P259" s="18">
        <f t="shared" si="3"/>
        <v>2</v>
      </c>
      <c r="Q259" s="338"/>
      <c r="R259" s="344"/>
      <c r="S259" s="344"/>
      <c r="T259" s="344"/>
      <c r="U259" s="475"/>
    </row>
    <row r="260" spans="2:21" ht="26.4" x14ac:dyDescent="0.25">
      <c r="B260" s="375"/>
      <c r="C260" s="351"/>
      <c r="D260" s="376"/>
      <c r="E260" s="134" t="str">
        <f>HLOOKUP(Deckblatt!$C$12,Language!$C$1:$D$730,319,FALSE)</f>
        <v xml:space="preserve">Systematische Wiederkehrbarkeit
</v>
      </c>
      <c r="F260" s="363"/>
      <c r="G260" s="69">
        <v>2</v>
      </c>
      <c r="H260" s="18">
        <v>2</v>
      </c>
      <c r="I260" s="379"/>
      <c r="J260" s="340"/>
      <c r="K260" s="341"/>
      <c r="L260" s="341"/>
      <c r="M260" s="341"/>
      <c r="N260" s="342"/>
      <c r="P260" s="18">
        <f t="shared" si="3"/>
        <v>2</v>
      </c>
      <c r="Q260" s="338"/>
      <c r="R260" s="344"/>
      <c r="S260" s="344"/>
      <c r="T260" s="344"/>
      <c r="U260" s="475"/>
    </row>
    <row r="261" spans="2:21" ht="26.4" x14ac:dyDescent="0.25">
      <c r="B261" s="375"/>
      <c r="C261" s="351"/>
      <c r="D261" s="376"/>
      <c r="E261" s="134" t="str">
        <f>HLOOKUP(Deckblatt!$C$12,Language!$C$1:$D$730,320,FALSE)</f>
        <v xml:space="preserve">Rutschhemmende Eigenschaften
</v>
      </c>
      <c r="F261" s="363"/>
      <c r="G261" s="69">
        <v>2</v>
      </c>
      <c r="H261" s="18">
        <v>2</v>
      </c>
      <c r="I261" s="379"/>
      <c r="J261" s="340"/>
      <c r="K261" s="341"/>
      <c r="L261" s="341"/>
      <c r="M261" s="341"/>
      <c r="N261" s="342"/>
      <c r="P261" s="18">
        <f t="shared" si="3"/>
        <v>2</v>
      </c>
      <c r="Q261" s="338"/>
      <c r="R261" s="344"/>
      <c r="S261" s="344"/>
      <c r="T261" s="344"/>
      <c r="U261" s="475"/>
    </row>
    <row r="262" spans="2:21" ht="26.4" x14ac:dyDescent="0.25">
      <c r="B262" s="375"/>
      <c r="C262" s="351"/>
      <c r="D262" s="376"/>
      <c r="E262" s="134" t="str">
        <f>HLOOKUP(Deckblatt!$C$12,Language!$C$1:$D$730,321,FALSE)</f>
        <v xml:space="preserve">Kontrastierende Begleitstreifen mit Leuchtdichtekontrast (K&gt; 0,4)
</v>
      </c>
      <c r="F262" s="363"/>
      <c r="G262" s="69">
        <v>2</v>
      </c>
      <c r="H262" s="18">
        <v>2</v>
      </c>
      <c r="I262" s="379"/>
      <c r="J262" s="340"/>
      <c r="K262" s="341"/>
      <c r="L262" s="341"/>
      <c r="M262" s="341"/>
      <c r="N262" s="342"/>
      <c r="P262" s="18">
        <f t="shared" si="3"/>
        <v>2</v>
      </c>
      <c r="Q262" s="338"/>
      <c r="R262" s="344"/>
      <c r="S262" s="344"/>
      <c r="T262" s="344"/>
      <c r="U262" s="475"/>
    </row>
    <row r="263" spans="2:21" ht="26.4" x14ac:dyDescent="0.25">
      <c r="B263" s="375"/>
      <c r="C263" s="351"/>
      <c r="D263" s="376"/>
      <c r="E263" s="134" t="str">
        <f>HLOOKUP(Deckblatt!$C$12,Language!$C$1:$D$730,322,FALSE)</f>
        <v xml:space="preserve">Sicherheitsabstand zur Bordsteinkante
</v>
      </c>
      <c r="F263" s="363"/>
      <c r="G263" s="69">
        <v>2</v>
      </c>
      <c r="H263" s="18">
        <v>2</v>
      </c>
      <c r="I263" s="379"/>
      <c r="J263" s="340"/>
      <c r="K263" s="341"/>
      <c r="L263" s="341"/>
      <c r="M263" s="341"/>
      <c r="N263" s="342"/>
      <c r="P263" s="18">
        <f t="shared" si="3"/>
        <v>2</v>
      </c>
      <c r="Q263" s="338"/>
      <c r="R263" s="344"/>
      <c r="S263" s="344"/>
      <c r="T263" s="344"/>
      <c r="U263" s="475"/>
    </row>
    <row r="264" spans="2:21" ht="13.2" customHeight="1" x14ac:dyDescent="0.25">
      <c r="B264" s="375"/>
      <c r="C264" s="351" t="s">
        <v>157</v>
      </c>
      <c r="D264" s="352" t="str">
        <f>HLOOKUP(Deckblatt!$C$12,Language!$C$1:$D$730,323,FALSE)</f>
        <v>Zusatzeinrichtung für Blinde</v>
      </c>
      <c r="E264" s="353"/>
      <c r="F264" s="363"/>
      <c r="G264" s="356"/>
      <c r="H264" s="21">
        <v>4</v>
      </c>
      <c r="I264" s="379"/>
      <c r="J264" s="340"/>
      <c r="K264" s="341"/>
      <c r="L264" s="341"/>
      <c r="M264" s="341"/>
      <c r="N264" s="342"/>
      <c r="P264" s="18">
        <f t="shared" si="3"/>
        <v>0</v>
      </c>
      <c r="Q264" s="338"/>
      <c r="R264" s="344"/>
      <c r="S264" s="344"/>
      <c r="T264" s="344"/>
      <c r="U264" s="475"/>
    </row>
    <row r="265" spans="2:21" x14ac:dyDescent="0.25">
      <c r="B265" s="375"/>
      <c r="C265" s="351"/>
      <c r="D265" s="376" t="s">
        <v>159</v>
      </c>
      <c r="E265" s="150" t="str">
        <f>HLOOKUP(Deckblatt!$C$12,Language!$C$1:$D$730,324,FALSE)</f>
        <v>Signalanlagen im Straßenverkehr</v>
      </c>
      <c r="F265" s="363"/>
      <c r="G265" s="356"/>
      <c r="H265" s="21">
        <v>4</v>
      </c>
      <c r="I265" s="379"/>
      <c r="J265" s="340"/>
      <c r="K265" s="341"/>
      <c r="L265" s="341"/>
      <c r="M265" s="341"/>
      <c r="N265" s="342"/>
      <c r="P265" s="18">
        <f t="shared" si="3"/>
        <v>0</v>
      </c>
      <c r="Q265" s="338"/>
      <c r="R265" s="344"/>
      <c r="S265" s="344"/>
      <c r="T265" s="344"/>
      <c r="U265" s="475"/>
    </row>
    <row r="266" spans="2:21" ht="39.6" x14ac:dyDescent="0.25">
      <c r="B266" s="375"/>
      <c r="C266" s="351"/>
      <c r="D266" s="376"/>
      <c r="E266" s="134" t="str">
        <f>HLOOKUP(Deckblatt!$C$12,Language!$C$1:$D$730,325,FALSE)</f>
        <v xml:space="preserve">Erleichtertes Auffinden der Fußgängerfurt sowie des Signalgebermastes mittels Anforderungstaster und taktiler Zeichen
</v>
      </c>
      <c r="F266" s="363"/>
      <c r="G266" s="69">
        <v>2</v>
      </c>
      <c r="H266" s="18">
        <v>2</v>
      </c>
      <c r="I266" s="379"/>
      <c r="J266" s="340"/>
      <c r="K266" s="341"/>
      <c r="L266" s="341"/>
      <c r="M266" s="341"/>
      <c r="N266" s="342"/>
      <c r="P266" s="18">
        <f t="shared" si="3"/>
        <v>2</v>
      </c>
      <c r="Q266" s="338"/>
      <c r="R266" s="344"/>
      <c r="S266" s="344"/>
      <c r="T266" s="344"/>
      <c r="U266" s="475"/>
    </row>
    <row r="267" spans="2:21" ht="26.4" x14ac:dyDescent="0.25">
      <c r="B267" s="375"/>
      <c r="C267" s="351"/>
      <c r="D267" s="376"/>
      <c r="E267" s="134" t="str">
        <f>HLOOKUP(Deckblatt!$C$12,Language!$C$1:$D$730,326,FALSE)</f>
        <v xml:space="preserve">Erkennbarkeit des Freigabesignals für die Fußgängerfurt
</v>
      </c>
      <c r="F267" s="363"/>
      <c r="G267" s="69">
        <v>2</v>
      </c>
      <c r="H267" s="18">
        <v>2</v>
      </c>
      <c r="I267" s="379"/>
      <c r="J267" s="340"/>
      <c r="K267" s="341"/>
      <c r="L267" s="341"/>
      <c r="M267" s="341"/>
      <c r="N267" s="342"/>
      <c r="P267" s="18">
        <f t="shared" ref="P267:P332" si="4">IF(G267&gt;H267,H267,G267)</f>
        <v>2</v>
      </c>
      <c r="Q267" s="338"/>
      <c r="R267" s="344"/>
      <c r="S267" s="344"/>
      <c r="T267" s="344"/>
      <c r="U267" s="475"/>
    </row>
    <row r="268" spans="2:21" ht="26.4" x14ac:dyDescent="0.25">
      <c r="B268" s="375"/>
      <c r="C268" s="351"/>
      <c r="D268" s="376"/>
      <c r="E268" s="134" t="str">
        <f>HLOOKUP(Deckblatt!$C$12,Language!$C$1:$D$730,327,FALSE)</f>
        <v xml:space="preserve">Sicheres und gradliniges Überqueren der Straße möglich
</v>
      </c>
      <c r="F268" s="363"/>
      <c r="G268" s="69">
        <v>2</v>
      </c>
      <c r="H268" s="18">
        <v>2</v>
      </c>
      <c r="I268" s="379"/>
      <c r="J268" s="340"/>
      <c r="K268" s="341"/>
      <c r="L268" s="341"/>
      <c r="M268" s="341"/>
      <c r="N268" s="342"/>
      <c r="P268" s="18">
        <f t="shared" si="4"/>
        <v>2</v>
      </c>
      <c r="Q268" s="338"/>
      <c r="R268" s="344"/>
      <c r="S268" s="344"/>
      <c r="T268" s="344"/>
      <c r="U268" s="475"/>
    </row>
    <row r="269" spans="2:21" ht="13.2" customHeight="1" x14ac:dyDescent="0.25">
      <c r="B269" s="375"/>
      <c r="C269" s="351" t="s">
        <v>282</v>
      </c>
      <c r="D269" s="352" t="str">
        <f>HLOOKUP(Deckblatt!$C$12,Language!$C$1:$D$730,328,FALSE)</f>
        <v>Planungsgrundlagen</v>
      </c>
      <c r="E269" s="353"/>
      <c r="F269" s="363"/>
      <c r="G269" s="356"/>
      <c r="H269" s="21">
        <v>3</v>
      </c>
      <c r="I269" s="379"/>
      <c r="J269" s="340"/>
      <c r="K269" s="341"/>
      <c r="L269" s="341"/>
      <c r="M269" s="341"/>
      <c r="N269" s="342"/>
      <c r="P269" s="18">
        <f t="shared" si="4"/>
        <v>0</v>
      </c>
      <c r="Q269" s="338"/>
      <c r="R269" s="344"/>
      <c r="S269" s="344"/>
      <c r="T269" s="344"/>
      <c r="U269" s="475"/>
    </row>
    <row r="270" spans="2:21" x14ac:dyDescent="0.25">
      <c r="B270" s="375"/>
      <c r="C270" s="351"/>
      <c r="D270" s="376" t="s">
        <v>284</v>
      </c>
      <c r="E270" s="150" t="str">
        <f>HLOOKUP(Deckblatt!$C$12,Language!$C$1:$D$730,329,FALSE)</f>
        <v>Leuchtdichtekontrast &amp; Zwei-Sinne-Prinzip</v>
      </c>
      <c r="F270" s="363"/>
      <c r="G270" s="356"/>
      <c r="H270" s="21">
        <v>3</v>
      </c>
      <c r="I270" s="379"/>
      <c r="J270" s="340"/>
      <c r="K270" s="341"/>
      <c r="L270" s="341"/>
      <c r="M270" s="341"/>
      <c r="N270" s="342"/>
      <c r="P270" s="18">
        <f t="shared" si="4"/>
        <v>0</v>
      </c>
      <c r="Q270" s="338"/>
      <c r="R270" s="344"/>
      <c r="S270" s="344"/>
      <c r="T270" s="344"/>
      <c r="U270" s="475"/>
    </row>
    <row r="271" spans="2:21" ht="39.6" x14ac:dyDescent="0.25">
      <c r="B271" s="375"/>
      <c r="C271" s="351"/>
      <c r="D271" s="376"/>
      <c r="E271" s="134" t="str">
        <f>HLOOKUP(Deckblatt!$C$12,Language!$C$1:$D$730,330,FALSE)</f>
        <v xml:space="preserve">Leuchtdichtekontrast (relativer Leuchtdichteunterschied benachbarter Flächen; kann durch Farbgebung unterstützt werden) Systematische Wiederkehrbarkeit
</v>
      </c>
      <c r="F271" s="363"/>
      <c r="G271" s="69"/>
      <c r="H271" s="18">
        <v>1</v>
      </c>
      <c r="I271" s="379"/>
      <c r="J271" s="340"/>
      <c r="K271" s="341"/>
      <c r="L271" s="341"/>
      <c r="M271" s="341"/>
      <c r="N271" s="342"/>
      <c r="P271" s="18">
        <f t="shared" si="4"/>
        <v>0</v>
      </c>
      <c r="Q271" s="338"/>
      <c r="R271" s="344"/>
      <c r="S271" s="344"/>
      <c r="T271" s="344"/>
      <c r="U271" s="475"/>
    </row>
    <row r="272" spans="2:21" ht="39.6" x14ac:dyDescent="0.25">
      <c r="B272" s="375"/>
      <c r="C272" s="351"/>
      <c r="D272" s="376"/>
      <c r="E272" s="134" t="str">
        <f>HLOOKUP(Deckblatt!$C$12,Language!$C$1:$D$730,331,FALSE)</f>
        <v xml:space="preserve">Zwei-Sinne-Prinzip: gleichzeitige Vermittlung von Informationen für zwei Sinne (visuell, taktil und auditiv)
</v>
      </c>
      <c r="F272" s="363"/>
      <c r="G272" s="69"/>
      <c r="H272" s="18">
        <v>2</v>
      </c>
      <c r="I272" s="379"/>
      <c r="J272" s="340"/>
      <c r="K272" s="341"/>
      <c r="L272" s="341"/>
      <c r="M272" s="341"/>
      <c r="N272" s="342"/>
      <c r="P272" s="18">
        <f t="shared" si="4"/>
        <v>0</v>
      </c>
      <c r="Q272" s="339"/>
      <c r="R272" s="365"/>
      <c r="S272" s="344"/>
      <c r="T272" s="344"/>
      <c r="U272" s="475"/>
    </row>
    <row r="273" spans="2:21" x14ac:dyDescent="0.25">
      <c r="B273" s="55" t="s">
        <v>346</v>
      </c>
      <c r="C273" s="354" t="str">
        <f>HLOOKUP(Deckblatt!$C$12,Language!$C$1:$D$730,338,FALSE)</f>
        <v>Städtebau</v>
      </c>
      <c r="D273" s="354"/>
      <c r="E273" s="355"/>
      <c r="F273" s="66">
        <f>Q273</f>
        <v>100</v>
      </c>
      <c r="G273" s="372"/>
      <c r="H273" s="21">
        <v>100</v>
      </c>
      <c r="I273" s="176">
        <v>3</v>
      </c>
      <c r="J273" s="340"/>
      <c r="K273" s="341"/>
      <c r="L273" s="341"/>
      <c r="M273" s="341"/>
      <c r="N273" s="342"/>
      <c r="P273" s="18">
        <f t="shared" si="4"/>
        <v>0</v>
      </c>
      <c r="Q273" s="337">
        <f>SUM(SUM(P276:P292),IF(SUM(P294:P296)&gt;30,30,SUM(P294:P296)))</f>
        <v>100</v>
      </c>
      <c r="R273" s="343">
        <f>Q273/100</f>
        <v>1</v>
      </c>
      <c r="S273" s="344"/>
      <c r="T273" s="344"/>
      <c r="U273" s="475"/>
    </row>
    <row r="274" spans="2:21" ht="13.2" customHeight="1" x14ac:dyDescent="0.25">
      <c r="B274" s="375"/>
      <c r="C274" s="351" t="s">
        <v>54</v>
      </c>
      <c r="D274" s="352" t="str">
        <f>HLOOKUP(Deckblatt!$C$12,Language!$C$1:$D$730,339,FALSE)</f>
        <v>Städtebauliche Einbindung</v>
      </c>
      <c r="E274" s="353"/>
      <c r="F274" s="363"/>
      <c r="G274" s="373"/>
      <c r="H274" s="21">
        <v>50</v>
      </c>
      <c r="I274" s="379"/>
      <c r="J274" s="340"/>
      <c r="K274" s="341"/>
      <c r="L274" s="341"/>
      <c r="M274" s="341"/>
      <c r="N274" s="342"/>
      <c r="P274" s="18">
        <f t="shared" si="4"/>
        <v>0</v>
      </c>
      <c r="Q274" s="338"/>
      <c r="R274" s="344"/>
      <c r="S274" s="344"/>
      <c r="T274" s="344"/>
      <c r="U274" s="475"/>
    </row>
    <row r="275" spans="2:21" x14ac:dyDescent="0.25">
      <c r="B275" s="375"/>
      <c r="C275" s="351"/>
      <c r="D275" s="376" t="s">
        <v>58</v>
      </c>
      <c r="E275" s="150" t="str">
        <f>HLOOKUP(Deckblatt!$C$12,Language!$C$1:$D$730,340,FALSE)</f>
        <v>Einbindung in die Stadtgestalt und Stadtstruktur</v>
      </c>
      <c r="F275" s="363"/>
      <c r="G275" s="374"/>
      <c r="H275" s="21">
        <v>20</v>
      </c>
      <c r="I275" s="379"/>
      <c r="J275" s="340"/>
      <c r="K275" s="341"/>
      <c r="L275" s="341"/>
      <c r="M275" s="341"/>
      <c r="N275" s="342"/>
      <c r="P275" s="18">
        <f t="shared" si="4"/>
        <v>0</v>
      </c>
      <c r="Q275" s="338"/>
      <c r="R275" s="344"/>
      <c r="S275" s="344"/>
      <c r="T275" s="344"/>
      <c r="U275" s="475"/>
    </row>
    <row r="276" spans="2:21" ht="26.4" x14ac:dyDescent="0.25">
      <c r="B276" s="375"/>
      <c r="C276" s="351"/>
      <c r="D276" s="376"/>
      <c r="E276" s="134" t="str">
        <f>HLOOKUP(Deckblatt!$C$12,Language!$C$1:$D$730,341,FALSE)</f>
        <v xml:space="preserve">Es liegt eine Analyse/Bestandsuntersuchung vor.
</v>
      </c>
      <c r="F276" s="363"/>
      <c r="G276" s="69">
        <v>10</v>
      </c>
      <c r="H276" s="18">
        <v>10</v>
      </c>
      <c r="I276" s="379"/>
      <c r="J276" s="340"/>
      <c r="K276" s="341"/>
      <c r="L276" s="341"/>
      <c r="M276" s="341"/>
      <c r="N276" s="342"/>
      <c r="P276" s="18">
        <f t="shared" si="4"/>
        <v>10</v>
      </c>
      <c r="Q276" s="338"/>
      <c r="R276" s="344"/>
      <c r="S276" s="344"/>
      <c r="T276" s="344"/>
      <c r="U276" s="475"/>
    </row>
    <row r="277" spans="2:21" ht="52.8" x14ac:dyDescent="0.25">
      <c r="B277" s="375"/>
      <c r="C277" s="351"/>
      <c r="D277" s="376"/>
      <c r="E277" s="134" t="str">
        <f>HLOOKUP(Deckblatt!$C$12,Language!$C$1:$D$730,342,FALSE)</f>
        <v xml:space="preserve">Die Einbindung des Projekts in die Stadtgestalt und Stadtstruktur wird im städtebaulichen Konzept nachvollziehbar aus den Erkenntnissen der Analyse/Bestandsuntersuchung hergeleitet
</v>
      </c>
      <c r="F277" s="363"/>
      <c r="G277" s="69">
        <v>10</v>
      </c>
      <c r="H277" s="18">
        <v>10</v>
      </c>
      <c r="I277" s="379"/>
      <c r="J277" s="340"/>
      <c r="K277" s="341"/>
      <c r="L277" s="341"/>
      <c r="M277" s="341"/>
      <c r="N277" s="342"/>
      <c r="P277" s="18">
        <f t="shared" si="4"/>
        <v>10</v>
      </c>
      <c r="Q277" s="338"/>
      <c r="R277" s="344"/>
      <c r="S277" s="344"/>
      <c r="T277" s="344"/>
      <c r="U277" s="475"/>
    </row>
    <row r="278" spans="2:21" x14ac:dyDescent="0.25">
      <c r="B278" s="375"/>
      <c r="C278" s="351"/>
      <c r="D278" s="376" t="s">
        <v>181</v>
      </c>
      <c r="E278" s="150" t="str">
        <f>HLOOKUP(Deckblatt!$C$12,Language!$C$1:$D$730,343,FALSE)</f>
        <v>Einbindung in das Erschließungsnetz</v>
      </c>
      <c r="F278" s="363"/>
      <c r="G278" s="113"/>
      <c r="H278" s="21">
        <v>10</v>
      </c>
      <c r="I278" s="379"/>
      <c r="J278" s="340"/>
      <c r="K278" s="341"/>
      <c r="L278" s="341"/>
      <c r="M278" s="341"/>
      <c r="N278" s="342"/>
      <c r="P278" s="18">
        <f t="shared" si="4"/>
        <v>0</v>
      </c>
      <c r="Q278" s="338"/>
      <c r="R278" s="344"/>
      <c r="S278" s="344"/>
      <c r="T278" s="344"/>
      <c r="U278" s="475"/>
    </row>
    <row r="279" spans="2:21" ht="26.4" x14ac:dyDescent="0.25">
      <c r="B279" s="375"/>
      <c r="C279" s="351"/>
      <c r="D279" s="376"/>
      <c r="E279" s="134" t="str">
        <f>HLOOKUP(Deckblatt!$C$12,Language!$C$1:$D$730,344,FALSE)</f>
        <v xml:space="preserve">Es liegt eine Analyse/Bestandsuntersuchung vor.
</v>
      </c>
      <c r="F279" s="363"/>
      <c r="G279" s="69">
        <v>5</v>
      </c>
      <c r="H279" s="18">
        <v>5</v>
      </c>
      <c r="I279" s="379"/>
      <c r="J279" s="340"/>
      <c r="K279" s="341"/>
      <c r="L279" s="341"/>
      <c r="M279" s="341"/>
      <c r="N279" s="342"/>
      <c r="P279" s="18">
        <f t="shared" si="4"/>
        <v>5</v>
      </c>
      <c r="Q279" s="338"/>
      <c r="R279" s="344"/>
      <c r="S279" s="344"/>
      <c r="T279" s="344"/>
      <c r="U279" s="475"/>
    </row>
    <row r="280" spans="2:21" ht="52.8" x14ac:dyDescent="0.25">
      <c r="B280" s="375"/>
      <c r="C280" s="351"/>
      <c r="D280" s="376"/>
      <c r="E280" s="134" t="str">
        <f>HLOOKUP(Deckblatt!$C$12,Language!$C$1:$D$730,345,FALSE)</f>
        <v xml:space="preserve">Die Einbindung des Projekts in das Erschließungsnetz wird im Verkehrskonzept nachvollziehbar aus den Erkenntnissen der Analyse/Bestandsuntersuchung hergeleitet (Erläuterung)
</v>
      </c>
      <c r="F280" s="363"/>
      <c r="G280" s="69">
        <v>5</v>
      </c>
      <c r="H280" s="18">
        <v>5</v>
      </c>
      <c r="I280" s="379"/>
      <c r="J280" s="340"/>
      <c r="K280" s="341"/>
      <c r="L280" s="341"/>
      <c r="M280" s="341"/>
      <c r="N280" s="342"/>
      <c r="P280" s="18">
        <f t="shared" si="4"/>
        <v>5</v>
      </c>
      <c r="Q280" s="338"/>
      <c r="R280" s="344"/>
      <c r="S280" s="344"/>
      <c r="T280" s="344"/>
      <c r="U280" s="475"/>
    </row>
    <row r="281" spans="2:21" x14ac:dyDescent="0.25">
      <c r="B281" s="375"/>
      <c r="C281" s="351"/>
      <c r="D281" s="376" t="s">
        <v>246</v>
      </c>
      <c r="E281" s="150" t="str">
        <f>HLOOKUP(Deckblatt!$C$12,Language!$C$1:$D$730,346,FALSE)</f>
        <v>Einbindung in die übergeordnete Planung/Werksrahmenplanung</v>
      </c>
      <c r="F281" s="363"/>
      <c r="G281" s="113"/>
      <c r="H281" s="21">
        <v>10</v>
      </c>
      <c r="I281" s="379"/>
      <c r="J281" s="340"/>
      <c r="K281" s="341"/>
      <c r="L281" s="341"/>
      <c r="M281" s="341"/>
      <c r="N281" s="342"/>
      <c r="P281" s="18">
        <f t="shared" si="4"/>
        <v>0</v>
      </c>
      <c r="Q281" s="338"/>
      <c r="R281" s="344"/>
      <c r="S281" s="344"/>
      <c r="T281" s="344"/>
      <c r="U281" s="475"/>
    </row>
    <row r="282" spans="2:21" ht="26.4" x14ac:dyDescent="0.25">
      <c r="B282" s="375"/>
      <c r="C282" s="351"/>
      <c r="D282" s="376"/>
      <c r="E282" s="134" t="str">
        <f>HLOOKUP(Deckblatt!$C$12,Language!$C$1:$D$730,347,FALSE)</f>
        <v xml:space="preserve">Es liegt eine Analyse/Bestandsuntersuchung vor.
</v>
      </c>
      <c r="F282" s="363"/>
      <c r="G282" s="69">
        <v>5</v>
      </c>
      <c r="H282" s="18">
        <v>5</v>
      </c>
      <c r="I282" s="379"/>
      <c r="J282" s="340"/>
      <c r="K282" s="341"/>
      <c r="L282" s="341"/>
      <c r="M282" s="341"/>
      <c r="N282" s="342"/>
      <c r="P282" s="18">
        <f t="shared" si="4"/>
        <v>5</v>
      </c>
      <c r="Q282" s="338"/>
      <c r="R282" s="344"/>
      <c r="S282" s="344"/>
      <c r="T282" s="344"/>
      <c r="U282" s="475"/>
    </row>
    <row r="283" spans="2:21" ht="52.8" x14ac:dyDescent="0.25">
      <c r="B283" s="375"/>
      <c r="C283" s="351"/>
      <c r="D283" s="376"/>
      <c r="E283"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83" s="363"/>
      <c r="G283" s="69">
        <v>5</v>
      </c>
      <c r="H283" s="18">
        <v>5</v>
      </c>
      <c r="I283" s="379"/>
      <c r="J283" s="340"/>
      <c r="K283" s="341"/>
      <c r="L283" s="341"/>
      <c r="M283" s="341"/>
      <c r="N283" s="342"/>
      <c r="P283" s="18">
        <f t="shared" si="4"/>
        <v>5</v>
      </c>
      <c r="Q283" s="338"/>
      <c r="R283" s="344"/>
      <c r="S283" s="344"/>
      <c r="T283" s="344"/>
      <c r="U283" s="475"/>
    </row>
    <row r="284" spans="2:21" x14ac:dyDescent="0.25">
      <c r="B284" s="375"/>
      <c r="C284" s="351"/>
      <c r="D284" s="376" t="s">
        <v>250</v>
      </c>
      <c r="E284" s="150" t="str">
        <f>HLOOKUP(Deckblatt!$C$12,Language!$C$1:$D$730,349,FALSE)</f>
        <v>Einbindung von baulichen Bestand</v>
      </c>
      <c r="F284" s="363"/>
      <c r="G284" s="113"/>
      <c r="H284" s="21">
        <v>10</v>
      </c>
      <c r="I284" s="379"/>
      <c r="J284" s="340"/>
      <c r="K284" s="341"/>
      <c r="L284" s="341"/>
      <c r="M284" s="341"/>
      <c r="N284" s="342"/>
      <c r="P284" s="18">
        <f t="shared" si="4"/>
        <v>0</v>
      </c>
      <c r="Q284" s="338"/>
      <c r="R284" s="344"/>
      <c r="S284" s="344"/>
      <c r="T284" s="344"/>
      <c r="U284" s="475"/>
    </row>
    <row r="285" spans="2:21" ht="26.4" x14ac:dyDescent="0.25">
      <c r="B285" s="375"/>
      <c r="C285" s="351"/>
      <c r="D285" s="376"/>
      <c r="E285" s="134" t="str">
        <f>HLOOKUP(Deckblatt!$C$12,Language!$C$1:$D$730,350,FALSE)</f>
        <v xml:space="preserve">Es liegt eine Analyse/Bestandsuntersuchung vor.
</v>
      </c>
      <c r="F285" s="363"/>
      <c r="G285" s="69">
        <v>5</v>
      </c>
      <c r="H285" s="18">
        <v>5</v>
      </c>
      <c r="I285" s="379"/>
      <c r="J285" s="340"/>
      <c r="K285" s="341"/>
      <c r="L285" s="341"/>
      <c r="M285" s="341"/>
      <c r="N285" s="342"/>
      <c r="P285" s="18">
        <f t="shared" si="4"/>
        <v>5</v>
      </c>
      <c r="Q285" s="338"/>
      <c r="R285" s="344"/>
      <c r="S285" s="344"/>
      <c r="T285" s="344"/>
      <c r="U285" s="475"/>
    </row>
    <row r="286" spans="2:21" ht="52.8" x14ac:dyDescent="0.25">
      <c r="B286" s="375"/>
      <c r="C286" s="351"/>
      <c r="D286" s="376"/>
      <c r="E286" s="134" t="str">
        <f>HLOOKUP(Deckblatt!$C$12,Language!$C$1:$D$730,351,FALSE)</f>
        <v xml:space="preserve">Die Einbindung der bestehenden und identitätsstiftenden Gebäude wird im städtebaulichen Konzept nachvollziehbar aus den Erkenntnissen der Analyse/Bestandsuntersuchung hergeleitet (Erläuterung).
</v>
      </c>
      <c r="F286" s="363"/>
      <c r="G286" s="69">
        <v>5</v>
      </c>
      <c r="H286" s="18">
        <v>5</v>
      </c>
      <c r="I286" s="379"/>
      <c r="J286" s="340"/>
      <c r="K286" s="341"/>
      <c r="L286" s="341"/>
      <c r="M286" s="341"/>
      <c r="N286" s="342"/>
      <c r="P286" s="18">
        <f t="shared" si="4"/>
        <v>5</v>
      </c>
      <c r="Q286" s="338"/>
      <c r="R286" s="344"/>
      <c r="S286" s="344"/>
      <c r="T286" s="344"/>
      <c r="U286" s="475"/>
    </row>
    <row r="287" spans="2:21" ht="13.2" customHeight="1" x14ac:dyDescent="0.25">
      <c r="B287" s="375"/>
      <c r="C287" s="359" t="s">
        <v>61</v>
      </c>
      <c r="D287" s="352" t="str">
        <f>HLOOKUP(Deckblatt!$C$12,Language!$C$1:$D$730,352,FALSE)</f>
        <v>Städtebauliche Qualifizierung</v>
      </c>
      <c r="E287" s="353"/>
      <c r="F287" s="363"/>
      <c r="G287" s="113"/>
      <c r="H287" s="21">
        <v>20</v>
      </c>
      <c r="I287" s="379"/>
      <c r="J287" s="340"/>
      <c r="K287" s="341"/>
      <c r="L287" s="341"/>
      <c r="M287" s="341"/>
      <c r="N287" s="342"/>
      <c r="P287" s="18">
        <f t="shared" si="4"/>
        <v>0</v>
      </c>
      <c r="Q287" s="338"/>
      <c r="R287" s="344"/>
      <c r="S287" s="344"/>
      <c r="T287" s="344"/>
      <c r="U287" s="475"/>
    </row>
    <row r="288" spans="2:21" ht="26.4" x14ac:dyDescent="0.25">
      <c r="B288" s="375"/>
      <c r="C288" s="390"/>
      <c r="D288" s="160" t="s">
        <v>63</v>
      </c>
      <c r="E288" s="150" t="str">
        <f>HLOOKUP(Deckblatt!$C$12,Language!$C$1:$D$730,353,FALSE)</f>
        <v xml:space="preserve">Übergeordnetes Gestaltungskonzept
</v>
      </c>
      <c r="F288" s="363"/>
      <c r="G288" s="69">
        <v>4</v>
      </c>
      <c r="H288" s="18">
        <v>4</v>
      </c>
      <c r="I288" s="379"/>
      <c r="J288" s="340"/>
      <c r="K288" s="341"/>
      <c r="L288" s="341"/>
      <c r="M288" s="341"/>
      <c r="N288" s="342"/>
      <c r="P288" s="18">
        <f t="shared" si="4"/>
        <v>4</v>
      </c>
      <c r="Q288" s="338"/>
      <c r="R288" s="344"/>
      <c r="S288" s="344"/>
      <c r="T288" s="344"/>
      <c r="U288" s="475"/>
    </row>
    <row r="289" spans="2:21" ht="26.4" x14ac:dyDescent="0.25">
      <c r="B289" s="375"/>
      <c r="C289" s="390"/>
      <c r="D289" s="160" t="s">
        <v>186</v>
      </c>
      <c r="E289" s="150" t="str">
        <f>HLOOKUP(Deckblatt!$C$12,Language!$C$1:$D$730,354,FALSE)</f>
        <v xml:space="preserve">Regelwerk für die Charakteristika von Baukörpern
</v>
      </c>
      <c r="F289" s="363"/>
      <c r="G289" s="69">
        <v>4</v>
      </c>
      <c r="H289" s="18">
        <v>4</v>
      </c>
      <c r="I289" s="379"/>
      <c r="J289" s="340"/>
      <c r="K289" s="341"/>
      <c r="L289" s="341"/>
      <c r="M289" s="341"/>
      <c r="N289" s="342"/>
      <c r="P289" s="18">
        <f t="shared" si="4"/>
        <v>4</v>
      </c>
      <c r="Q289" s="338"/>
      <c r="R289" s="344"/>
      <c r="S289" s="344"/>
      <c r="T289" s="344"/>
      <c r="U289" s="475"/>
    </row>
    <row r="290" spans="2:21" ht="26.4" x14ac:dyDescent="0.25">
      <c r="B290" s="375"/>
      <c r="C290" s="390"/>
      <c r="D290" s="160" t="s">
        <v>255</v>
      </c>
      <c r="E290" s="150" t="str">
        <f>HLOOKUP(Deckblatt!$C$12,Language!$C$1:$D$730,355,FALSE)</f>
        <v xml:space="preserve">Material, Farbe, Textur
</v>
      </c>
      <c r="F290" s="363"/>
      <c r="G290" s="69">
        <v>4</v>
      </c>
      <c r="H290" s="18">
        <v>4</v>
      </c>
      <c r="I290" s="379"/>
      <c r="J290" s="340"/>
      <c r="K290" s="341"/>
      <c r="L290" s="341"/>
      <c r="M290" s="341"/>
      <c r="N290" s="342"/>
      <c r="P290" s="18">
        <f t="shared" si="4"/>
        <v>4</v>
      </c>
      <c r="Q290" s="338"/>
      <c r="R290" s="344"/>
      <c r="S290" s="344"/>
      <c r="T290" s="344"/>
      <c r="U290" s="475"/>
    </row>
    <row r="291" spans="2:21" ht="26.4" x14ac:dyDescent="0.25">
      <c r="B291" s="375"/>
      <c r="C291" s="390"/>
      <c r="D291" s="160" t="s">
        <v>256</v>
      </c>
      <c r="E291" s="150" t="str">
        <f>HLOOKUP(Deckblatt!$C$12,Language!$C$1:$D$730,356,FALSE)</f>
        <v xml:space="preserve">Gestaltung von städtebaulich prägnanten Gebäuden
</v>
      </c>
      <c r="F291" s="363"/>
      <c r="G291" s="69">
        <v>4</v>
      </c>
      <c r="H291" s="18">
        <v>4</v>
      </c>
      <c r="I291" s="379"/>
      <c r="J291" s="340"/>
      <c r="K291" s="341"/>
      <c r="L291" s="341"/>
      <c r="M291" s="341"/>
      <c r="N291" s="342"/>
      <c r="P291" s="18">
        <f t="shared" si="4"/>
        <v>4</v>
      </c>
      <c r="Q291" s="338"/>
      <c r="R291" s="344"/>
      <c r="S291" s="344"/>
      <c r="T291" s="344"/>
      <c r="U291" s="475"/>
    </row>
    <row r="292" spans="2:21" ht="26.4" x14ac:dyDescent="0.25">
      <c r="B292" s="375"/>
      <c r="C292" s="390"/>
      <c r="D292" s="160" t="s">
        <v>257</v>
      </c>
      <c r="E292" s="150" t="str">
        <f>HLOOKUP(Deckblatt!$C$12,Language!$C$1:$D$730,357,FALSE)</f>
        <v xml:space="preserve">Gestaltung von privaten Stellplätzen und Nebenanlagen
</v>
      </c>
      <c r="F292" s="363"/>
      <c r="G292" s="69">
        <v>4</v>
      </c>
      <c r="H292" s="18">
        <v>4</v>
      </c>
      <c r="I292" s="379"/>
      <c r="J292" s="340"/>
      <c r="K292" s="341"/>
      <c r="L292" s="341"/>
      <c r="M292" s="341"/>
      <c r="N292" s="342"/>
      <c r="P292" s="18">
        <f t="shared" si="4"/>
        <v>4</v>
      </c>
      <c r="Q292" s="338"/>
      <c r="R292" s="344"/>
      <c r="S292" s="344"/>
      <c r="T292" s="344"/>
      <c r="U292" s="475"/>
    </row>
    <row r="293" spans="2:21" ht="13.2" customHeight="1" x14ac:dyDescent="0.25">
      <c r="B293" s="375"/>
      <c r="C293" s="390" t="s">
        <v>64</v>
      </c>
      <c r="D293" s="352" t="str">
        <f>HLOOKUP(Deckblatt!$C$12,Language!$C$1:$D$730,358,FALSE)</f>
        <v xml:space="preserve">Impuls / Attraktor </v>
      </c>
      <c r="E293" s="353"/>
      <c r="F293" s="363"/>
      <c r="G293" s="113"/>
      <c r="H293" s="21">
        <v>30</v>
      </c>
      <c r="I293" s="379"/>
      <c r="J293" s="340"/>
      <c r="K293" s="341"/>
      <c r="L293" s="341"/>
      <c r="M293" s="341"/>
      <c r="N293" s="342"/>
      <c r="P293" s="18">
        <f t="shared" si="4"/>
        <v>0</v>
      </c>
      <c r="Q293" s="338"/>
      <c r="R293" s="344"/>
      <c r="S293" s="344"/>
      <c r="T293" s="344"/>
      <c r="U293" s="475"/>
    </row>
    <row r="294" spans="2:21" x14ac:dyDescent="0.25">
      <c r="B294" s="375"/>
      <c r="C294" s="390"/>
      <c r="D294" s="19" t="s">
        <v>66</v>
      </c>
      <c r="E294" s="134" t="str">
        <f>HLOOKUP(Deckblatt!$C$12,Language!$C$1:$D$730,359,FALSE)</f>
        <v>Impuls durch die Nutzung</v>
      </c>
      <c r="F294" s="363"/>
      <c r="G294" s="69">
        <v>15</v>
      </c>
      <c r="H294" s="18">
        <v>15</v>
      </c>
      <c r="I294" s="379"/>
      <c r="J294" s="340"/>
      <c r="K294" s="341"/>
      <c r="L294" s="341"/>
      <c r="M294" s="341"/>
      <c r="N294" s="342"/>
      <c r="P294" s="18">
        <f t="shared" si="4"/>
        <v>15</v>
      </c>
      <c r="Q294" s="338"/>
      <c r="R294" s="344"/>
      <c r="S294" s="344"/>
      <c r="T294" s="344"/>
      <c r="U294" s="475"/>
    </row>
    <row r="295" spans="2:21" x14ac:dyDescent="0.25">
      <c r="B295" s="375"/>
      <c r="C295" s="390"/>
      <c r="D295" s="71" t="s">
        <v>188</v>
      </c>
      <c r="E295" s="134" t="str">
        <f>HLOOKUP(Deckblatt!$C$12,Language!$C$1:$D$730,360,FALSE)</f>
        <v>Impuls durch räumliche und gestalterische Aspekte</v>
      </c>
      <c r="F295" s="363"/>
      <c r="G295" s="69">
        <v>15</v>
      </c>
      <c r="H295" s="18">
        <v>15</v>
      </c>
      <c r="I295" s="379"/>
      <c r="J295" s="340"/>
      <c r="K295" s="341"/>
      <c r="L295" s="341"/>
      <c r="M295" s="341"/>
      <c r="N295" s="342"/>
      <c r="P295" s="18">
        <f t="shared" si="4"/>
        <v>15</v>
      </c>
      <c r="Q295" s="338"/>
      <c r="R295" s="344"/>
      <c r="S295" s="344"/>
      <c r="T295" s="344"/>
      <c r="U295" s="475"/>
    </row>
    <row r="296" spans="2:21" ht="69.75" customHeight="1" x14ac:dyDescent="0.25">
      <c r="B296" s="375"/>
      <c r="C296" s="360"/>
      <c r="D296" s="71" t="s">
        <v>755</v>
      </c>
      <c r="E296"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96" s="363"/>
      <c r="G296" s="69"/>
      <c r="H296" s="18">
        <v>30</v>
      </c>
      <c r="I296" s="379"/>
      <c r="J296" s="340"/>
      <c r="K296" s="341"/>
      <c r="L296" s="341"/>
      <c r="M296" s="341"/>
      <c r="N296" s="342"/>
      <c r="P296" s="18">
        <f t="shared" si="4"/>
        <v>0</v>
      </c>
      <c r="Q296" s="339"/>
      <c r="R296" s="365"/>
      <c r="S296" s="344"/>
      <c r="T296" s="344"/>
      <c r="U296" s="475"/>
    </row>
    <row r="297" spans="2:21" x14ac:dyDescent="0.25">
      <c r="B297" s="55" t="s">
        <v>362</v>
      </c>
      <c r="C297" s="354" t="str">
        <f>HLOOKUP(Deckblatt!$C$12,Language!$C$1:$D$730,362,FALSE)</f>
        <v>Soziale und Funktionale Mischung</v>
      </c>
      <c r="D297" s="354"/>
      <c r="E297" s="355"/>
      <c r="F297" s="66">
        <f>Q297</f>
        <v>84</v>
      </c>
      <c r="G297" s="372"/>
      <c r="H297" s="21">
        <v>100</v>
      </c>
      <c r="I297" s="176">
        <v>4</v>
      </c>
      <c r="J297" s="340"/>
      <c r="K297" s="341"/>
      <c r="L297" s="341"/>
      <c r="M297" s="341"/>
      <c r="N297" s="342"/>
      <c r="P297" s="18">
        <f t="shared" si="4"/>
        <v>0</v>
      </c>
      <c r="Q297" s="337">
        <f>SUM(P299:P300,IF(SUM(P302:P307)&gt;40,40,SUM(P302:P307)),P309,P311:P312)</f>
        <v>84</v>
      </c>
      <c r="R297" s="343">
        <f>Q297/100</f>
        <v>0.84</v>
      </c>
      <c r="S297" s="344"/>
      <c r="T297" s="344"/>
      <c r="U297" s="475"/>
    </row>
    <row r="298" spans="2:21" ht="13.2" customHeight="1" x14ac:dyDescent="0.25">
      <c r="B298" s="375"/>
      <c r="C298" s="351" t="s">
        <v>54</v>
      </c>
      <c r="D298" s="352" t="str">
        <f>HLOOKUP(Deckblatt!$C$12,Language!$C$1:$D$730,363,FALSE)</f>
        <v>Soziale und funktionale Einbindung</v>
      </c>
      <c r="E298" s="353"/>
      <c r="F298" s="363"/>
      <c r="G298" s="374"/>
      <c r="H298" s="21">
        <v>20</v>
      </c>
      <c r="I298" s="379"/>
      <c r="J298" s="340"/>
      <c r="K298" s="341"/>
      <c r="L298" s="341"/>
      <c r="M298" s="341"/>
      <c r="N298" s="342"/>
      <c r="P298" s="18">
        <f t="shared" si="4"/>
        <v>0</v>
      </c>
      <c r="Q298" s="338"/>
      <c r="R298" s="344"/>
      <c r="S298" s="344"/>
      <c r="T298" s="344"/>
      <c r="U298" s="475"/>
    </row>
    <row r="299" spans="2:21" ht="26.4" x14ac:dyDescent="0.25">
      <c r="B299" s="375"/>
      <c r="C299" s="351"/>
      <c r="D299" s="160" t="s">
        <v>58</v>
      </c>
      <c r="E299" s="229" t="str">
        <f>HLOOKUP(Deckblatt!$C$12,Language!$C$1:$D$730,364,FALSE)</f>
        <v xml:space="preserve">Einbindung in den sozialen und funktionalen Kontext
</v>
      </c>
      <c r="F299" s="363"/>
      <c r="G299" s="69">
        <v>15</v>
      </c>
      <c r="H299" s="18">
        <v>15</v>
      </c>
      <c r="I299" s="379"/>
      <c r="J299" s="340"/>
      <c r="K299" s="341"/>
      <c r="L299" s="341"/>
      <c r="M299" s="341"/>
      <c r="N299" s="342"/>
      <c r="P299" s="18">
        <f t="shared" si="4"/>
        <v>15</v>
      </c>
      <c r="Q299" s="338"/>
      <c r="R299" s="344"/>
      <c r="S299" s="344"/>
      <c r="T299" s="344"/>
      <c r="U299" s="475"/>
    </row>
    <row r="300" spans="2:21" ht="39.6" x14ac:dyDescent="0.25">
      <c r="B300" s="375"/>
      <c r="C300" s="351"/>
      <c r="D300" s="160" t="s">
        <v>181</v>
      </c>
      <c r="E300" s="134" t="str">
        <f>HLOOKUP(Deckblatt!$C$12,Language!$C$1:$D$730,365,FALSE)</f>
        <v xml:space="preserve">Einbindung bestehender sozialer Strukturen oder Nutzungen
Schutz, Erhalt von vorher vorhandenen Strukturen. z. B. Kleingärtner
</v>
      </c>
      <c r="F300" s="363"/>
      <c r="G300" s="69"/>
      <c r="H300" s="18">
        <v>5</v>
      </c>
      <c r="I300" s="379"/>
      <c r="J300" s="340"/>
      <c r="K300" s="341"/>
      <c r="L300" s="341"/>
      <c r="M300" s="341"/>
      <c r="N300" s="342"/>
      <c r="P300" s="18">
        <f t="shared" si="4"/>
        <v>0</v>
      </c>
      <c r="Q300" s="338"/>
      <c r="R300" s="344"/>
      <c r="S300" s="344"/>
      <c r="T300" s="344"/>
      <c r="U300" s="475"/>
    </row>
    <row r="301" spans="2:21" ht="13.2" customHeight="1" x14ac:dyDescent="0.25">
      <c r="B301" s="375"/>
      <c r="C301" s="351" t="s">
        <v>61</v>
      </c>
      <c r="D301" s="352" t="str">
        <f>HLOOKUP(Deckblatt!$C$12,Language!$C$1:$D$730,366,FALSE)</f>
        <v>Qualifizierung der sozialen Mischung</v>
      </c>
      <c r="E301" s="353"/>
      <c r="F301" s="363"/>
      <c r="G301" s="113"/>
      <c r="H301" s="21">
        <v>40</v>
      </c>
      <c r="I301" s="379"/>
      <c r="J301" s="340"/>
      <c r="K301" s="341"/>
      <c r="L301" s="341"/>
      <c r="M301" s="341"/>
      <c r="N301" s="342"/>
      <c r="P301" s="18">
        <f t="shared" si="4"/>
        <v>0</v>
      </c>
      <c r="Q301" s="338"/>
      <c r="R301" s="344"/>
      <c r="S301" s="344"/>
      <c r="T301" s="344"/>
      <c r="U301" s="475"/>
    </row>
    <row r="302" spans="2:21" ht="26.4" x14ac:dyDescent="0.25">
      <c r="B302" s="375"/>
      <c r="C302" s="351"/>
      <c r="D302" s="160" t="s">
        <v>63</v>
      </c>
      <c r="E302" s="229" t="str">
        <f>HLOOKUP(Deckblatt!$C$12,Language!$C$1:$D$730,367,FALSE)</f>
        <v xml:space="preserve">Demographische Mischung
</v>
      </c>
      <c r="F302" s="363"/>
      <c r="G302" s="69">
        <v>8</v>
      </c>
      <c r="H302" s="18">
        <v>8</v>
      </c>
      <c r="I302" s="379"/>
      <c r="J302" s="340"/>
      <c r="K302" s="341"/>
      <c r="L302" s="341"/>
      <c r="M302" s="341"/>
      <c r="N302" s="342"/>
      <c r="P302" s="18">
        <f t="shared" si="4"/>
        <v>8</v>
      </c>
      <c r="Q302" s="338"/>
      <c r="R302" s="344"/>
      <c r="S302" s="344"/>
      <c r="T302" s="344"/>
      <c r="U302" s="475"/>
    </row>
    <row r="303" spans="2:21" ht="26.4" x14ac:dyDescent="0.25">
      <c r="B303" s="375"/>
      <c r="C303" s="351"/>
      <c r="D303" s="160" t="s">
        <v>186</v>
      </c>
      <c r="E303" s="229" t="str">
        <f>HLOOKUP(Deckblatt!$C$12,Language!$C$1:$D$730,368,FALSE)</f>
        <v xml:space="preserve">Eigentumsformen
</v>
      </c>
      <c r="F303" s="363"/>
      <c r="G303" s="69">
        <v>4</v>
      </c>
      <c r="H303" s="18">
        <v>4</v>
      </c>
      <c r="I303" s="379"/>
      <c r="J303" s="340"/>
      <c r="K303" s="341"/>
      <c r="L303" s="341"/>
      <c r="M303" s="341"/>
      <c r="N303" s="342"/>
      <c r="P303" s="18">
        <f t="shared" si="4"/>
        <v>4</v>
      </c>
      <c r="Q303" s="338"/>
      <c r="R303" s="344"/>
      <c r="S303" s="344"/>
      <c r="T303" s="344"/>
      <c r="U303" s="475"/>
    </row>
    <row r="304" spans="2:21" x14ac:dyDescent="0.25">
      <c r="B304" s="375"/>
      <c r="C304" s="351"/>
      <c r="D304" s="160" t="s">
        <v>255</v>
      </c>
      <c r="E304" s="229" t="str">
        <f>HLOOKUP(Deckblatt!$C$12,Language!$C$1:$D$730,369,FALSE)</f>
        <v>Grundstücksangebot</v>
      </c>
      <c r="F304" s="363"/>
      <c r="G304" s="69">
        <v>4</v>
      </c>
      <c r="H304" s="18">
        <v>4</v>
      </c>
      <c r="I304" s="379"/>
      <c r="J304" s="340"/>
      <c r="K304" s="341"/>
      <c r="L304" s="341"/>
      <c r="M304" s="341"/>
      <c r="N304" s="342"/>
      <c r="P304" s="18">
        <f t="shared" si="4"/>
        <v>4</v>
      </c>
      <c r="Q304" s="338"/>
      <c r="R304" s="344"/>
      <c r="S304" s="344"/>
      <c r="T304" s="344"/>
      <c r="U304" s="475"/>
    </row>
    <row r="305" spans="2:21" ht="26.4" x14ac:dyDescent="0.25">
      <c r="B305" s="375"/>
      <c r="C305" s="351"/>
      <c r="D305" s="160" t="s">
        <v>256</v>
      </c>
      <c r="E305" s="229" t="str">
        <f>HLOOKUP(Deckblatt!$C$12,Language!$C$1:$D$730,370,FALSE)</f>
        <v xml:space="preserve">Differenzierte Bautypen/Formen von Arbeitsstätten
</v>
      </c>
      <c r="F305" s="363"/>
      <c r="G305" s="69">
        <v>6</v>
      </c>
      <c r="H305" s="18">
        <v>8</v>
      </c>
      <c r="I305" s="379"/>
      <c r="J305" s="340"/>
      <c r="K305" s="341"/>
      <c r="L305" s="341"/>
      <c r="M305" s="341"/>
      <c r="N305" s="342"/>
      <c r="P305" s="18">
        <f t="shared" si="4"/>
        <v>6</v>
      </c>
      <c r="Q305" s="338"/>
      <c r="R305" s="344"/>
      <c r="S305" s="344"/>
      <c r="T305" s="344"/>
      <c r="U305" s="475"/>
    </row>
    <row r="306" spans="2:21" ht="26.4" x14ac:dyDescent="0.25">
      <c r="B306" s="375"/>
      <c r="C306" s="351"/>
      <c r="D306" s="160" t="s">
        <v>257</v>
      </c>
      <c r="E306" s="229" t="str">
        <f>HLOOKUP(Deckblatt!$C$12,Language!$C$1:$D$730,371,FALSE)</f>
        <v xml:space="preserve">Belebte Erdgeschosszone
</v>
      </c>
      <c r="F306" s="363"/>
      <c r="G306" s="69">
        <v>13</v>
      </c>
      <c r="H306" s="18">
        <v>13</v>
      </c>
      <c r="I306" s="379"/>
      <c r="J306" s="340"/>
      <c r="K306" s="341"/>
      <c r="L306" s="341"/>
      <c r="M306" s="341"/>
      <c r="N306" s="342"/>
      <c r="P306" s="18">
        <f t="shared" si="4"/>
        <v>13</v>
      </c>
      <c r="Q306" s="338"/>
      <c r="R306" s="344"/>
      <c r="S306" s="344"/>
      <c r="T306" s="344"/>
      <c r="U306" s="475"/>
    </row>
    <row r="307" spans="2:21" ht="74.400000000000006" customHeight="1" x14ac:dyDescent="0.25">
      <c r="B307" s="375"/>
      <c r="C307" s="351"/>
      <c r="D307" s="160" t="s">
        <v>258</v>
      </c>
      <c r="E307" s="134" t="str">
        <f>HLOOKUP(Deckblatt!$C$12,Language!$C$1:$D$730,372,FALSE)</f>
        <v xml:space="preserve">Wohnformen
- Gibt es Programme, Initiativen oder Förderungen, die innovative Wohnformen im Quartier ermöglichen (Baugruppen, Generationenhäuser, geförderter Wohnungsbau)?
- Pro Programm, Förderung oder Initiative können 4 PUNKTE vergeben werden. </v>
      </c>
      <c r="F307" s="363"/>
      <c r="G307" s="69">
        <v>4</v>
      </c>
      <c r="H307" s="18">
        <v>8</v>
      </c>
      <c r="I307" s="379"/>
      <c r="J307" s="340"/>
      <c r="K307" s="341"/>
      <c r="L307" s="341"/>
      <c r="M307" s="341"/>
      <c r="N307" s="342"/>
      <c r="P307" s="18">
        <f t="shared" si="4"/>
        <v>4</v>
      </c>
      <c r="Q307" s="338"/>
      <c r="R307" s="344"/>
      <c r="S307" s="344"/>
      <c r="T307" s="344"/>
      <c r="U307" s="475"/>
    </row>
    <row r="308" spans="2:21" ht="13.2" customHeight="1" x14ac:dyDescent="0.25">
      <c r="B308" s="375"/>
      <c r="C308" s="351" t="s">
        <v>64</v>
      </c>
      <c r="D308" s="352" t="str">
        <f>HLOOKUP(Deckblatt!$C$12,Language!$C$1:$D$730,375,FALSE)</f>
        <v>Nutzungsanteil</v>
      </c>
      <c r="E308" s="353"/>
      <c r="F308" s="363"/>
      <c r="G308" s="113"/>
      <c r="H308" s="21">
        <v>40</v>
      </c>
      <c r="I308" s="379"/>
      <c r="J308" s="340"/>
      <c r="K308" s="341"/>
      <c r="L308" s="341"/>
      <c r="M308" s="341"/>
      <c r="N308" s="342"/>
      <c r="P308" s="18">
        <f t="shared" si="4"/>
        <v>0</v>
      </c>
      <c r="Q308" s="338"/>
      <c r="R308" s="344"/>
      <c r="S308" s="344"/>
      <c r="T308" s="344"/>
      <c r="U308" s="475"/>
    </row>
    <row r="309" spans="2:21" ht="132" x14ac:dyDescent="0.25">
      <c r="B309" s="375"/>
      <c r="C309" s="351"/>
      <c r="D309" s="160" t="s">
        <v>66</v>
      </c>
      <c r="E309" s="134" t="str">
        <f>HLOOKUP(Deckblatt!$C$12,Language!$C$1:$D$730,376,FALSE)</f>
        <v xml:space="preserve">Nutzungsanteil Stadtquartiere 
Der prozentuale Anteil der Wohnnutzung (BGFW) im Verhältnis zur Gesamt-BGFDGNB im Quartier beträgt:
-   0,0 – 20,0 % =   0 Punkte
- 20,1 – 30,0 % = 10 Punkte
- 30,1 – 50,0 % = 15 Punkte
- 50,1 – 70,0 % = 20 Punkte
- 70,1 – 80,0 % = 15 Punkte
- davon Anteil sozialer Wohnungsbau ≥ 20%  = 5 Punkte
</v>
      </c>
      <c r="F309" s="363"/>
      <c r="G309" s="69">
        <v>15</v>
      </c>
      <c r="H309" s="18">
        <v>25</v>
      </c>
      <c r="I309" s="379"/>
      <c r="J309" s="340"/>
      <c r="K309" s="341"/>
      <c r="L309" s="341"/>
      <c r="M309" s="341"/>
      <c r="N309" s="342"/>
      <c r="P309" s="18">
        <f t="shared" si="4"/>
        <v>15</v>
      </c>
      <c r="Q309" s="338"/>
      <c r="R309" s="344"/>
      <c r="S309" s="344"/>
      <c r="T309" s="344"/>
      <c r="U309" s="475"/>
    </row>
    <row r="310" spans="2:21" ht="26.4" x14ac:dyDescent="0.25">
      <c r="B310" s="375"/>
      <c r="C310" s="351"/>
      <c r="D310" s="376" t="s">
        <v>188</v>
      </c>
      <c r="E310" s="229" t="str">
        <f>HLOOKUP(Deckblatt!$C$12,Language!$C$1:$D$730,377,FALSE)</f>
        <v xml:space="preserve">Stärkung der lokalen Ökonomie
</v>
      </c>
      <c r="F310" s="363"/>
      <c r="G310" s="113"/>
      <c r="H310" s="21">
        <v>15</v>
      </c>
      <c r="I310" s="379"/>
      <c r="J310" s="340"/>
      <c r="K310" s="341"/>
      <c r="L310" s="341"/>
      <c r="M310" s="341"/>
      <c r="N310" s="342"/>
      <c r="P310" s="18">
        <f t="shared" si="4"/>
        <v>0</v>
      </c>
      <c r="Q310" s="338"/>
      <c r="R310" s="344"/>
      <c r="S310" s="344"/>
      <c r="T310" s="344"/>
      <c r="U310" s="475"/>
    </row>
    <row r="311" spans="2:21" ht="39.6" x14ac:dyDescent="0.25">
      <c r="B311" s="375"/>
      <c r="C311" s="351"/>
      <c r="D311" s="376"/>
      <c r="E311" s="134" t="str">
        <f>HLOOKUP(Deckblatt!$C$12,Language!$C$1:$D$730,378,FALSE)</f>
        <v xml:space="preserve">Es gibt ein übergreifendes Konzept, die lokale Ökonomie zu stärken – sowohl im Projektgebiet als auch im Umfeld.
</v>
      </c>
      <c r="F311" s="363"/>
      <c r="G311" s="69">
        <v>5</v>
      </c>
      <c r="H311" s="18">
        <v>5</v>
      </c>
      <c r="I311" s="379"/>
      <c r="J311" s="340"/>
      <c r="K311" s="341"/>
      <c r="L311" s="341"/>
      <c r="M311" s="341"/>
      <c r="N311" s="342"/>
      <c r="P311" s="18">
        <f t="shared" si="4"/>
        <v>5</v>
      </c>
      <c r="Q311" s="338"/>
      <c r="R311" s="344"/>
      <c r="S311" s="344"/>
      <c r="T311" s="344"/>
      <c r="U311" s="475"/>
    </row>
    <row r="312" spans="2:21" ht="26.4" x14ac:dyDescent="0.25">
      <c r="B312" s="375"/>
      <c r="C312" s="351"/>
      <c r="D312" s="376"/>
      <c r="E312" s="134" t="str">
        <f>HLOOKUP(Deckblatt!$C$12,Language!$C$1:$D$730,379,FALSE)</f>
        <v xml:space="preserve">Maßnahmen aus dem Konzept wurden umgesetzt.
</v>
      </c>
      <c r="F312" s="363"/>
      <c r="G312" s="69">
        <v>10</v>
      </c>
      <c r="H312" s="18">
        <v>10</v>
      </c>
      <c r="I312" s="379"/>
      <c r="J312" s="340"/>
      <c r="K312" s="341"/>
      <c r="L312" s="341"/>
      <c r="M312" s="341"/>
      <c r="N312" s="342"/>
      <c r="P312" s="18">
        <f t="shared" si="4"/>
        <v>10</v>
      </c>
      <c r="Q312" s="339"/>
      <c r="R312" s="365"/>
      <c r="S312" s="344"/>
      <c r="T312" s="344"/>
      <c r="U312" s="475"/>
    </row>
    <row r="313" spans="2:21" x14ac:dyDescent="0.25">
      <c r="B313" s="55" t="s">
        <v>372</v>
      </c>
      <c r="C313" s="354" t="str">
        <f>HLOOKUP(Deckblatt!$C$12,Language!$C$1:$D$730,380,FALSE)</f>
        <v>Soziale und Erwerbswirtschaftliche Infrastruktur</v>
      </c>
      <c r="D313" s="354"/>
      <c r="E313" s="355"/>
      <c r="F313" s="66">
        <f>Q313</f>
        <v>105</v>
      </c>
      <c r="G313" s="372"/>
      <c r="H313" s="21">
        <v>110</v>
      </c>
      <c r="I313" s="176">
        <v>3</v>
      </c>
      <c r="J313" s="340"/>
      <c r="K313" s="341"/>
      <c r="L313" s="341"/>
      <c r="M313" s="341"/>
      <c r="N313" s="342"/>
      <c r="P313" s="18">
        <f t="shared" si="4"/>
        <v>0</v>
      </c>
      <c r="Q313" s="337">
        <f>SUM(SUM(P315:P319),IF(SUM(P321:P328)&gt;50,50,SUM(P321:P328)),P330)</f>
        <v>105</v>
      </c>
      <c r="R313" s="343">
        <f>Q313/100</f>
        <v>1.05</v>
      </c>
      <c r="S313" s="344"/>
      <c r="T313" s="344"/>
      <c r="U313" s="475"/>
    </row>
    <row r="314" spans="2:21" ht="13.2" customHeight="1" x14ac:dyDescent="0.25">
      <c r="B314" s="370"/>
      <c r="C314" s="360" t="s">
        <v>54</v>
      </c>
      <c r="D314" s="352" t="str">
        <f>HLOOKUP(Deckblatt!$C$12,Language!$C$1:$D$730,381,FALSE)</f>
        <v>Soziale Infrastruktur</v>
      </c>
      <c r="E314" s="353"/>
      <c r="F314" s="393"/>
      <c r="G314" s="374"/>
      <c r="H314" s="21">
        <v>50</v>
      </c>
      <c r="I314" s="379"/>
      <c r="J314" s="340"/>
      <c r="K314" s="341"/>
      <c r="L314" s="341"/>
      <c r="M314" s="341"/>
      <c r="N314" s="342"/>
      <c r="P314" s="18">
        <f t="shared" si="4"/>
        <v>0</v>
      </c>
      <c r="Q314" s="338"/>
      <c r="R314" s="344"/>
      <c r="S314" s="344"/>
      <c r="T314" s="344"/>
      <c r="U314" s="475"/>
    </row>
    <row r="315" spans="2:21" ht="49.2" customHeight="1" x14ac:dyDescent="0.25">
      <c r="B315" s="375"/>
      <c r="C315" s="351"/>
      <c r="D315" s="71" t="s">
        <v>58</v>
      </c>
      <c r="E315" s="134" t="str">
        <f>HLOOKUP(Deckblatt!$C$12,Language!$C$1:$D$730,382,FALSE)</f>
        <v>Bildung 1: Kinderbetreuung und Grundschule</v>
      </c>
      <c r="F315" s="393"/>
      <c r="G315" s="69">
        <v>15</v>
      </c>
      <c r="H315" s="18">
        <v>15</v>
      </c>
      <c r="I315" s="379"/>
      <c r="J315" s="340"/>
      <c r="K315" s="341"/>
      <c r="L315" s="341"/>
      <c r="M315" s="341"/>
      <c r="N315" s="342"/>
      <c r="P315" s="18">
        <f t="shared" si="4"/>
        <v>15</v>
      </c>
      <c r="Q315" s="338"/>
      <c r="R315" s="344"/>
      <c r="S315" s="344"/>
      <c r="T315" s="344"/>
      <c r="U315" s="475"/>
    </row>
    <row r="316" spans="2:21" ht="39.6" x14ac:dyDescent="0.25">
      <c r="B316" s="375"/>
      <c r="C316" s="351"/>
      <c r="D316" s="71" t="s">
        <v>181</v>
      </c>
      <c r="E316" s="134" t="str">
        <f>HLOOKUP(Deckblatt!$C$12,Language!$C$1:$D$730,383,FALSE)</f>
        <v xml:space="preserve">Bildung 2: Weiterführende oder Berufsbildende Schule (Max. Geh-/Fahrzeit mit ÖPNV 15 Min, Max. Entfernung Luftlinie 1300 m)
</v>
      </c>
      <c r="F316" s="393"/>
      <c r="G316" s="69">
        <v>5</v>
      </c>
      <c r="H316" s="18">
        <v>5</v>
      </c>
      <c r="I316" s="379"/>
      <c r="J316" s="340"/>
      <c r="K316" s="341"/>
      <c r="L316" s="341"/>
      <c r="M316" s="341"/>
      <c r="N316" s="342"/>
      <c r="P316" s="18">
        <f t="shared" si="4"/>
        <v>5</v>
      </c>
      <c r="Q316" s="338"/>
      <c r="R316" s="344"/>
      <c r="S316" s="344"/>
      <c r="T316" s="344"/>
      <c r="U316" s="475"/>
    </row>
    <row r="317" spans="2:21" ht="39.6" x14ac:dyDescent="0.25">
      <c r="B317" s="375"/>
      <c r="C317" s="351"/>
      <c r="D317" s="71" t="s">
        <v>246</v>
      </c>
      <c r="E317" s="134" t="str">
        <f>HLOOKUP(Deckblatt!$C$12,Language!$C$1:$D$730,384,FALSE)</f>
        <v xml:space="preserve">Freizeit: Kunst und Kultur (Kino, Theater, Galerien, (Werks-)Museen), Bücherei, Quartierszentrum, Bürgerhaus, Jugendraum, Seniorentreff etc. 
</v>
      </c>
      <c r="F317" s="393"/>
      <c r="G317" s="69">
        <v>10</v>
      </c>
      <c r="H317" s="18">
        <v>15</v>
      </c>
      <c r="I317" s="379"/>
      <c r="J317" s="340"/>
      <c r="K317" s="341"/>
      <c r="L317" s="341"/>
      <c r="M317" s="341"/>
      <c r="N317" s="342"/>
      <c r="P317" s="18">
        <f t="shared" si="4"/>
        <v>10</v>
      </c>
      <c r="Q317" s="338"/>
      <c r="R317" s="344"/>
      <c r="S317" s="344"/>
      <c r="T317" s="344"/>
      <c r="U317" s="475"/>
    </row>
    <row r="318" spans="2:21" ht="26.4" x14ac:dyDescent="0.25">
      <c r="B318" s="375"/>
      <c r="C318" s="351"/>
      <c r="D318" s="71" t="s">
        <v>250</v>
      </c>
      <c r="E318" s="134" t="str">
        <f>HLOOKUP(Deckblatt!$C$12,Language!$C$1:$D$730,385,FALSE)</f>
        <v xml:space="preserve">Spielplätze (Max. Entfernung Luftlinie 350 m)
</v>
      </c>
      <c r="F318" s="393"/>
      <c r="G318" s="69">
        <v>10</v>
      </c>
      <c r="H318" s="18">
        <v>10</v>
      </c>
      <c r="I318" s="379"/>
      <c r="J318" s="340"/>
      <c r="K318" s="341"/>
      <c r="L318" s="341"/>
      <c r="M318" s="341"/>
      <c r="N318" s="342"/>
      <c r="P318" s="18">
        <f t="shared" si="4"/>
        <v>10</v>
      </c>
      <c r="Q318" s="338"/>
      <c r="R318" s="344"/>
      <c r="S318" s="344"/>
      <c r="T318" s="344"/>
      <c r="U318" s="475"/>
    </row>
    <row r="319" spans="2:21" ht="39.6" x14ac:dyDescent="0.25">
      <c r="B319" s="375"/>
      <c r="C319" s="351"/>
      <c r="D319" s="71" t="s">
        <v>121</v>
      </c>
      <c r="E319" s="134" t="str">
        <f>HLOOKUP(Deckblatt!$C$12,Language!$C$1:$D$730,386,FALSE)</f>
        <v xml:space="preserve">Sportstätten: Turn- und Sporthalle, Sportfreigelände/Sportplatz mit Leichtathletik, Hallen- oder Freibad, etc. 
</v>
      </c>
      <c r="F319" s="393"/>
      <c r="G319" s="69">
        <v>5</v>
      </c>
      <c r="H319" s="18">
        <v>5</v>
      </c>
      <c r="I319" s="379"/>
      <c r="J319" s="340"/>
      <c r="K319" s="341"/>
      <c r="L319" s="341"/>
      <c r="M319" s="341"/>
      <c r="N319" s="342"/>
      <c r="P319" s="18">
        <f t="shared" si="4"/>
        <v>5</v>
      </c>
      <c r="Q319" s="338"/>
      <c r="R319" s="344"/>
      <c r="S319" s="344"/>
      <c r="T319" s="344"/>
      <c r="U319" s="475"/>
    </row>
    <row r="320" spans="2:21" ht="13.2" customHeight="1" x14ac:dyDescent="0.25">
      <c r="B320" s="375"/>
      <c r="C320" s="359" t="s">
        <v>61</v>
      </c>
      <c r="D320" s="352" t="str">
        <f>HLOOKUP(Deckblatt!$C$12,Language!$C$1:$D$730,387,FALSE)</f>
        <v>Erwerbswirtschaftliche Infrastruktur</v>
      </c>
      <c r="E320" s="353"/>
      <c r="F320" s="393"/>
      <c r="G320" s="113"/>
      <c r="H320" s="21">
        <v>50</v>
      </c>
      <c r="I320" s="379"/>
      <c r="J320" s="340"/>
      <c r="K320" s="341"/>
      <c r="L320" s="341"/>
      <c r="M320" s="341"/>
      <c r="N320" s="342"/>
      <c r="P320" s="18">
        <f t="shared" si="4"/>
        <v>0</v>
      </c>
      <c r="Q320" s="338"/>
      <c r="R320" s="344"/>
      <c r="S320" s="344"/>
      <c r="T320" s="344"/>
      <c r="U320" s="475"/>
    </row>
    <row r="321" spans="2:22" ht="39.6" x14ac:dyDescent="0.25">
      <c r="B321" s="375"/>
      <c r="C321" s="390"/>
      <c r="D321" s="71" t="s">
        <v>63</v>
      </c>
      <c r="E321" s="134" t="str">
        <f>HLOOKUP(Deckblatt!$C$12,Language!$C$1:$D$730,388,FALSE)</f>
        <v xml:space="preserve">Es gibt ein Handels-/Zentrenkonzept in welches das Quartier/der Standort eingebunden ist
</v>
      </c>
      <c r="F321" s="393"/>
      <c r="G321" s="69">
        <v>10</v>
      </c>
      <c r="H321" s="18">
        <v>10</v>
      </c>
      <c r="I321" s="379"/>
      <c r="J321" s="340"/>
      <c r="K321" s="341"/>
      <c r="L321" s="341"/>
      <c r="M321" s="341"/>
      <c r="N321" s="342"/>
      <c r="P321" s="18">
        <f t="shared" si="4"/>
        <v>10</v>
      </c>
      <c r="Q321" s="338"/>
      <c r="R321" s="344"/>
      <c r="S321" s="344"/>
      <c r="T321" s="344"/>
      <c r="U321" s="475"/>
    </row>
    <row r="322" spans="2:22" ht="26.4" x14ac:dyDescent="0.25">
      <c r="B322" s="375"/>
      <c r="C322" s="390"/>
      <c r="D322" s="71" t="s">
        <v>186</v>
      </c>
      <c r="E322" s="134" t="str">
        <f>HLOOKUP(Deckblatt!$C$12,Language!$C$1:$D$730,389,FALSE)</f>
        <v>Nahversorgung 1: Angebot von Gütern des täglichen Bedarfs ist vor Ort vorhanden (ausgenommen Bestellungen von E-Commerce Plattformen).</v>
      </c>
      <c r="F322" s="393"/>
      <c r="G322" s="69">
        <v>15</v>
      </c>
      <c r="H322" s="18">
        <v>15</v>
      </c>
      <c r="I322" s="379"/>
      <c r="J322" s="340"/>
      <c r="K322" s="341"/>
      <c r="L322" s="341"/>
      <c r="M322" s="341"/>
      <c r="N322" s="342"/>
      <c r="P322" s="18">
        <f t="shared" si="4"/>
        <v>15</v>
      </c>
      <c r="Q322" s="338"/>
      <c r="R322" s="344"/>
      <c r="S322" s="344"/>
      <c r="T322" s="344"/>
      <c r="U322" s="475"/>
    </row>
    <row r="323" spans="2:22" ht="39.6" x14ac:dyDescent="0.25">
      <c r="B323" s="375"/>
      <c r="C323" s="390"/>
      <c r="D323" s="71" t="s">
        <v>255</v>
      </c>
      <c r="E323" s="134" t="str">
        <f>HLOOKUP(Deckblatt!$C$12,Language!$C$1:$D$730,390,FALSE)</f>
        <v xml:space="preserve">Nahversorgung 2: Kleinteiliger Einzelhandel (Bäckerei, Metzgerei, Drogerie etc.) (Max. Geh-/Fahrzeit mit ÖPNV 10 Min), (Max. Entfernung Luftlinie 700 m)
</v>
      </c>
      <c r="F323" s="393"/>
      <c r="G323" s="69">
        <v>5</v>
      </c>
      <c r="H323" s="18">
        <v>5</v>
      </c>
      <c r="I323" s="379"/>
      <c r="J323" s="340"/>
      <c r="K323" s="341"/>
      <c r="L323" s="341"/>
      <c r="M323" s="341"/>
      <c r="N323" s="342"/>
      <c r="P323" s="18">
        <f t="shared" si="4"/>
        <v>5</v>
      </c>
      <c r="Q323" s="338"/>
      <c r="R323" s="344"/>
      <c r="S323" s="344"/>
      <c r="T323" s="344"/>
      <c r="U323" s="475"/>
    </row>
    <row r="324" spans="2:22" ht="39.6" x14ac:dyDescent="0.25">
      <c r="B324" s="375"/>
      <c r="C324" s="390"/>
      <c r="D324" s="71" t="s">
        <v>256</v>
      </c>
      <c r="E324" s="134" t="str">
        <f>HLOOKUP(Deckblatt!$C$12,Language!$C$1:$D$730,391,FALSE)</f>
        <v xml:space="preserve">Nahversorgung 3: Wochenmarkt (Max. Geh-/Fahrzeit mit ÖPNV 10 Min), (Max. Entfernung Luftlinie 700 m)
</v>
      </c>
      <c r="F324" s="393"/>
      <c r="G324" s="69"/>
      <c r="H324" s="18">
        <v>5</v>
      </c>
      <c r="I324" s="379"/>
      <c r="J324" s="340"/>
      <c r="K324" s="341"/>
      <c r="L324" s="341"/>
      <c r="M324" s="341"/>
      <c r="N324" s="342"/>
      <c r="P324" s="18">
        <f t="shared" si="4"/>
        <v>0</v>
      </c>
      <c r="Q324" s="338"/>
      <c r="R324" s="344"/>
      <c r="S324" s="344"/>
      <c r="T324" s="344"/>
      <c r="U324" s="475"/>
    </row>
    <row r="325" spans="2:22" ht="26.4" x14ac:dyDescent="0.25">
      <c r="B325" s="375"/>
      <c r="C325" s="390"/>
      <c r="D325" s="71" t="s">
        <v>257</v>
      </c>
      <c r="E325" s="134" t="str">
        <f>HLOOKUP(Deckblatt!$C$12,Language!$C$1:$D$730,392,FALSE)</f>
        <v xml:space="preserve">Gastronomie: Restaurant, Café, Bäckerei, Kantine, Mensa, etc. 
</v>
      </c>
      <c r="F325" s="393"/>
      <c r="G325" s="69">
        <v>5</v>
      </c>
      <c r="H325" s="18">
        <v>5</v>
      </c>
      <c r="I325" s="379"/>
      <c r="J325" s="340"/>
      <c r="K325" s="341"/>
      <c r="L325" s="341"/>
      <c r="M325" s="341"/>
      <c r="N325" s="342"/>
      <c r="P325" s="18">
        <f t="shared" si="4"/>
        <v>5</v>
      </c>
      <c r="Q325" s="338"/>
      <c r="R325" s="344"/>
      <c r="S325" s="344"/>
      <c r="T325" s="344"/>
      <c r="U325" s="475"/>
    </row>
    <row r="326" spans="2:22" ht="52.8" x14ac:dyDescent="0.25">
      <c r="B326" s="375"/>
      <c r="C326" s="390"/>
      <c r="D326" s="71" t="s">
        <v>258</v>
      </c>
      <c r="E326" s="134" t="str">
        <f>HLOOKUP(Deckblatt!$C$12,Language!$C$1:$D$730,393,FALSE)</f>
        <v xml:space="preserve">Sonstige Dienstleistungen: Bank, Post, (dienstleisterunabhängige) Paketstation, Friseur, Wellness etc. 
</v>
      </c>
      <c r="F326" s="393"/>
      <c r="G326" s="69">
        <v>5</v>
      </c>
      <c r="H326" s="18">
        <v>5</v>
      </c>
      <c r="I326" s="379"/>
      <c r="J326" s="340"/>
      <c r="K326" s="341"/>
      <c r="L326" s="341"/>
      <c r="M326" s="341"/>
      <c r="N326" s="342"/>
      <c r="P326" s="18">
        <f t="shared" si="4"/>
        <v>5</v>
      </c>
      <c r="Q326" s="338"/>
      <c r="R326" s="344"/>
      <c r="S326" s="344"/>
      <c r="T326" s="344"/>
      <c r="U326" s="475"/>
    </row>
    <row r="327" spans="2:22" ht="66" x14ac:dyDescent="0.25">
      <c r="B327" s="345"/>
      <c r="C327" s="390"/>
      <c r="D327" s="71" t="s">
        <v>259</v>
      </c>
      <c r="E327" s="134" t="str">
        <f>HLOOKUP(Deckblatt!$C$12,Language!$C$1:$D$730,394,FALSE)</f>
        <v xml:space="preserve">Medizinische Versorgung 1: Allgemeinmediziner, Apotheke, (Max. Geh-/Fahrzeit mit ÖPNV 10 Min.)
- Allgemeinmediziner (7 Punkte)
- Apotheke (3 Punkte)
</v>
      </c>
      <c r="F327" s="357"/>
      <c r="G327" s="69">
        <v>10</v>
      </c>
      <c r="H327" s="74">
        <v>10</v>
      </c>
      <c r="I327" s="349"/>
      <c r="J327" s="340"/>
      <c r="K327" s="341"/>
      <c r="L327" s="341"/>
      <c r="M327" s="341"/>
      <c r="N327" s="342"/>
      <c r="P327" s="18">
        <f t="shared" si="4"/>
        <v>10</v>
      </c>
      <c r="Q327" s="338"/>
      <c r="R327" s="344"/>
      <c r="S327" s="344"/>
      <c r="T327" s="344"/>
      <c r="U327" s="475"/>
    </row>
    <row r="328" spans="2:22" ht="39.6" x14ac:dyDescent="0.25">
      <c r="B328" s="345"/>
      <c r="C328" s="360"/>
      <c r="D328" s="71" t="s">
        <v>366</v>
      </c>
      <c r="E328" s="134" t="str">
        <f>HLOOKUP(Deckblatt!$C$12,Language!$C$1:$D$730,395,FALSE)</f>
        <v xml:space="preserve">Medizinische Versorgung 2: Facharzt, Krankenhaus, etc. (Max. Geh-/Fahrzeit mit ÖPNV 30 Min.)
</v>
      </c>
      <c r="F328" s="357"/>
      <c r="G328" s="69">
        <v>5</v>
      </c>
      <c r="H328" s="74">
        <v>5</v>
      </c>
      <c r="I328" s="349"/>
      <c r="J328" s="340"/>
      <c r="K328" s="341"/>
      <c r="L328" s="341"/>
      <c r="M328" s="341"/>
      <c r="N328" s="342"/>
      <c r="P328" s="18">
        <f t="shared" si="4"/>
        <v>5</v>
      </c>
      <c r="Q328" s="338"/>
      <c r="R328" s="344"/>
      <c r="S328" s="344"/>
      <c r="T328" s="344"/>
      <c r="U328" s="475"/>
    </row>
    <row r="329" spans="2:22" s="76" customFormat="1" ht="27" customHeight="1" x14ac:dyDescent="0.25">
      <c r="B329" s="345"/>
      <c r="C329" s="369" t="s">
        <v>67</v>
      </c>
      <c r="D329" s="400" t="str">
        <f>HLOOKUP(Deckblatt!$C$12,Language!$C$1:$D$730,398,FALSE)</f>
        <v>CIRCULAR ECONOMY BONUS – ANGEBOTE FÜR DIE TÄGLICHE VERSORGUNG UND ZUM AUSTAUSCH</v>
      </c>
      <c r="E329" s="401"/>
      <c r="F329" s="357"/>
      <c r="G329" s="113"/>
      <c r="H329" s="75">
        <v>10</v>
      </c>
      <c r="I329" s="349"/>
      <c r="J329" s="340"/>
      <c r="K329" s="341"/>
      <c r="L329" s="341"/>
      <c r="M329" s="341"/>
      <c r="N329" s="342"/>
      <c r="P329" s="18">
        <f t="shared" si="4"/>
        <v>0</v>
      </c>
      <c r="Q329" s="338"/>
      <c r="R329" s="344"/>
      <c r="S329" s="344"/>
      <c r="T329" s="344"/>
      <c r="U329" s="475"/>
      <c r="V329" s="183"/>
    </row>
    <row r="330" spans="2:22" ht="79.8" thickBot="1" x14ac:dyDescent="0.3">
      <c r="B330" s="377"/>
      <c r="C330" s="486"/>
      <c r="D330" s="121" t="s">
        <v>69</v>
      </c>
      <c r="E330"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30" s="394"/>
      <c r="G330" s="70">
        <v>10</v>
      </c>
      <c r="H330" s="59">
        <v>10</v>
      </c>
      <c r="I330" s="380"/>
      <c r="J330" s="340" t="s">
        <v>1851</v>
      </c>
      <c r="K330" s="341"/>
      <c r="L330" s="341"/>
      <c r="M330" s="341"/>
      <c r="N330" s="342"/>
      <c r="P330" s="18">
        <f t="shared" si="4"/>
        <v>10</v>
      </c>
      <c r="Q330" s="339"/>
      <c r="R330" s="365"/>
      <c r="S330" s="365"/>
      <c r="T330" s="365"/>
      <c r="U330" s="475"/>
    </row>
    <row r="331" spans="2:22" x14ac:dyDescent="0.25">
      <c r="B331" s="49" t="s">
        <v>378</v>
      </c>
      <c r="C331" s="395" t="str">
        <f>HLOOKUP(Deckblatt!$C$12,Language!$C$1:$D$730,400,FALSE)</f>
        <v>Energieinfrastruktur</v>
      </c>
      <c r="D331" s="396"/>
      <c r="E331" s="397"/>
      <c r="F331" s="62">
        <f>Q331</f>
        <v>105</v>
      </c>
      <c r="G331" s="487"/>
      <c r="H331" s="51">
        <v>120</v>
      </c>
      <c r="I331" s="178">
        <v>4</v>
      </c>
      <c r="J331" s="340"/>
      <c r="K331" s="341"/>
      <c r="L331" s="341"/>
      <c r="M331" s="341"/>
      <c r="N331" s="342"/>
      <c r="P331" s="18">
        <f t="shared" si="4"/>
        <v>0</v>
      </c>
      <c r="Q331" s="337">
        <f>SUM(P333:P337,P339,P341,P343,P345,P347)</f>
        <v>105</v>
      </c>
      <c r="R331" s="343">
        <f>Q331/100</f>
        <v>1.05</v>
      </c>
      <c r="S331" s="474">
        <v>0.2</v>
      </c>
      <c r="T331" s="343">
        <f>IF((R331*I331+R348*I348+R367*I367+R380*I380+R407*I407)/(I331+I348+I367+I380+I407)&gt;1,1,(R331*I331+R348*I348+R367*I367+R380*I380+R407*I407)/(I331+I348+I367+I380+I407))</f>
        <v>0.90972222222222221</v>
      </c>
      <c r="U331" s="475"/>
    </row>
    <row r="332" spans="2:22" ht="13.2" customHeight="1" x14ac:dyDescent="0.25">
      <c r="B332" s="345"/>
      <c r="C332" s="359" t="s">
        <v>54</v>
      </c>
      <c r="D332" s="352" t="str">
        <f>HLOOKUP(Deckblatt!$C$12,Language!$C$1:$D$730,401,FALSE)</f>
        <v>Integrales Energiekonzept</v>
      </c>
      <c r="E332" s="353"/>
      <c r="F332" s="347"/>
      <c r="G332" s="374"/>
      <c r="H332" s="21">
        <v>40</v>
      </c>
      <c r="I332" s="349"/>
      <c r="J332" s="340"/>
      <c r="K332" s="341"/>
      <c r="L332" s="341"/>
      <c r="M332" s="341"/>
      <c r="N332" s="342"/>
      <c r="P332" s="18">
        <f t="shared" si="4"/>
        <v>0</v>
      </c>
      <c r="Q332" s="338"/>
      <c r="R332" s="344"/>
      <c r="S332" s="474"/>
      <c r="T332" s="344"/>
      <c r="U332" s="475"/>
    </row>
    <row r="333" spans="2:22" ht="26.4" x14ac:dyDescent="0.25">
      <c r="B333" s="346"/>
      <c r="C333" s="390"/>
      <c r="D333" s="71" t="s">
        <v>58</v>
      </c>
      <c r="E333" s="229" t="str">
        <f>HLOOKUP(Deckblatt!$C$12,Language!$C$1:$D$730,402,FALSE)</f>
        <v xml:space="preserve">Energiebedarf
</v>
      </c>
      <c r="F333" s="348"/>
      <c r="G333" s="69">
        <v>10</v>
      </c>
      <c r="H333" s="18">
        <v>10</v>
      </c>
      <c r="I333" s="350"/>
      <c r="J333" s="340"/>
      <c r="K333" s="341"/>
      <c r="L333" s="341"/>
      <c r="M333" s="341"/>
      <c r="N333" s="342"/>
      <c r="P333" s="18">
        <f t="shared" ref="P333:P379" si="5">IF(G333&gt;H333,H333,G333)</f>
        <v>10</v>
      </c>
      <c r="Q333" s="338"/>
      <c r="R333" s="344"/>
      <c r="S333" s="474"/>
      <c r="T333" s="344"/>
      <c r="U333" s="475"/>
    </row>
    <row r="334" spans="2:22" x14ac:dyDescent="0.25">
      <c r="B334" s="346"/>
      <c r="C334" s="390"/>
      <c r="D334" s="71" t="s">
        <v>181</v>
      </c>
      <c r="E334" s="229" t="str">
        <f>HLOOKUP(Deckblatt!$C$12,Language!$C$1:$D$730,403,FALSE)</f>
        <v>Energiepotential</v>
      </c>
      <c r="F334" s="348"/>
      <c r="G334" s="69">
        <v>10</v>
      </c>
      <c r="H334" s="18">
        <v>10</v>
      </c>
      <c r="I334" s="350"/>
      <c r="J334" s="340"/>
      <c r="K334" s="341"/>
      <c r="L334" s="341"/>
      <c r="M334" s="341"/>
      <c r="N334" s="342"/>
      <c r="P334" s="18">
        <f t="shared" si="5"/>
        <v>10</v>
      </c>
      <c r="Q334" s="338"/>
      <c r="R334" s="344"/>
      <c r="S334" s="474"/>
      <c r="T334" s="344"/>
      <c r="U334" s="475"/>
    </row>
    <row r="335" spans="2:22" ht="26.4" x14ac:dyDescent="0.25">
      <c r="B335" s="346"/>
      <c r="C335" s="390"/>
      <c r="D335" s="71" t="s">
        <v>246</v>
      </c>
      <c r="E335" s="229" t="str">
        <f>HLOOKUP(Deckblatt!$C$12,Language!$C$1:$D$730,404,FALSE)</f>
        <v xml:space="preserve">Energiebilanz
</v>
      </c>
      <c r="F335" s="348"/>
      <c r="G335" s="69">
        <v>6</v>
      </c>
      <c r="H335" s="18">
        <v>6</v>
      </c>
      <c r="I335" s="350"/>
      <c r="J335" s="340"/>
      <c r="K335" s="341"/>
      <c r="L335" s="341"/>
      <c r="M335" s="341"/>
      <c r="N335" s="342"/>
      <c r="P335" s="18">
        <f t="shared" si="5"/>
        <v>6</v>
      </c>
      <c r="Q335" s="338"/>
      <c r="R335" s="344"/>
      <c r="S335" s="474"/>
      <c r="T335" s="344"/>
      <c r="U335" s="475"/>
    </row>
    <row r="336" spans="2:22" ht="26.4" x14ac:dyDescent="0.25">
      <c r="B336" s="346"/>
      <c r="C336" s="390"/>
      <c r="D336" s="71" t="s">
        <v>250</v>
      </c>
      <c r="E336" s="229" t="str">
        <f>HLOOKUP(Deckblatt!$C$12,Language!$C$1:$D$730,405,FALSE)</f>
        <v xml:space="preserve">Energieversorgungsvarianten
</v>
      </c>
      <c r="F336" s="348"/>
      <c r="G336" s="69">
        <v>7</v>
      </c>
      <c r="H336" s="18">
        <v>7</v>
      </c>
      <c r="I336" s="350"/>
      <c r="J336" s="340"/>
      <c r="K336" s="341"/>
      <c r="L336" s="341"/>
      <c r="M336" s="341"/>
      <c r="N336" s="342"/>
      <c r="P336" s="18">
        <f t="shared" si="5"/>
        <v>7</v>
      </c>
      <c r="Q336" s="338"/>
      <c r="R336" s="344"/>
      <c r="S336" s="474"/>
      <c r="T336" s="344"/>
      <c r="U336" s="475"/>
    </row>
    <row r="337" spans="2:21" ht="26.4" x14ac:dyDescent="0.25">
      <c r="B337" s="346"/>
      <c r="C337" s="360"/>
      <c r="D337" s="71" t="s">
        <v>121</v>
      </c>
      <c r="E337" s="229" t="str">
        <f>HLOOKUP(Deckblatt!$C$12,Language!$C$1:$D$730,406,FALSE)</f>
        <v xml:space="preserve">Investitionen und Betriebskosten
</v>
      </c>
      <c r="F337" s="348"/>
      <c r="G337" s="69">
        <v>7</v>
      </c>
      <c r="H337" s="18">
        <v>7</v>
      </c>
      <c r="I337" s="350"/>
      <c r="J337" s="340"/>
      <c r="K337" s="341"/>
      <c r="L337" s="341"/>
      <c r="M337" s="341"/>
      <c r="N337" s="342"/>
      <c r="P337" s="18">
        <f t="shared" si="5"/>
        <v>7</v>
      </c>
      <c r="Q337" s="338"/>
      <c r="R337" s="344"/>
      <c r="S337" s="474"/>
      <c r="T337" s="344"/>
      <c r="U337" s="475"/>
    </row>
    <row r="338" spans="2:21" ht="13.2" customHeight="1" x14ac:dyDescent="0.25">
      <c r="B338" s="346"/>
      <c r="C338" s="351" t="s">
        <v>61</v>
      </c>
      <c r="D338" s="352" t="str">
        <f>HLOOKUP(Deckblatt!$C$12,Language!$C$1:$D$730,407,FALSE)</f>
        <v>Kohärente Versorgungsstruktur</v>
      </c>
      <c r="E338" s="353"/>
      <c r="F338" s="348"/>
      <c r="G338" s="113"/>
      <c r="H338" s="21">
        <v>20</v>
      </c>
      <c r="I338" s="350"/>
      <c r="J338" s="340"/>
      <c r="K338" s="341"/>
      <c r="L338" s="341"/>
      <c r="M338" s="341"/>
      <c r="N338" s="342"/>
      <c r="P338" s="18">
        <f t="shared" si="5"/>
        <v>0</v>
      </c>
      <c r="Q338" s="338"/>
      <c r="R338" s="344"/>
      <c r="S338" s="474"/>
      <c r="T338" s="344"/>
      <c r="U338" s="475"/>
    </row>
    <row r="339" spans="2:21" ht="39.6" x14ac:dyDescent="0.25">
      <c r="B339" s="346"/>
      <c r="C339" s="351"/>
      <c r="D339" s="71" t="s">
        <v>63</v>
      </c>
      <c r="E339" s="229" t="str">
        <f>HLOOKUP(Deckblatt!$C$12,Language!$C$1:$D$730,408,FALSE)</f>
        <v xml:space="preserve">Wärme- und Kälteversorgungsstruktur
Eine kohärente Wärme- bzw. Kälteversorgungsstruktur ist gegeben.
</v>
      </c>
      <c r="F339" s="348"/>
      <c r="G339" s="69">
        <v>20</v>
      </c>
      <c r="H339" s="18">
        <v>20</v>
      </c>
      <c r="I339" s="350"/>
      <c r="J339" s="340"/>
      <c r="K339" s="341"/>
      <c r="L339" s="341"/>
      <c r="M339" s="341"/>
      <c r="N339" s="342"/>
      <c r="P339" s="18">
        <f t="shared" si="5"/>
        <v>20</v>
      </c>
      <c r="Q339" s="338"/>
      <c r="R339" s="344"/>
      <c r="S339" s="474"/>
      <c r="T339" s="344"/>
      <c r="U339" s="475"/>
    </row>
    <row r="340" spans="2:21" ht="13.2" customHeight="1" x14ac:dyDescent="0.25">
      <c r="B340" s="346"/>
      <c r="C340" s="351" t="s">
        <v>64</v>
      </c>
      <c r="D340" s="352" t="str">
        <f>HLOOKUP(Deckblatt!$C$12,Language!$C$1:$D$730,409,FALSE)</f>
        <v>Nutzung von Synergien</v>
      </c>
      <c r="E340" s="353"/>
      <c r="F340" s="348"/>
      <c r="G340" s="113"/>
      <c r="H340" s="21">
        <v>40</v>
      </c>
      <c r="I340" s="350"/>
      <c r="J340" s="340"/>
      <c r="K340" s="341"/>
      <c r="L340" s="341"/>
      <c r="M340" s="341"/>
      <c r="N340" s="342"/>
      <c r="P340" s="18">
        <f t="shared" si="5"/>
        <v>0</v>
      </c>
      <c r="Q340" s="338"/>
      <c r="R340" s="344"/>
      <c r="S340" s="474"/>
      <c r="T340" s="344"/>
      <c r="U340" s="475"/>
    </row>
    <row r="341" spans="2:21" ht="52.8" x14ac:dyDescent="0.25">
      <c r="B341" s="346"/>
      <c r="C341" s="351"/>
      <c r="D341" s="71" t="s">
        <v>66</v>
      </c>
      <c r="E341" s="134" t="str">
        <f>HLOOKUP(Deckblatt!$C$12,Language!$C$1:$D$730,410,FALSE)</f>
        <v xml:space="preserve">Synergien und Energiekreisläufe
Durch die gemeinsame Planung von Gebäuden und Anlagen werden integrale Energiekreisläufe für Strom,  Wärme und Kälte in signifikantem  Umfang geschaffen. </v>
      </c>
      <c r="F341" s="348"/>
      <c r="G341" s="69">
        <v>30</v>
      </c>
      <c r="H341" s="18">
        <v>30</v>
      </c>
      <c r="I341" s="350"/>
      <c r="J341" s="340"/>
      <c r="K341" s="341"/>
      <c r="L341" s="341"/>
      <c r="M341" s="341"/>
      <c r="N341" s="342"/>
      <c r="P341" s="18">
        <f t="shared" si="5"/>
        <v>30</v>
      </c>
      <c r="Q341" s="338"/>
      <c r="R341" s="344"/>
      <c r="S341" s="474"/>
      <c r="T341" s="344"/>
      <c r="U341" s="475"/>
    </row>
    <row r="342" spans="2:21" ht="26.4" x14ac:dyDescent="0.25">
      <c r="B342" s="346"/>
      <c r="C342" s="351"/>
      <c r="D342" s="398" t="s">
        <v>188</v>
      </c>
      <c r="E342" s="54" t="str">
        <f>HLOOKUP(Deckblatt!$C$12,Language!$C$1:$D$730,411,FALSE)</f>
        <v>AGENDA 2030 BONUS – NUTZUNG ERNEUERBARER ENERGIETRÄGER UND ENERGIEERZEUGUNG</v>
      </c>
      <c r="F342" s="348"/>
      <c r="G342" s="113"/>
      <c r="H342" s="21">
        <v>10</v>
      </c>
      <c r="I342" s="350"/>
      <c r="J342" s="340"/>
      <c r="K342" s="341"/>
      <c r="L342" s="341"/>
      <c r="M342" s="341"/>
      <c r="N342" s="342"/>
      <c r="P342" s="18">
        <f t="shared" si="5"/>
        <v>0</v>
      </c>
      <c r="Q342" s="338"/>
      <c r="R342" s="344"/>
      <c r="S342" s="474"/>
      <c r="T342" s="344"/>
      <c r="U342" s="475"/>
    </row>
    <row r="343" spans="2:21" ht="105.6" x14ac:dyDescent="0.25">
      <c r="B343" s="346"/>
      <c r="C343" s="351"/>
      <c r="D343" s="399"/>
      <c r="E343"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43" s="348"/>
      <c r="G343" s="69">
        <v>10</v>
      </c>
      <c r="H343" s="18">
        <v>10</v>
      </c>
      <c r="I343" s="350"/>
      <c r="J343" s="340"/>
      <c r="K343" s="341"/>
      <c r="L343" s="341"/>
      <c r="M343" s="341"/>
      <c r="N343" s="342"/>
      <c r="P343" s="18">
        <f t="shared" si="5"/>
        <v>10</v>
      </c>
      <c r="Q343" s="338"/>
      <c r="R343" s="344"/>
      <c r="S343" s="474"/>
      <c r="T343" s="344"/>
      <c r="U343" s="475"/>
    </row>
    <row r="344" spans="2:21" ht="13.2" customHeight="1" x14ac:dyDescent="0.25">
      <c r="B344" s="346"/>
      <c r="C344" s="359" t="s">
        <v>157</v>
      </c>
      <c r="D344" s="352" t="str">
        <f>HLOOKUP(Deckblatt!$C$12,Language!$C$1:$D$730,417,FALSE)</f>
        <v>Energieerzeugung im Quartier</v>
      </c>
      <c r="E344" s="353"/>
      <c r="F344" s="348"/>
      <c r="G344" s="113"/>
      <c r="H344" s="21">
        <v>20</v>
      </c>
      <c r="I344" s="350"/>
      <c r="J344" s="340"/>
      <c r="K344" s="341"/>
      <c r="L344" s="341"/>
      <c r="M344" s="341"/>
      <c r="N344" s="342"/>
      <c r="P344" s="18">
        <f t="shared" si="5"/>
        <v>0</v>
      </c>
      <c r="Q344" s="338"/>
      <c r="R344" s="344"/>
      <c r="S344" s="474"/>
      <c r="T344" s="344"/>
      <c r="U344" s="475"/>
    </row>
    <row r="345" spans="2:21" ht="52.8" x14ac:dyDescent="0.25">
      <c r="B345" s="346"/>
      <c r="C345" s="390"/>
      <c r="D345" s="71" t="s">
        <v>159</v>
      </c>
      <c r="E345" s="134" t="str">
        <f>HLOOKUP(Deckblatt!$C$12,Language!$C$1:$D$730,418,FALSE)</f>
        <v xml:space="preserve">Nutzung der Dachflächen zur Energiegewinnung
Prozentualer Anteil der Dachflächen die zur regenerative Energieerzeugung genutzt werden
</v>
      </c>
      <c r="F345" s="348"/>
      <c r="G345" s="69">
        <v>5</v>
      </c>
      <c r="H345" s="18">
        <v>10</v>
      </c>
      <c r="I345" s="350"/>
      <c r="J345" s="340"/>
      <c r="K345" s="341"/>
      <c r="L345" s="341"/>
      <c r="M345" s="341"/>
      <c r="N345" s="342"/>
      <c r="P345" s="18">
        <f t="shared" si="5"/>
        <v>5</v>
      </c>
      <c r="Q345" s="338"/>
      <c r="R345" s="344"/>
      <c r="S345" s="474"/>
      <c r="T345" s="344"/>
      <c r="U345" s="475"/>
    </row>
    <row r="346" spans="2:21" ht="26.4" x14ac:dyDescent="0.25">
      <c r="B346" s="346"/>
      <c r="C346" s="390"/>
      <c r="D346" s="398" t="s">
        <v>160</v>
      </c>
      <c r="E346" s="54" t="str">
        <f>HLOOKUP(Deckblatt!$C$12,Language!$C$1:$D$730,419,FALSE)</f>
        <v>AGENDA 2030 BONUS – NUTZUNG DER FASSADENFLÄCHEN ZUR ENERGIEGEWINNUNG</v>
      </c>
      <c r="F346" s="348"/>
      <c r="G346" s="113"/>
      <c r="H346" s="21">
        <v>10</v>
      </c>
      <c r="I346" s="350"/>
      <c r="J346" s="340"/>
      <c r="K346" s="341"/>
      <c r="L346" s="341"/>
      <c r="M346" s="341"/>
      <c r="N346" s="342"/>
      <c r="P346" s="18">
        <f t="shared" si="5"/>
        <v>0</v>
      </c>
      <c r="Q346" s="338"/>
      <c r="R346" s="344"/>
      <c r="S346" s="474"/>
      <c r="T346" s="344"/>
      <c r="U346" s="475"/>
    </row>
    <row r="347" spans="2:21" ht="66" customHeight="1" x14ac:dyDescent="0.25">
      <c r="B347" s="370"/>
      <c r="C347" s="360"/>
      <c r="D347" s="399"/>
      <c r="E347"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47" s="371"/>
      <c r="G347" s="69"/>
      <c r="H347" s="18">
        <v>10</v>
      </c>
      <c r="I347" s="366"/>
      <c r="J347" s="340"/>
      <c r="K347" s="341"/>
      <c r="L347" s="341"/>
      <c r="M347" s="341"/>
      <c r="N347" s="342"/>
      <c r="P347" s="18">
        <f t="shared" si="5"/>
        <v>0</v>
      </c>
      <c r="Q347" s="339"/>
      <c r="R347" s="365"/>
      <c r="S347" s="474"/>
      <c r="T347" s="344"/>
      <c r="U347" s="475"/>
    </row>
    <row r="348" spans="2:21" x14ac:dyDescent="0.25">
      <c r="B348" s="55" t="s">
        <v>391</v>
      </c>
      <c r="C348" s="354" t="str">
        <f>HLOOKUP(Deckblatt!$C$12,Language!$C$1:$D$730,423,FALSE)</f>
        <v>Wertstoffmanagement</v>
      </c>
      <c r="D348" s="354"/>
      <c r="E348" s="355"/>
      <c r="F348" s="66">
        <f>Q348</f>
        <v>77.5</v>
      </c>
      <c r="G348" s="364"/>
      <c r="H348" s="21">
        <v>120</v>
      </c>
      <c r="I348" s="176">
        <v>2</v>
      </c>
      <c r="J348" s="340"/>
      <c r="K348" s="341"/>
      <c r="L348" s="341"/>
      <c r="M348" s="341"/>
      <c r="N348" s="342"/>
      <c r="P348" s="18">
        <f t="shared" si="5"/>
        <v>0</v>
      </c>
      <c r="Q348" s="337">
        <f>SUM(P350:P351,P353:P354,P356:P357,P359,P361:P363,P365:P366)</f>
        <v>77.5</v>
      </c>
      <c r="R348" s="490">
        <f>Q348/100</f>
        <v>0.77500000000000002</v>
      </c>
      <c r="S348" s="474"/>
      <c r="T348" s="344"/>
      <c r="U348" s="475"/>
    </row>
    <row r="349" spans="2:21" ht="13.2" customHeight="1" x14ac:dyDescent="0.25">
      <c r="B349" s="375"/>
      <c r="C349" s="359" t="s">
        <v>54</v>
      </c>
      <c r="D349" s="352" t="str">
        <f>HLOOKUP(Deckblatt!$C$12,Language!$C$1:$D$730,424,FALSE)</f>
        <v>Konzept für Wertstoffnutzung</v>
      </c>
      <c r="E349" s="353"/>
      <c r="F349" s="363"/>
      <c r="G349" s="364"/>
      <c r="H349" s="21">
        <v>18</v>
      </c>
      <c r="I349" s="379"/>
      <c r="J349" s="340"/>
      <c r="K349" s="341"/>
      <c r="L349" s="341"/>
      <c r="M349" s="341"/>
      <c r="N349" s="342"/>
      <c r="P349" s="18">
        <f t="shared" si="5"/>
        <v>0</v>
      </c>
      <c r="Q349" s="338"/>
      <c r="R349" s="491"/>
      <c r="S349" s="474"/>
      <c r="T349" s="344"/>
      <c r="U349" s="475"/>
    </row>
    <row r="350" spans="2:21" ht="26.4" x14ac:dyDescent="0.25">
      <c r="B350" s="375"/>
      <c r="C350" s="390"/>
      <c r="D350" s="71" t="s">
        <v>58</v>
      </c>
      <c r="E350" s="134" t="str">
        <f>HLOOKUP(Deckblatt!$C$12,Language!$C$1:$D$730,425,FALSE)</f>
        <v xml:space="preserve">Konzept Wertstoffnutzung
</v>
      </c>
      <c r="F350" s="363"/>
      <c r="G350" s="69">
        <v>0</v>
      </c>
      <c r="H350" s="18">
        <v>10</v>
      </c>
      <c r="I350" s="379"/>
      <c r="J350" s="340"/>
      <c r="K350" s="341"/>
      <c r="L350" s="341"/>
      <c r="M350" s="341"/>
      <c r="N350" s="342"/>
      <c r="P350" s="18">
        <f t="shared" si="5"/>
        <v>0</v>
      </c>
      <c r="Q350" s="338"/>
      <c r="R350" s="491"/>
      <c r="S350" s="474"/>
      <c r="T350" s="344"/>
      <c r="U350" s="475"/>
    </row>
    <row r="351" spans="2:21" ht="26.4" x14ac:dyDescent="0.25">
      <c r="B351" s="375"/>
      <c r="C351" s="360"/>
      <c r="D351" s="71" t="s">
        <v>181</v>
      </c>
      <c r="E351" s="134" t="str">
        <f>HLOOKUP(Deckblatt!$C$12,Language!$C$1:$D$730,426,FALSE)</f>
        <v xml:space="preserve">Abfallvermeidung und Abfallverwertung
</v>
      </c>
      <c r="F351" s="363"/>
      <c r="G351" s="69">
        <v>0</v>
      </c>
      <c r="H351" s="18">
        <v>8</v>
      </c>
      <c r="I351" s="379"/>
      <c r="J351" s="340"/>
      <c r="K351" s="341"/>
      <c r="L351" s="341"/>
      <c r="M351" s="341"/>
      <c r="N351" s="342"/>
      <c r="P351" s="18">
        <f t="shared" si="5"/>
        <v>0</v>
      </c>
      <c r="Q351" s="338"/>
      <c r="R351" s="491"/>
      <c r="S351" s="474"/>
      <c r="T351" s="344"/>
      <c r="U351" s="475"/>
    </row>
    <row r="352" spans="2:21" ht="13.2" customHeight="1" x14ac:dyDescent="0.25">
      <c r="B352" s="375"/>
      <c r="C352" s="351" t="s">
        <v>64</v>
      </c>
      <c r="D352" s="352" t="str">
        <f>HLOOKUP(Deckblatt!$C$12,Language!$C$1:$D$730,433,FALSE)</f>
        <v>Abfallvermeidung</v>
      </c>
      <c r="E352" s="353"/>
      <c r="F352" s="363"/>
      <c r="G352" s="113"/>
      <c r="H352" s="21">
        <v>27</v>
      </c>
      <c r="I352" s="379"/>
      <c r="J352" s="340"/>
      <c r="K352" s="341"/>
      <c r="L352" s="341"/>
      <c r="M352" s="341"/>
      <c r="N352" s="342"/>
      <c r="P352" s="18">
        <f t="shared" si="5"/>
        <v>0</v>
      </c>
      <c r="Q352" s="338"/>
      <c r="R352" s="491"/>
      <c r="S352" s="474"/>
      <c r="T352" s="344"/>
      <c r="U352" s="475"/>
    </row>
    <row r="353" spans="2:21" ht="26.4" x14ac:dyDescent="0.25">
      <c r="B353" s="375"/>
      <c r="C353" s="351"/>
      <c r="D353" s="71" t="s">
        <v>66</v>
      </c>
      <c r="E353" s="134" t="str">
        <f>HLOOKUP(Deckblatt!$C$12,Language!$C$1:$D$730,434,FALSE)</f>
        <v xml:space="preserve">Förderung Informations- und Aufklärungskampagnen
</v>
      </c>
      <c r="F353" s="363"/>
      <c r="G353" s="69">
        <v>20</v>
      </c>
      <c r="H353" s="18">
        <v>20</v>
      </c>
      <c r="I353" s="379"/>
      <c r="J353" s="340" t="s">
        <v>1837</v>
      </c>
      <c r="K353" s="341"/>
      <c r="L353" s="341"/>
      <c r="M353" s="341"/>
      <c r="N353" s="342"/>
      <c r="P353" s="18">
        <f t="shared" si="5"/>
        <v>20</v>
      </c>
      <c r="Q353" s="338"/>
      <c r="R353" s="491"/>
      <c r="S353" s="474"/>
      <c r="T353" s="344"/>
      <c r="U353" s="475"/>
    </row>
    <row r="354" spans="2:21" ht="26.4" x14ac:dyDescent="0.25">
      <c r="B354" s="375"/>
      <c r="C354" s="351"/>
      <c r="D354" s="71" t="s">
        <v>188</v>
      </c>
      <c r="E354" s="134" t="str">
        <f>HLOOKUP(Deckblatt!$C$12,Language!$C$1:$D$730,435,FALSE)</f>
        <v xml:space="preserve">Quartiersbezogenes Wertstofferfassungssystem
</v>
      </c>
      <c r="F354" s="363"/>
      <c r="G354" s="69">
        <v>0</v>
      </c>
      <c r="H354" s="18">
        <v>7</v>
      </c>
      <c r="I354" s="379"/>
      <c r="J354" s="340"/>
      <c r="K354" s="341"/>
      <c r="L354" s="341"/>
      <c r="M354" s="341"/>
      <c r="N354" s="342"/>
      <c r="P354" s="18">
        <f t="shared" si="5"/>
        <v>0</v>
      </c>
      <c r="Q354" s="338"/>
      <c r="R354" s="491"/>
      <c r="S354" s="474"/>
      <c r="T354" s="344"/>
      <c r="U354" s="475"/>
    </row>
    <row r="355" spans="2:21" ht="13.2" customHeight="1" x14ac:dyDescent="0.25">
      <c r="B355" s="375"/>
      <c r="C355" s="351" t="s">
        <v>67</v>
      </c>
      <c r="D355" s="352" t="str">
        <f>HLOOKUP(Deckblatt!$C$12,Language!$C$1:$D$730,441,FALSE)</f>
        <v>Wiederverwendung</v>
      </c>
      <c r="E355" s="353"/>
      <c r="F355" s="363"/>
      <c r="G355" s="113"/>
      <c r="H355" s="21">
        <v>20</v>
      </c>
      <c r="I355" s="379"/>
      <c r="J355" s="340"/>
      <c r="K355" s="341"/>
      <c r="L355" s="341"/>
      <c r="M355" s="341"/>
      <c r="N355" s="342"/>
      <c r="P355" s="18">
        <f t="shared" si="5"/>
        <v>0</v>
      </c>
      <c r="Q355" s="338"/>
      <c r="R355" s="491"/>
      <c r="S355" s="474"/>
      <c r="T355" s="344"/>
      <c r="U355" s="475"/>
    </row>
    <row r="356" spans="2:21" ht="39.6" x14ac:dyDescent="0.25">
      <c r="B356" s="375"/>
      <c r="C356" s="351"/>
      <c r="D356" s="71" t="s">
        <v>69</v>
      </c>
      <c r="E356" s="134" t="str">
        <f>HLOOKUP(Deckblatt!$C$12,Language!$C$1:$D$730,442,FALSE)</f>
        <v xml:space="preserve">Wiederverwendungs- und Reparaturservices
Einrichtung von Wiederverwendungs- und Reparaturservices
</v>
      </c>
      <c r="F356" s="363"/>
      <c r="G356" s="69">
        <v>10</v>
      </c>
      <c r="H356" s="18">
        <v>10</v>
      </c>
      <c r="I356" s="379"/>
      <c r="J356" s="340" t="s">
        <v>1851</v>
      </c>
      <c r="K356" s="341"/>
      <c r="L356" s="341"/>
      <c r="M356" s="341"/>
      <c r="N356" s="342"/>
      <c r="P356" s="18">
        <f t="shared" si="5"/>
        <v>10</v>
      </c>
      <c r="Q356" s="338"/>
      <c r="R356" s="491"/>
      <c r="S356" s="474"/>
      <c r="T356" s="344"/>
      <c r="U356" s="475"/>
    </row>
    <row r="357" spans="2:21" ht="66" x14ac:dyDescent="0.25">
      <c r="B357" s="375"/>
      <c r="C357" s="351"/>
      <c r="D357" s="71" t="s">
        <v>78</v>
      </c>
      <c r="E357"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7" s="363"/>
      <c r="G357" s="69">
        <v>10</v>
      </c>
      <c r="H357" s="18">
        <v>10</v>
      </c>
      <c r="I357" s="379"/>
      <c r="J357" s="340" t="s">
        <v>1837</v>
      </c>
      <c r="K357" s="341"/>
      <c r="L357" s="341"/>
      <c r="M357" s="341"/>
      <c r="N357" s="342"/>
      <c r="P357" s="18">
        <f t="shared" si="5"/>
        <v>10</v>
      </c>
      <c r="Q357" s="338"/>
      <c r="R357" s="491"/>
      <c r="S357" s="474"/>
      <c r="T357" s="344"/>
      <c r="U357" s="475"/>
    </row>
    <row r="358" spans="2:21" ht="13.2" customHeight="1" x14ac:dyDescent="0.25">
      <c r="B358" s="375"/>
      <c r="C358" s="351" t="s">
        <v>154</v>
      </c>
      <c r="D358" s="352" t="str">
        <f>HLOOKUP(Deckblatt!$C$12,Language!$C$1:$D$730,444,FALSE)</f>
        <v>Wertstoffrecycling</v>
      </c>
      <c r="E358" s="353"/>
      <c r="F358" s="363"/>
      <c r="G358" s="113"/>
      <c r="H358" s="21">
        <v>35</v>
      </c>
      <c r="I358" s="379"/>
      <c r="J358" s="340"/>
      <c r="K358" s="341"/>
      <c r="L358" s="341"/>
      <c r="M358" s="341"/>
      <c r="N358" s="342"/>
      <c r="P358" s="18">
        <f t="shared" si="5"/>
        <v>0</v>
      </c>
      <c r="Q358" s="338"/>
      <c r="R358" s="491"/>
      <c r="S358" s="474"/>
      <c r="T358" s="344"/>
      <c r="U358" s="475"/>
    </row>
    <row r="359" spans="2:21" x14ac:dyDescent="0.25">
      <c r="B359" s="375"/>
      <c r="C359" s="351"/>
      <c r="D359" s="71" t="s">
        <v>156</v>
      </c>
      <c r="E359" s="134" t="str">
        <f>HLOOKUP(Deckblatt!$C$12,Language!$C$1:$D$730,445,FALSE)</f>
        <v>Abfallrecyclingsystem</v>
      </c>
      <c r="F359" s="363"/>
      <c r="G359" s="69">
        <v>15</v>
      </c>
      <c r="H359" s="18">
        <v>15</v>
      </c>
      <c r="I359" s="379"/>
      <c r="J359" s="340"/>
      <c r="K359" s="341"/>
      <c r="L359" s="341"/>
      <c r="M359" s="341"/>
      <c r="N359" s="342"/>
      <c r="P359" s="18">
        <f t="shared" si="5"/>
        <v>15</v>
      </c>
      <c r="Q359" s="338"/>
      <c r="R359" s="491"/>
      <c r="S359" s="474"/>
      <c r="T359" s="344"/>
      <c r="U359" s="475"/>
    </row>
    <row r="360" spans="2:21" x14ac:dyDescent="0.25">
      <c r="B360" s="375"/>
      <c r="C360" s="351"/>
      <c r="D360" s="361" t="s">
        <v>218</v>
      </c>
      <c r="E360" s="68" t="str">
        <f>HLOOKUP(Deckblatt!$C$12,Language!$C$1:$D$730,446,FALSE)</f>
        <v>CIRCULAR ECONOMY BONUS – URBAN MINING</v>
      </c>
      <c r="F360" s="363"/>
      <c r="G360" s="113"/>
      <c r="H360" s="21">
        <v>10</v>
      </c>
      <c r="I360" s="379"/>
      <c r="J360" s="340"/>
      <c r="K360" s="341"/>
      <c r="L360" s="341"/>
      <c r="M360" s="341"/>
      <c r="N360" s="342"/>
      <c r="P360" s="18">
        <f t="shared" si="5"/>
        <v>0</v>
      </c>
      <c r="Q360" s="338"/>
      <c r="R360" s="491"/>
      <c r="S360" s="474"/>
      <c r="T360" s="344"/>
      <c r="U360" s="475"/>
    </row>
    <row r="361" spans="2:21" ht="26.4" x14ac:dyDescent="0.25">
      <c r="B361" s="375"/>
      <c r="C361" s="351"/>
      <c r="D361" s="361"/>
      <c r="E361" s="134" t="str">
        <f>HLOOKUP(Deckblatt!$C$12,Language!$C$1:$D$730,447,FALSE)</f>
        <v xml:space="preserve">Es gibt ein Urban Mining Konzept für das Quartier
</v>
      </c>
      <c r="F361" s="363"/>
      <c r="G361" s="69">
        <v>2.5</v>
      </c>
      <c r="H361" s="18">
        <v>5</v>
      </c>
      <c r="I361" s="379"/>
      <c r="J361" s="340"/>
      <c r="K361" s="341"/>
      <c r="L361" s="341"/>
      <c r="M361" s="341"/>
      <c r="N361" s="342"/>
      <c r="P361" s="18">
        <f t="shared" si="5"/>
        <v>2.5</v>
      </c>
      <c r="Q361" s="338"/>
      <c r="R361" s="491"/>
      <c r="S361" s="474"/>
      <c r="T361" s="344"/>
      <c r="U361" s="475"/>
    </row>
    <row r="362" spans="2:21" ht="52.8" x14ac:dyDescent="0.25">
      <c r="B362" s="375"/>
      <c r="C362" s="351"/>
      <c r="D362" s="361"/>
      <c r="E362" s="134" t="str">
        <f>HLOOKUP(Deckblatt!$C$12,Language!$C$1:$D$730,448,FALSE)</f>
        <v xml:space="preserve">Es gibt ein Urban Mining Kataster/BIM Model in dem einige der verbauten Rohstoffe im Quartier erfasst sind (Teile der Gebäudemassen und der Freiräume)
</v>
      </c>
      <c r="F362" s="363"/>
      <c r="G362" s="69">
        <v>0</v>
      </c>
      <c r="H362" s="18">
        <v>5</v>
      </c>
      <c r="I362" s="379"/>
      <c r="J362" s="340"/>
      <c r="K362" s="341"/>
      <c r="L362" s="341"/>
      <c r="M362" s="341"/>
      <c r="N362" s="342"/>
      <c r="P362" s="18">
        <f t="shared" si="5"/>
        <v>0</v>
      </c>
      <c r="Q362" s="338"/>
      <c r="R362" s="491"/>
      <c r="S362" s="474"/>
      <c r="T362" s="344"/>
      <c r="U362" s="475"/>
    </row>
    <row r="363" spans="2:21" ht="52.8" x14ac:dyDescent="0.25">
      <c r="B363" s="375"/>
      <c r="C363" s="351"/>
      <c r="D363" s="71" t="s">
        <v>679</v>
      </c>
      <c r="E363" s="134" t="str">
        <f>HLOOKUP(Deckblatt!$C$12,Language!$C$1:$D$730,452,FALSE)</f>
        <v xml:space="preserve">Kompostierung
Einrichten von Anlagen zur Kompostierung des im Quartier (oder im Umfeld) anfallenden kompostierfähigen Abfalls.
</v>
      </c>
      <c r="F363" s="363"/>
      <c r="G363" s="69">
        <v>10</v>
      </c>
      <c r="H363" s="18">
        <v>10</v>
      </c>
      <c r="I363" s="379"/>
      <c r="J363" s="340" t="s">
        <v>1837</v>
      </c>
      <c r="K363" s="341"/>
      <c r="L363" s="341"/>
      <c r="M363" s="341"/>
      <c r="N363" s="342"/>
      <c r="P363" s="18">
        <f t="shared" si="5"/>
        <v>10</v>
      </c>
      <c r="Q363" s="338"/>
      <c r="R363" s="491"/>
      <c r="S363" s="474"/>
      <c r="T363" s="344"/>
      <c r="U363" s="475"/>
    </row>
    <row r="364" spans="2:21" ht="13.2" customHeight="1" x14ac:dyDescent="0.25">
      <c r="B364" s="375"/>
      <c r="C364" s="351" t="s">
        <v>157</v>
      </c>
      <c r="D364" s="352" t="str">
        <f>HLOOKUP(Deckblatt!$C$12,Language!$C$1:$D$730,454,FALSE)</f>
        <v>Technik und Logistik</v>
      </c>
      <c r="E364" s="353"/>
      <c r="F364" s="363"/>
      <c r="G364" s="113"/>
      <c r="H364" s="21">
        <v>20</v>
      </c>
      <c r="I364" s="379"/>
      <c r="J364" s="340"/>
      <c r="K364" s="341"/>
      <c r="L364" s="341"/>
      <c r="M364" s="341"/>
      <c r="N364" s="342"/>
      <c r="P364" s="18">
        <f t="shared" si="5"/>
        <v>0</v>
      </c>
      <c r="Q364" s="338"/>
      <c r="R364" s="491"/>
      <c r="S364" s="474"/>
      <c r="T364" s="344"/>
      <c r="U364" s="475"/>
    </row>
    <row r="365" spans="2:21" ht="66" x14ac:dyDescent="0.25">
      <c r="B365" s="375"/>
      <c r="C365" s="351"/>
      <c r="D365" s="71" t="s">
        <v>159</v>
      </c>
      <c r="E365" s="134" t="str">
        <f>HLOOKUP(Deckblatt!$C$12,Language!$C$1:$D$730,455,FALSE)</f>
        <v xml:space="preserve">Abfalllogistik
Innovative Abfalllogistikkonzepte im Quartier
- Es ist ein Abfalllogistikkonzept erstellt worden (5 Punkte)
- Das Abfalllogistikkonzept wurde umgesetzt (5 Punkte)
</v>
      </c>
      <c r="F365" s="363"/>
      <c r="G365" s="69">
        <v>10</v>
      </c>
      <c r="H365" s="18">
        <v>10</v>
      </c>
      <c r="I365" s="379"/>
      <c r="J365" s="340"/>
      <c r="K365" s="341"/>
      <c r="L365" s="341"/>
      <c r="M365" s="341"/>
      <c r="N365" s="342"/>
      <c r="P365" s="18">
        <f t="shared" si="5"/>
        <v>10</v>
      </c>
      <c r="Q365" s="338"/>
      <c r="R365" s="491"/>
      <c r="S365" s="474"/>
      <c r="T365" s="344"/>
      <c r="U365" s="475"/>
    </row>
    <row r="366" spans="2:21" ht="73.95" customHeight="1" x14ac:dyDescent="0.25">
      <c r="B366" s="375"/>
      <c r="C366" s="351"/>
      <c r="D366" s="71" t="s">
        <v>160</v>
      </c>
      <c r="E366"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6" s="363"/>
      <c r="G366" s="69">
        <v>0</v>
      </c>
      <c r="H366" s="18">
        <v>10</v>
      </c>
      <c r="I366" s="379"/>
      <c r="J366" s="340"/>
      <c r="K366" s="341"/>
      <c r="L366" s="341"/>
      <c r="M366" s="341"/>
      <c r="N366" s="342"/>
      <c r="P366" s="18">
        <f t="shared" si="5"/>
        <v>0</v>
      </c>
      <c r="Q366" s="339"/>
      <c r="R366" s="492"/>
      <c r="S366" s="474"/>
      <c r="T366" s="344"/>
      <c r="U366" s="475"/>
    </row>
    <row r="367" spans="2:21" x14ac:dyDescent="0.25">
      <c r="B367" s="55" t="s">
        <v>411</v>
      </c>
      <c r="C367" s="354" t="str">
        <f>HLOOKUP(Deckblatt!$C$12,Language!$C$1:$D$730,457,FALSE)</f>
        <v>Smart Infrastructure</v>
      </c>
      <c r="D367" s="354"/>
      <c r="E367" s="355"/>
      <c r="F367" s="66">
        <f>Q367</f>
        <v>55</v>
      </c>
      <c r="G367" s="372"/>
      <c r="H367" s="21">
        <v>100</v>
      </c>
      <c r="I367" s="176">
        <v>2</v>
      </c>
      <c r="J367" s="340"/>
      <c r="K367" s="341"/>
      <c r="L367" s="341"/>
      <c r="M367" s="341"/>
      <c r="N367" s="342"/>
      <c r="P367" s="18">
        <f t="shared" si="5"/>
        <v>0</v>
      </c>
      <c r="Q367" s="337">
        <f>SUM(P369,IF(SUM(P372:P374)&gt;30,30,SUM(P372:P374)),P376,P378,P379)</f>
        <v>55</v>
      </c>
      <c r="R367" s="343">
        <f>Q367/100</f>
        <v>0.55000000000000004</v>
      </c>
      <c r="S367" s="474"/>
      <c r="T367" s="344"/>
      <c r="U367" s="475"/>
    </row>
    <row r="368" spans="2:21" ht="13.2" customHeight="1" x14ac:dyDescent="0.25">
      <c r="B368" s="345"/>
      <c r="C368" s="351" t="s">
        <v>54</v>
      </c>
      <c r="D368" s="352" t="str">
        <f>HLOOKUP(Deckblatt!$C$12,Language!$C$1:$D$730,458,FALSE)</f>
        <v>Integration des Themas Digitalisierung in die Quartiersplanung</v>
      </c>
      <c r="E368" s="353"/>
      <c r="F368" s="347"/>
      <c r="G368" s="374"/>
      <c r="H368" s="21">
        <v>30</v>
      </c>
      <c r="I368" s="349"/>
      <c r="J368" s="340"/>
      <c r="K368" s="341"/>
      <c r="L368" s="341"/>
      <c r="M368" s="341"/>
      <c r="N368" s="342"/>
      <c r="P368" s="18">
        <f t="shared" si="5"/>
        <v>0</v>
      </c>
      <c r="Q368" s="338"/>
      <c r="R368" s="344"/>
      <c r="S368" s="474"/>
      <c r="T368" s="344"/>
      <c r="U368" s="475"/>
    </row>
    <row r="369" spans="2:21" ht="52.8" x14ac:dyDescent="0.25">
      <c r="B369" s="346"/>
      <c r="C369" s="351"/>
      <c r="D369" s="57" t="s">
        <v>58</v>
      </c>
      <c r="E369" s="134" t="str">
        <f>HLOOKUP(Deckblatt!$C$12,Language!$C$1:$D$730,459,FALSE)</f>
        <v xml:space="preserve">Integration der Digitalisierung in die Quartiersplanung
- Pro adressiertem Handlungsfeld in der Digital Agenda / Digitalstrategie / Analyse können 6 Punkte angerechnet werden
</v>
      </c>
      <c r="F369" s="348"/>
      <c r="G369" s="69">
        <v>30</v>
      </c>
      <c r="H369" s="18">
        <v>30</v>
      </c>
      <c r="I369" s="350"/>
      <c r="J369" s="340" t="s">
        <v>1842</v>
      </c>
      <c r="K369" s="341"/>
      <c r="L369" s="341"/>
      <c r="M369" s="341"/>
      <c r="N369" s="342"/>
      <c r="P369" s="18">
        <f t="shared" si="5"/>
        <v>30</v>
      </c>
      <c r="Q369" s="338"/>
      <c r="R369" s="344"/>
      <c r="S369" s="474"/>
      <c r="T369" s="344"/>
      <c r="U369" s="475"/>
    </row>
    <row r="370" spans="2:21" ht="13.2" customHeight="1" x14ac:dyDescent="0.25">
      <c r="B370" s="346"/>
      <c r="C370" s="351" t="s">
        <v>61</v>
      </c>
      <c r="D370" s="352" t="str">
        <f>HLOOKUP(Deckblatt!$C$12,Language!$C$1:$D$730,460,FALSE)</f>
        <v>Telekommunikationsinfrastruktur</v>
      </c>
      <c r="E370" s="353"/>
      <c r="F370" s="348"/>
      <c r="G370" s="488"/>
      <c r="H370" s="21">
        <v>30</v>
      </c>
      <c r="I370" s="350"/>
      <c r="J370" s="340"/>
      <c r="K370" s="341"/>
      <c r="L370" s="341"/>
      <c r="M370" s="341"/>
      <c r="N370" s="342"/>
      <c r="P370" s="18">
        <f t="shared" si="5"/>
        <v>0</v>
      </c>
      <c r="Q370" s="338"/>
      <c r="R370" s="344"/>
      <c r="S370" s="474"/>
      <c r="T370" s="344"/>
      <c r="U370" s="475"/>
    </row>
    <row r="371" spans="2:21" x14ac:dyDescent="0.25">
      <c r="B371" s="346"/>
      <c r="C371" s="351"/>
      <c r="D371" s="361" t="s">
        <v>63</v>
      </c>
      <c r="E371" s="134" t="str">
        <f>HLOOKUP(Deckblatt!$C$12,Language!$C$1:$D$730,461,FALSE)</f>
        <v>Breitband-Internetzugang</v>
      </c>
      <c r="F371" s="348"/>
      <c r="G371" s="489"/>
      <c r="H371" s="21">
        <v>25</v>
      </c>
      <c r="I371" s="350"/>
      <c r="J371" s="340"/>
      <c r="K371" s="341"/>
      <c r="L371" s="341"/>
      <c r="M371" s="341"/>
      <c r="N371" s="342"/>
      <c r="P371" s="18">
        <f t="shared" si="5"/>
        <v>0</v>
      </c>
      <c r="Q371" s="338"/>
      <c r="R371" s="344"/>
      <c r="S371" s="474"/>
      <c r="T371" s="344"/>
      <c r="U371" s="475"/>
    </row>
    <row r="372" spans="2:21" ht="79.2" x14ac:dyDescent="0.25">
      <c r="B372" s="346"/>
      <c r="C372" s="351"/>
      <c r="D372" s="361"/>
      <c r="E372" s="134" t="str">
        <f>HLOOKUP(Deckblatt!$C$12,Language!$C$1:$D$730,462,FALSE)</f>
        <v xml:space="preserve">Es gibt ein leistungsfähiges Breitbandnetz mit einer Downloadgeschwindigkeit von:
  &gt; 50 Mbit/s
  &gt; 100 Mbit/s
  &gt; 300 Mbit/s
</v>
      </c>
      <c r="F372" s="348"/>
      <c r="G372" s="69">
        <v>25</v>
      </c>
      <c r="H372" s="18">
        <v>25</v>
      </c>
      <c r="I372" s="350"/>
      <c r="J372" s="340"/>
      <c r="K372" s="341"/>
      <c r="L372" s="341"/>
      <c r="M372" s="341"/>
      <c r="N372" s="342"/>
      <c r="P372" s="18">
        <f t="shared" si="5"/>
        <v>25</v>
      </c>
      <c r="Q372" s="338"/>
      <c r="R372" s="344"/>
      <c r="S372" s="474"/>
      <c r="T372" s="344"/>
      <c r="U372" s="475"/>
    </row>
    <row r="373" spans="2:21" ht="66" x14ac:dyDescent="0.25">
      <c r="B373" s="346"/>
      <c r="C373" s="351"/>
      <c r="D373" s="71" t="s">
        <v>186</v>
      </c>
      <c r="E373"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3" s="348"/>
      <c r="G373" s="69"/>
      <c r="H373" s="18">
        <f>IF(G372=25,0,10)</f>
        <v>0</v>
      </c>
      <c r="I373" s="350"/>
      <c r="J373" s="340"/>
      <c r="K373" s="341"/>
      <c r="L373" s="341"/>
      <c r="M373" s="341"/>
      <c r="N373" s="342"/>
      <c r="P373" s="18">
        <f t="shared" si="5"/>
        <v>0</v>
      </c>
      <c r="Q373" s="338"/>
      <c r="R373" s="344"/>
      <c r="S373" s="474"/>
      <c r="T373" s="344"/>
      <c r="U373" s="475"/>
    </row>
    <row r="374" spans="2:21" ht="26.4" x14ac:dyDescent="0.25">
      <c r="B374" s="346"/>
      <c r="C374" s="351"/>
      <c r="D374" s="71" t="s">
        <v>255</v>
      </c>
      <c r="E374" s="134" t="str">
        <f>HLOOKUP(Deckblatt!$C$12,Language!$C$1:$D$730,464,FALSE)</f>
        <v xml:space="preserve">Freies WLAN im öffentlichen Raum
</v>
      </c>
      <c r="F374" s="348"/>
      <c r="G374" s="69"/>
      <c r="H374" s="18">
        <v>5</v>
      </c>
      <c r="I374" s="350"/>
      <c r="J374" s="340"/>
      <c r="K374" s="341"/>
      <c r="L374" s="341"/>
      <c r="M374" s="341"/>
      <c r="N374" s="342"/>
      <c r="P374" s="18">
        <f t="shared" si="5"/>
        <v>0</v>
      </c>
      <c r="Q374" s="338"/>
      <c r="R374" s="344"/>
      <c r="S374" s="474"/>
      <c r="T374" s="344"/>
      <c r="U374" s="475"/>
    </row>
    <row r="375" spans="2:21" ht="13.2" customHeight="1" x14ac:dyDescent="0.25">
      <c r="B375" s="346"/>
      <c r="C375" s="351" t="s">
        <v>64</v>
      </c>
      <c r="D375" s="352" t="str">
        <f>HLOOKUP(Deckblatt!$C$12,Language!$C$1:$D$730,465,FALSE)</f>
        <v>Datenauswertung</v>
      </c>
      <c r="E375" s="353"/>
      <c r="F375" s="348"/>
      <c r="G375" s="113"/>
      <c r="H375" s="21">
        <v>30</v>
      </c>
      <c r="I375" s="350"/>
      <c r="J375" s="340"/>
      <c r="K375" s="341"/>
      <c r="L375" s="341"/>
      <c r="M375" s="341"/>
      <c r="N375" s="342"/>
      <c r="P375" s="18">
        <f t="shared" si="5"/>
        <v>0</v>
      </c>
      <c r="Q375" s="338"/>
      <c r="R375" s="344"/>
      <c r="S375" s="474"/>
      <c r="T375" s="344"/>
      <c r="U375" s="475"/>
    </row>
    <row r="376" spans="2:21" ht="92.4" x14ac:dyDescent="0.25">
      <c r="B376" s="346"/>
      <c r="C376" s="351"/>
      <c r="D376" s="71" t="s">
        <v>66</v>
      </c>
      <c r="E376"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6" s="348"/>
      <c r="G376" s="69"/>
      <c r="H376" s="18">
        <v>30</v>
      </c>
      <c r="I376" s="350"/>
      <c r="J376" s="340" t="s">
        <v>1837</v>
      </c>
      <c r="K376" s="341"/>
      <c r="L376" s="341"/>
      <c r="M376" s="341"/>
      <c r="N376" s="342"/>
      <c r="P376" s="18">
        <f t="shared" si="5"/>
        <v>0</v>
      </c>
      <c r="Q376" s="338"/>
      <c r="R376" s="344"/>
      <c r="S376" s="474"/>
      <c r="T376" s="344"/>
      <c r="U376" s="475"/>
    </row>
    <row r="377" spans="2:21" ht="13.2" customHeight="1" x14ac:dyDescent="0.25">
      <c r="B377" s="346"/>
      <c r="C377" s="351" t="s">
        <v>67</v>
      </c>
      <c r="D377" s="352" t="str">
        <f>HLOOKUP(Deckblatt!$C$12,Language!$C$1:$D$730,467,FALSE)</f>
        <v>Quartiersbezogene digitale Angebote</v>
      </c>
      <c r="E377" s="353"/>
      <c r="F377" s="348"/>
      <c r="G377" s="113"/>
      <c r="H377" s="21">
        <v>10</v>
      </c>
      <c r="I377" s="350"/>
      <c r="J377" s="340"/>
      <c r="K377" s="341"/>
      <c r="L377" s="341"/>
      <c r="M377" s="341"/>
      <c r="N377" s="342"/>
      <c r="P377" s="18">
        <f t="shared" si="5"/>
        <v>0</v>
      </c>
      <c r="Q377" s="338"/>
      <c r="R377" s="344"/>
      <c r="S377" s="474"/>
      <c r="T377" s="344"/>
      <c r="U377" s="475"/>
    </row>
    <row r="378" spans="2:21" ht="52.8" x14ac:dyDescent="0.25">
      <c r="B378" s="346"/>
      <c r="C378" s="351"/>
      <c r="D378" s="71" t="s">
        <v>69</v>
      </c>
      <c r="E378" s="134" t="str">
        <f>HLOOKUP(Deckblatt!$C$12,Language!$C$1:$D$730,468,FALSE)</f>
        <v xml:space="preserve">Information zu quartiersbezogenen digitalen Angeboten
Bei Einzug und bei Änderungen des Angebotes werden die Bewohner/Nutzer des Quartiers über die digitalen Angebote informiert 
</v>
      </c>
      <c r="F378" s="348"/>
      <c r="G378" s="69">
        <v>0</v>
      </c>
      <c r="H378" s="18">
        <v>2</v>
      </c>
      <c r="I378" s="350"/>
      <c r="J378" s="340" t="s">
        <v>1837</v>
      </c>
      <c r="K378" s="341"/>
      <c r="L378" s="341"/>
      <c r="M378" s="341"/>
      <c r="N378" s="342"/>
      <c r="P378" s="18">
        <f t="shared" si="5"/>
        <v>0</v>
      </c>
      <c r="Q378" s="338"/>
      <c r="R378" s="344"/>
      <c r="S378" s="474"/>
      <c r="T378" s="344"/>
      <c r="U378" s="475"/>
    </row>
    <row r="379" spans="2:21" ht="88.2" customHeight="1" x14ac:dyDescent="0.25">
      <c r="B379" s="346"/>
      <c r="C379" s="351"/>
      <c r="D379" s="71" t="s">
        <v>78</v>
      </c>
      <c r="E379"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79" s="348"/>
      <c r="G379" s="69"/>
      <c r="H379" s="18">
        <v>8</v>
      </c>
      <c r="I379" s="350"/>
      <c r="J379" s="340" t="s">
        <v>1837</v>
      </c>
      <c r="K379" s="341"/>
      <c r="L379" s="341"/>
      <c r="M379" s="341"/>
      <c r="N379" s="342"/>
      <c r="P379" s="18">
        <f t="shared" si="5"/>
        <v>0</v>
      </c>
      <c r="Q379" s="338"/>
      <c r="R379" s="344"/>
      <c r="S379" s="474"/>
      <c r="T379" s="344"/>
      <c r="U379" s="475"/>
    </row>
    <row r="380" spans="2:21" x14ac:dyDescent="0.25">
      <c r="B380" s="55" t="s">
        <v>421</v>
      </c>
      <c r="C380" s="354" t="str">
        <f>HLOOKUP(Deckblatt!$C$12,Language!$C$1:$D$730,470,FALSE)</f>
        <v>Mobilitätsinfrastruktur– Motorisierter Verkehr</v>
      </c>
      <c r="D380" s="354"/>
      <c r="E380" s="355"/>
      <c r="F380" s="66">
        <f>Q380</f>
        <v>90.5</v>
      </c>
      <c r="G380" s="364"/>
      <c r="H380" s="21">
        <v>120</v>
      </c>
      <c r="I380" s="176">
        <v>5</v>
      </c>
      <c r="J380" s="340"/>
      <c r="K380" s="341"/>
      <c r="L380" s="341"/>
      <c r="M380" s="341"/>
      <c r="N380" s="342"/>
      <c r="P380" s="18">
        <f t="shared" ref="P380:P435" si="6">IF(G380&gt;H380,H380,G380)</f>
        <v>0</v>
      </c>
      <c r="Q380" s="337">
        <f>IF(SUM(P382,IF(P384+P385&gt;20,20,P384+P385),P388,P391,IF(P393+P394&gt;9,9,P393+P394),P396,P398,P400,P402,P403,P405)&gt;100,100+P389+P406,SUM(P382,IF(P384+P385&gt;20,20,P384+P385),P388,P391,IF(P393+P394&gt;9,9,P393+P394),P396,P398,P400,P402,P403,P405)+P389+P406)</f>
        <v>90.5</v>
      </c>
      <c r="R380" s="343">
        <f>Q380/100</f>
        <v>0.90500000000000003</v>
      </c>
      <c r="S380" s="474"/>
      <c r="T380" s="344"/>
      <c r="U380" s="475"/>
    </row>
    <row r="381" spans="2:21" ht="13.2" customHeight="1" x14ac:dyDescent="0.25">
      <c r="B381" s="375"/>
      <c r="C381" s="351" t="s">
        <v>54</v>
      </c>
      <c r="D381" s="352" t="str">
        <f>HLOOKUP(Deckblatt!$C$12,Language!$C$1:$D$730,471,FALSE)</f>
        <v>Verkehrsmodell</v>
      </c>
      <c r="E381" s="353"/>
      <c r="F381" s="363"/>
      <c r="G381" s="364"/>
      <c r="H381" s="21">
        <v>5</v>
      </c>
      <c r="I381" s="379"/>
      <c r="J381" s="340"/>
      <c r="K381" s="341"/>
      <c r="L381" s="341"/>
      <c r="M381" s="341"/>
      <c r="N381" s="342"/>
      <c r="P381" s="18">
        <f t="shared" si="6"/>
        <v>0</v>
      </c>
      <c r="Q381" s="338"/>
      <c r="R381" s="344"/>
      <c r="S381" s="474"/>
      <c r="T381" s="344"/>
      <c r="U381" s="475"/>
    </row>
    <row r="382" spans="2:21" ht="26.4" x14ac:dyDescent="0.25">
      <c r="B382" s="375"/>
      <c r="C382" s="351"/>
      <c r="D382" s="71" t="s">
        <v>58</v>
      </c>
      <c r="E382" s="134" t="str">
        <f>HLOOKUP(Deckblatt!$C$12,Language!$C$1:$D$730,472,FALSE)</f>
        <v xml:space="preserve">Aktualität Verkehrsmodell
</v>
      </c>
      <c r="F382" s="363"/>
      <c r="G382" s="69">
        <v>5</v>
      </c>
      <c r="H382" s="18">
        <v>5</v>
      </c>
      <c r="I382" s="379"/>
      <c r="J382" s="340"/>
      <c r="K382" s="341"/>
      <c r="L382" s="341"/>
      <c r="M382" s="341"/>
      <c r="N382" s="342"/>
      <c r="P382" s="18">
        <f t="shared" si="6"/>
        <v>5</v>
      </c>
      <c r="Q382" s="338"/>
      <c r="R382" s="344"/>
      <c r="S382" s="474"/>
      <c r="T382" s="344"/>
      <c r="U382" s="475"/>
    </row>
    <row r="383" spans="2:21" ht="13.2" customHeight="1" x14ac:dyDescent="0.25">
      <c r="B383" s="375"/>
      <c r="C383" s="351" t="s">
        <v>61</v>
      </c>
      <c r="D383" s="352" t="str">
        <f>HLOOKUP(Deckblatt!$C$12,Language!$C$1:$D$730,473,FALSE)</f>
        <v>Modal Split</v>
      </c>
      <c r="E383" s="353"/>
      <c r="F383" s="363"/>
      <c r="G383" s="113"/>
      <c r="H383" s="21">
        <v>20</v>
      </c>
      <c r="I383" s="379"/>
      <c r="J383" s="340"/>
      <c r="K383" s="341"/>
      <c r="L383" s="341"/>
      <c r="M383" s="341"/>
      <c r="N383" s="342"/>
      <c r="P383" s="18">
        <f t="shared" si="6"/>
        <v>0</v>
      </c>
      <c r="Q383" s="338"/>
      <c r="R383" s="344"/>
      <c r="S383" s="474"/>
      <c r="T383" s="344"/>
      <c r="U383" s="475"/>
    </row>
    <row r="384" spans="2:21" ht="39.6" x14ac:dyDescent="0.25">
      <c r="B384" s="375"/>
      <c r="C384" s="351"/>
      <c r="D384" s="71" t="s">
        <v>63</v>
      </c>
      <c r="E384" s="134" t="str">
        <f>HLOOKUP(Deckblatt!$C$12,Language!$C$1:$D$730,474,FALSE)</f>
        <v xml:space="preserve">Umweltverbund
Anteil am Umweltverbund 
</v>
      </c>
      <c r="F384" s="363"/>
      <c r="G384" s="69">
        <v>10</v>
      </c>
      <c r="H384" s="18">
        <v>20</v>
      </c>
      <c r="I384" s="379"/>
      <c r="J384" s="340"/>
      <c r="K384" s="341"/>
      <c r="L384" s="341"/>
      <c r="M384" s="341"/>
      <c r="N384" s="342"/>
      <c r="P384" s="18">
        <f t="shared" si="6"/>
        <v>10</v>
      </c>
      <c r="Q384" s="338"/>
      <c r="R384" s="344"/>
      <c r="S384" s="474"/>
      <c r="T384" s="344"/>
      <c r="U384" s="475"/>
    </row>
    <row r="385" spans="2:21" ht="145.19999999999999" x14ac:dyDescent="0.25">
      <c r="B385" s="375"/>
      <c r="C385" s="351"/>
      <c r="D385" s="71" t="s">
        <v>437</v>
      </c>
      <c r="E385"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5" s="363"/>
      <c r="G385" s="69">
        <v>10</v>
      </c>
      <c r="H385" s="18">
        <v>10</v>
      </c>
      <c r="I385" s="379"/>
      <c r="J385" s="340"/>
      <c r="K385" s="341"/>
      <c r="L385" s="341"/>
      <c r="M385" s="341"/>
      <c r="N385" s="342"/>
      <c r="P385" s="18">
        <f t="shared" si="6"/>
        <v>10</v>
      </c>
      <c r="Q385" s="338"/>
      <c r="R385" s="344"/>
      <c r="S385" s="474"/>
      <c r="T385" s="344"/>
      <c r="U385" s="475"/>
    </row>
    <row r="386" spans="2:21" ht="13.2" customHeight="1" x14ac:dyDescent="0.25">
      <c r="B386" s="375"/>
      <c r="C386" s="351" t="s">
        <v>64</v>
      </c>
      <c r="D386" s="352" t="str">
        <f>HLOOKUP(Deckblatt!$C$12,Language!$C$1:$D$730,476,FALSE)</f>
        <v>Infrastruktur für alternative Antriebstechnologien</v>
      </c>
      <c r="E386" s="353"/>
      <c r="F386" s="363"/>
      <c r="G386" s="356"/>
      <c r="H386" s="21">
        <v>30</v>
      </c>
      <c r="I386" s="379"/>
      <c r="J386" s="340"/>
      <c r="K386" s="341"/>
      <c r="L386" s="341"/>
      <c r="M386" s="341"/>
      <c r="N386" s="342"/>
      <c r="P386" s="18">
        <f t="shared" si="6"/>
        <v>0</v>
      </c>
      <c r="Q386" s="338"/>
      <c r="R386" s="344"/>
      <c r="S386" s="474"/>
      <c r="T386" s="344"/>
      <c r="U386" s="475"/>
    </row>
    <row r="387" spans="2:21" x14ac:dyDescent="0.25">
      <c r="B387" s="375"/>
      <c r="C387" s="351"/>
      <c r="D387" s="361" t="s">
        <v>66</v>
      </c>
      <c r="E387" s="134" t="str">
        <f>HLOOKUP(Deckblatt!$C$12,Language!$C$1:$D$730,477,FALSE)</f>
        <v>Motorisierter Individualverkehr (MIV)</v>
      </c>
      <c r="F387" s="363"/>
      <c r="G387" s="356"/>
      <c r="H387" s="21">
        <v>20</v>
      </c>
      <c r="I387" s="379"/>
      <c r="J387" s="340"/>
      <c r="K387" s="341"/>
      <c r="L387" s="341"/>
      <c r="M387" s="341"/>
      <c r="N387" s="342"/>
      <c r="P387" s="18">
        <f t="shared" si="6"/>
        <v>0</v>
      </c>
      <c r="Q387" s="338"/>
      <c r="R387" s="344"/>
      <c r="S387" s="474"/>
      <c r="T387" s="344"/>
      <c r="U387" s="475"/>
    </row>
    <row r="388" spans="2:21" ht="52.8" x14ac:dyDescent="0.25">
      <c r="B388" s="375"/>
      <c r="C388" s="351"/>
      <c r="D388" s="361"/>
      <c r="E388" s="134" t="str">
        <f>HLOOKUP(Deckblatt!$C$12,Language!$C$1:$D$730,478,FALSE)</f>
        <v xml:space="preserve">Mobilitätsmanagement-Strategie – Ladeinfrastruktur (Variante A) 
Mobilitätsmanagement-Strategie – Keine Pkw-Stellplätze (Variante B) 
</v>
      </c>
      <c r="F388" s="363"/>
      <c r="G388" s="69">
        <v>10</v>
      </c>
      <c r="H388" s="18">
        <v>20</v>
      </c>
      <c r="I388" s="379"/>
      <c r="J388" s="340"/>
      <c r="K388" s="341"/>
      <c r="L388" s="341"/>
      <c r="M388" s="341"/>
      <c r="N388" s="342"/>
      <c r="P388" s="18">
        <f t="shared" si="6"/>
        <v>10</v>
      </c>
      <c r="Q388" s="338"/>
      <c r="R388" s="344"/>
      <c r="S388" s="474"/>
      <c r="T388" s="344"/>
      <c r="U388" s="475"/>
    </row>
    <row r="389" spans="2:21" ht="66" x14ac:dyDescent="0.25">
      <c r="B389" s="375"/>
      <c r="C389" s="351"/>
      <c r="D389" s="71" t="s">
        <v>188</v>
      </c>
      <c r="E389" s="54" t="str">
        <f>HLOOKUP(Deckblatt!$C$12,Language!$C$1:$D$730,479,FALSE)</f>
        <v xml:space="preserve">AGENDA 2030 BONUS – KLIMASCHUTZZIELE
Keine PKW-Stellplätze 
Eine Mobilitätsmanagement-Strategie nach Variante B wurde vollständig umgesetzt.
</v>
      </c>
      <c r="F389" s="363"/>
      <c r="G389" s="69"/>
      <c r="H389" s="18">
        <v>10</v>
      </c>
      <c r="I389" s="379"/>
      <c r="J389" s="340"/>
      <c r="K389" s="341"/>
      <c r="L389" s="341"/>
      <c r="M389" s="341"/>
      <c r="N389" s="342"/>
      <c r="P389" s="18">
        <f t="shared" si="6"/>
        <v>0</v>
      </c>
      <c r="Q389" s="338"/>
      <c r="R389" s="344"/>
      <c r="S389" s="474"/>
      <c r="T389" s="344"/>
      <c r="U389" s="475"/>
    </row>
    <row r="390" spans="2:21" ht="13.2" customHeight="1" x14ac:dyDescent="0.25">
      <c r="B390" s="375"/>
      <c r="C390" s="351" t="s">
        <v>67</v>
      </c>
      <c r="D390" s="352" t="str">
        <f>HLOOKUP(Deckblatt!$C$12,Language!$C$1:$D$730,480,FALSE)</f>
        <v>Fahrzeugsharing</v>
      </c>
      <c r="E390" s="353"/>
      <c r="F390" s="363"/>
      <c r="G390" s="113"/>
      <c r="H390" s="21">
        <v>10</v>
      </c>
      <c r="I390" s="379"/>
      <c r="J390" s="340"/>
      <c r="K390" s="341"/>
      <c r="L390" s="341"/>
      <c r="M390" s="341"/>
      <c r="N390" s="342"/>
      <c r="P390" s="18">
        <f t="shared" si="6"/>
        <v>0</v>
      </c>
      <c r="Q390" s="338"/>
      <c r="R390" s="344"/>
      <c r="S390" s="474"/>
      <c r="T390" s="344"/>
      <c r="U390" s="475"/>
    </row>
    <row r="391" spans="2:21" ht="79.2" x14ac:dyDescent="0.25">
      <c r="B391" s="375"/>
      <c r="C391" s="351"/>
      <c r="D391" s="71" t="s">
        <v>69</v>
      </c>
      <c r="E391" s="134" t="str">
        <f>HLOOKUP(Deckblatt!$C$12,Language!$C$1:$D$730,481,FALSE)</f>
        <v xml:space="preserve">Fahrzeugsharing Angebote
Es gibt ein Sharing-Angebot für motorisierte Fahrzeuge (Kommerzielles/Privates Sharing, Werksfahrzeuge, etc.) im Quartier/am Standort oder im direkten Umfeld (max. 5 Gehminuten). 
</v>
      </c>
      <c r="F391" s="363"/>
      <c r="G391" s="69">
        <v>10</v>
      </c>
      <c r="H391" s="18">
        <v>10</v>
      </c>
      <c r="I391" s="379"/>
      <c r="J391" s="340"/>
      <c r="K391" s="341"/>
      <c r="L391" s="341"/>
      <c r="M391" s="341"/>
      <c r="N391" s="342"/>
      <c r="P391" s="18">
        <f t="shared" si="6"/>
        <v>10</v>
      </c>
      <c r="Q391" s="338"/>
      <c r="R391" s="344"/>
      <c r="S391" s="474"/>
      <c r="T391" s="344"/>
      <c r="U391" s="475"/>
    </row>
    <row r="392" spans="2:21" ht="13.2" customHeight="1" x14ac:dyDescent="0.25">
      <c r="B392" s="375"/>
      <c r="C392" s="351" t="s">
        <v>154</v>
      </c>
      <c r="D392" s="352" t="str">
        <f>HLOOKUP(Deckblatt!$C$12,Language!$C$1:$D$730,482,FALSE)</f>
        <v>ÖPNV-Erschließungsqualität</v>
      </c>
      <c r="E392" s="353"/>
      <c r="F392" s="363"/>
      <c r="G392" s="113"/>
      <c r="H392" s="21">
        <v>9</v>
      </c>
      <c r="I392" s="379"/>
      <c r="J392" s="340"/>
      <c r="K392" s="341"/>
      <c r="L392" s="341"/>
      <c r="M392" s="341"/>
      <c r="N392" s="342"/>
      <c r="P392" s="18">
        <f t="shared" si="6"/>
        <v>0</v>
      </c>
      <c r="Q392" s="338"/>
      <c r="R392" s="344"/>
      <c r="S392" s="474"/>
      <c r="T392" s="344"/>
      <c r="U392" s="475"/>
    </row>
    <row r="393" spans="2:21" ht="52.8" x14ac:dyDescent="0.25">
      <c r="B393" s="375"/>
      <c r="C393" s="351"/>
      <c r="D393" s="71" t="s">
        <v>156</v>
      </c>
      <c r="E393" s="134" t="str">
        <f>HLOOKUP(Deckblatt!$C$12,Language!$C$1:$D$730,483,FALSE)</f>
        <v xml:space="preserve">ÖPNV-Erschließungsqualität
Prozentualer Anteil der Gebäude (Gemessen an BGF) die innerhalb von 350 m Luftlinie eine ÖPNV-Haltestelle erreichen können (Bus, S-Bahn, Tram)
</v>
      </c>
      <c r="F393" s="363"/>
      <c r="G393" s="69">
        <v>9</v>
      </c>
      <c r="H393" s="18">
        <v>9</v>
      </c>
      <c r="I393" s="379"/>
      <c r="J393" s="340"/>
      <c r="K393" s="341"/>
      <c r="L393" s="341"/>
      <c r="M393" s="341"/>
      <c r="N393" s="342"/>
      <c r="P393" s="18">
        <f t="shared" si="6"/>
        <v>9</v>
      </c>
      <c r="Q393" s="338"/>
      <c r="R393" s="344"/>
      <c r="S393" s="474"/>
      <c r="T393" s="344"/>
      <c r="U393" s="475"/>
    </row>
    <row r="394" spans="2:21" ht="26.4" x14ac:dyDescent="0.25">
      <c r="B394" s="375"/>
      <c r="C394" s="351"/>
      <c r="D394" s="71" t="s">
        <v>218</v>
      </c>
      <c r="E394" s="134" t="str">
        <f>HLOOKUP(Deckblatt!$C$12,Language!$C$1:$D$730,484,FALSE)</f>
        <v xml:space="preserve">Alternative zu 5.1: Angebot Bus- und Bahnlinien
</v>
      </c>
      <c r="F394" s="363"/>
      <c r="G394" s="69"/>
      <c r="H394" s="18">
        <v>9</v>
      </c>
      <c r="I394" s="379"/>
      <c r="J394" s="340"/>
      <c r="K394" s="341"/>
      <c r="L394" s="341"/>
      <c r="M394" s="341"/>
      <c r="N394" s="342"/>
      <c r="P394" s="18">
        <f t="shared" si="6"/>
        <v>0</v>
      </c>
      <c r="Q394" s="338"/>
      <c r="R394" s="344"/>
      <c r="S394" s="474"/>
      <c r="T394" s="344"/>
      <c r="U394" s="475"/>
    </row>
    <row r="395" spans="2:21" ht="13.2" customHeight="1" x14ac:dyDescent="0.25">
      <c r="B395" s="375"/>
      <c r="C395" s="351" t="s">
        <v>157</v>
      </c>
      <c r="D395" s="352" t="str">
        <f>HLOOKUP(Deckblatt!$C$12,Language!$C$1:$D$730,485,FALSE)</f>
        <v>Intermodale Plattformen</v>
      </c>
      <c r="E395" s="353"/>
      <c r="F395" s="363"/>
      <c r="G395" s="113"/>
      <c r="H395" s="21">
        <v>10</v>
      </c>
      <c r="I395" s="379"/>
      <c r="J395" s="340"/>
      <c r="K395" s="341"/>
      <c r="L395" s="341"/>
      <c r="M395" s="341"/>
      <c r="N395" s="342"/>
      <c r="P395" s="18">
        <f t="shared" si="6"/>
        <v>0</v>
      </c>
      <c r="Q395" s="338"/>
      <c r="R395" s="344"/>
      <c r="S395" s="474"/>
      <c r="T395" s="344"/>
      <c r="U395" s="475"/>
    </row>
    <row r="396" spans="2:21" ht="79.2" x14ac:dyDescent="0.25">
      <c r="B396" s="375"/>
      <c r="C396" s="351"/>
      <c r="D396" s="71" t="s">
        <v>159</v>
      </c>
      <c r="E396"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6" s="363"/>
      <c r="G396" s="69">
        <v>2.5</v>
      </c>
      <c r="H396" s="18">
        <v>10</v>
      </c>
      <c r="I396" s="379"/>
      <c r="J396" s="340"/>
      <c r="K396" s="341"/>
      <c r="L396" s="341"/>
      <c r="M396" s="341"/>
      <c r="N396" s="342"/>
      <c r="P396" s="18">
        <f t="shared" si="6"/>
        <v>2.5</v>
      </c>
      <c r="Q396" s="338"/>
      <c r="R396" s="344"/>
      <c r="S396" s="474"/>
      <c r="T396" s="344"/>
      <c r="U396" s="475"/>
    </row>
    <row r="397" spans="2:21" ht="13.2" customHeight="1" x14ac:dyDescent="0.25">
      <c r="B397" s="375"/>
      <c r="C397" s="351" t="s">
        <v>282</v>
      </c>
      <c r="D397" s="352" t="str">
        <f>HLOOKUP(Deckblatt!$C$12,Language!$C$1:$D$730,487,FALSE)</f>
        <v>Zugang zum nächstgelegenen Bahnhof</v>
      </c>
      <c r="E397" s="353"/>
      <c r="F397" s="363"/>
      <c r="G397" s="113"/>
      <c r="H397" s="21">
        <v>5</v>
      </c>
      <c r="I397" s="379"/>
      <c r="J397" s="340"/>
      <c r="K397" s="341"/>
      <c r="L397" s="341"/>
      <c r="M397" s="341"/>
      <c r="N397" s="342"/>
      <c r="P397" s="18">
        <f t="shared" si="6"/>
        <v>0</v>
      </c>
      <c r="Q397" s="338"/>
      <c r="R397" s="344"/>
      <c r="S397" s="474"/>
      <c r="T397" s="344"/>
      <c r="U397" s="475"/>
    </row>
    <row r="398" spans="2:21" ht="52.8" x14ac:dyDescent="0.25">
      <c r="B398" s="375"/>
      <c r="C398" s="351"/>
      <c r="D398" s="71" t="s">
        <v>284</v>
      </c>
      <c r="E398" s="134" t="str">
        <f>HLOOKUP(Deckblatt!$C$12,Language!$C$1:$D$730,488,FALSE)</f>
        <v xml:space="preserve">Öffentliche Verkehrsmittel
Zugang zum nächstgelegenen Bahnhof (S-Bahn, Regional-und/oder Fernverkehr) mit öffentlichen Verkehrsmitteln, mit dem Fahrrad oder zu Fuß.
</v>
      </c>
      <c r="F398" s="363"/>
      <c r="G398" s="69">
        <v>3</v>
      </c>
      <c r="H398" s="18">
        <v>5</v>
      </c>
      <c r="I398" s="379"/>
      <c r="J398" s="340"/>
      <c r="K398" s="341"/>
      <c r="L398" s="341"/>
      <c r="M398" s="341"/>
      <c r="N398" s="342"/>
      <c r="P398" s="18">
        <f t="shared" si="6"/>
        <v>3</v>
      </c>
      <c r="Q398" s="338"/>
      <c r="R398" s="344"/>
      <c r="S398" s="474"/>
      <c r="T398" s="344"/>
      <c r="U398" s="475"/>
    </row>
    <row r="399" spans="2:21" ht="13.2" customHeight="1" x14ac:dyDescent="0.25">
      <c r="B399" s="375"/>
      <c r="C399" s="351" t="s">
        <v>285</v>
      </c>
      <c r="D399" s="352" t="str">
        <f>HLOOKUP(Deckblatt!$C$12,Language!$C$1:$D$730,489,FALSE)</f>
        <v>Takt des ÖPNV</v>
      </c>
      <c r="E399" s="353"/>
      <c r="F399" s="363"/>
      <c r="G399" s="113"/>
      <c r="H399" s="21">
        <v>10</v>
      </c>
      <c r="I399" s="379"/>
      <c r="J399" s="340"/>
      <c r="K399" s="341"/>
      <c r="L399" s="341"/>
      <c r="M399" s="341"/>
      <c r="N399" s="342"/>
      <c r="P399" s="18">
        <f t="shared" si="6"/>
        <v>0</v>
      </c>
      <c r="Q399" s="338"/>
      <c r="R399" s="344"/>
      <c r="S399" s="474"/>
      <c r="T399" s="344"/>
      <c r="U399" s="475"/>
    </row>
    <row r="400" spans="2:21" ht="52.8" x14ac:dyDescent="0.25">
      <c r="B400" s="375"/>
      <c r="C400" s="351"/>
      <c r="D400" s="71" t="s">
        <v>287</v>
      </c>
      <c r="E400" s="134" t="str">
        <f>HLOOKUP(Deckblatt!$C$12,Language!$C$1:$D$730,490,FALSE)</f>
        <v xml:space="preserve">Takt ÖPNV
Durchschnittlicher Takt aller ÖPNV-Linien werktags zwischen 6 und 19 Uhr. Beziehungsweise an die Schichtwechsel angepasste ÖPNV Taktung.
</v>
      </c>
      <c r="F400" s="363"/>
      <c r="G400" s="69">
        <v>5</v>
      </c>
      <c r="H400" s="18">
        <v>10</v>
      </c>
      <c r="I400" s="379"/>
      <c r="J400" s="340"/>
      <c r="K400" s="341"/>
      <c r="L400" s="341"/>
      <c r="M400" s="341"/>
      <c r="N400" s="342"/>
      <c r="P400" s="18">
        <f t="shared" si="6"/>
        <v>5</v>
      </c>
      <c r="Q400" s="338"/>
      <c r="R400" s="344"/>
      <c r="S400" s="474"/>
      <c r="T400" s="344"/>
      <c r="U400" s="475"/>
    </row>
    <row r="401" spans="2:21" ht="13.2" customHeight="1" x14ac:dyDescent="0.25">
      <c r="B401" s="375"/>
      <c r="C401" s="351" t="s">
        <v>292</v>
      </c>
      <c r="D401" s="352" t="str">
        <f>HLOOKUP(Deckblatt!$C$12,Language!$C$1:$D$730,491,FALSE)</f>
        <v>Besondere Maßnahmen zur Förderung des ÖPNV</v>
      </c>
      <c r="E401" s="353"/>
      <c r="F401" s="363"/>
      <c r="G401" s="113"/>
      <c r="H401" s="21">
        <v>16</v>
      </c>
      <c r="I401" s="379"/>
      <c r="J401" s="340"/>
      <c r="K401" s="341"/>
      <c r="L401" s="341"/>
      <c r="M401" s="341"/>
      <c r="N401" s="342"/>
      <c r="P401" s="18">
        <f t="shared" si="6"/>
        <v>0</v>
      </c>
      <c r="Q401" s="338"/>
      <c r="R401" s="344"/>
      <c r="S401" s="474"/>
      <c r="T401" s="344"/>
      <c r="U401" s="475"/>
    </row>
    <row r="402" spans="2:21" ht="26.4" x14ac:dyDescent="0.25">
      <c r="B402" s="375"/>
      <c r="C402" s="351"/>
      <c r="D402" s="71" t="s">
        <v>293</v>
      </c>
      <c r="E402" s="134" t="str">
        <f>HLOOKUP(Deckblatt!$C$12,Language!$C$1:$D$730,492,FALSE)</f>
        <v xml:space="preserve">Bauliche oder Betriebliche Maßnahmen
</v>
      </c>
      <c r="F402" s="363"/>
      <c r="G402" s="69">
        <v>8</v>
      </c>
      <c r="H402" s="18">
        <v>8</v>
      </c>
      <c r="I402" s="379"/>
      <c r="J402" s="340"/>
      <c r="K402" s="341"/>
      <c r="L402" s="341"/>
      <c r="M402" s="341"/>
      <c r="N402" s="342"/>
      <c r="P402" s="18">
        <f t="shared" si="6"/>
        <v>8</v>
      </c>
      <c r="Q402" s="338"/>
      <c r="R402" s="344"/>
      <c r="S402" s="474"/>
      <c r="T402" s="344"/>
      <c r="U402" s="475"/>
    </row>
    <row r="403" spans="2:21" ht="92.4" x14ac:dyDescent="0.25">
      <c r="B403" s="375"/>
      <c r="C403" s="351"/>
      <c r="D403" s="19" t="s">
        <v>460</v>
      </c>
      <c r="E403"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3" s="363"/>
      <c r="G403" s="69">
        <v>8</v>
      </c>
      <c r="H403" s="18">
        <v>8</v>
      </c>
      <c r="I403" s="379"/>
      <c r="J403" s="340"/>
      <c r="K403" s="341"/>
      <c r="L403" s="341"/>
      <c r="M403" s="341"/>
      <c r="N403" s="342"/>
      <c r="P403" s="18">
        <f t="shared" si="6"/>
        <v>8</v>
      </c>
      <c r="Q403" s="338"/>
      <c r="R403" s="344"/>
      <c r="S403" s="474"/>
      <c r="T403" s="344"/>
      <c r="U403" s="475"/>
    </row>
    <row r="404" spans="2:21" ht="13.2" customHeight="1" x14ac:dyDescent="0.25">
      <c r="B404" s="375"/>
      <c r="C404" s="351" t="s">
        <v>448</v>
      </c>
      <c r="D404" s="352" t="str">
        <f>HLOOKUP(Deckblatt!$C$12,Language!$C$1:$D$730,494,FALSE)</f>
        <v>Konzept Wirtschaftsverkehr</v>
      </c>
      <c r="E404" s="353"/>
      <c r="F404" s="363"/>
      <c r="G404" s="113"/>
      <c r="H404" s="21">
        <v>20</v>
      </c>
      <c r="I404" s="379"/>
      <c r="J404" s="340"/>
      <c r="K404" s="341"/>
      <c r="L404" s="341"/>
      <c r="M404" s="341"/>
      <c r="N404" s="342"/>
      <c r="P404" s="18">
        <f t="shared" si="6"/>
        <v>0</v>
      </c>
      <c r="Q404" s="338"/>
      <c r="R404" s="344"/>
      <c r="S404" s="474"/>
      <c r="T404" s="344"/>
      <c r="U404" s="475"/>
    </row>
    <row r="405" spans="2:21" ht="26.4" x14ac:dyDescent="0.25">
      <c r="B405" s="375"/>
      <c r="C405" s="351"/>
      <c r="D405" s="19" t="s">
        <v>459</v>
      </c>
      <c r="E405" s="134" t="str">
        <f>HLOOKUP(Deckblatt!$C$12,Language!$C$1:$D$730,495,FALSE)</f>
        <v xml:space="preserve">Konzept Wirtschaftsverkehr
</v>
      </c>
      <c r="F405" s="363"/>
      <c r="G405" s="69">
        <v>10</v>
      </c>
      <c r="H405" s="18">
        <v>10</v>
      </c>
      <c r="I405" s="379"/>
      <c r="J405" s="340"/>
      <c r="K405" s="341"/>
      <c r="L405" s="341"/>
      <c r="M405" s="341"/>
      <c r="N405" s="342"/>
      <c r="P405" s="18">
        <f t="shared" si="6"/>
        <v>10</v>
      </c>
      <c r="Q405" s="338"/>
      <c r="R405" s="344"/>
      <c r="S405" s="474"/>
      <c r="T405" s="344"/>
      <c r="U405" s="475"/>
    </row>
    <row r="406" spans="2:21" ht="52.8" x14ac:dyDescent="0.25">
      <c r="B406" s="375"/>
      <c r="C406" s="351"/>
      <c r="D406" s="71" t="s">
        <v>458</v>
      </c>
      <c r="E406" s="54" t="str">
        <f>HLOOKUP(Deckblatt!$C$12,Language!$C$1:$D$730,496,FALSE)</f>
        <v xml:space="preserve">AGENDA 2030 BONUS – KLIMASCHUTZZIELE
Ambition zum Erreichen klimaneutraler  Logistik
</v>
      </c>
      <c r="F406" s="363"/>
      <c r="G406" s="69"/>
      <c r="H406" s="18">
        <v>10</v>
      </c>
      <c r="I406" s="379"/>
      <c r="J406" s="340"/>
      <c r="K406" s="341"/>
      <c r="L406" s="341"/>
      <c r="M406" s="341"/>
      <c r="N406" s="342"/>
      <c r="P406" s="18">
        <f t="shared" si="6"/>
        <v>0</v>
      </c>
      <c r="Q406" s="338"/>
      <c r="R406" s="344"/>
      <c r="S406" s="474"/>
      <c r="T406" s="344"/>
      <c r="U406" s="475"/>
    </row>
    <row r="407" spans="2:21" x14ac:dyDescent="0.25">
      <c r="B407" s="55" t="s">
        <v>454</v>
      </c>
      <c r="C407" s="354" t="str">
        <f>HLOOKUP(Deckblatt!$C$12,Language!$C$1:$D$730,497,FALSE)</f>
        <v>Mobilitätsinfrastruktur– Nicht Motorisierter Verkehr</v>
      </c>
      <c r="D407" s="354"/>
      <c r="E407" s="355"/>
      <c r="F407" s="66">
        <f>Q407</f>
        <v>100</v>
      </c>
      <c r="G407" s="364"/>
      <c r="H407" s="21">
        <v>100</v>
      </c>
      <c r="I407" s="176">
        <v>5</v>
      </c>
      <c r="J407" s="340"/>
      <c r="K407" s="341"/>
      <c r="L407" s="341"/>
      <c r="M407" s="341"/>
      <c r="N407" s="342"/>
      <c r="P407" s="18">
        <f t="shared" si="6"/>
        <v>0</v>
      </c>
      <c r="Q407" s="337">
        <f>IF(SUM(P409:P423)&gt;100,100,SUM(P409:P423))</f>
        <v>100</v>
      </c>
      <c r="R407" s="343">
        <f>Q407/100</f>
        <v>1</v>
      </c>
      <c r="S407" s="474"/>
      <c r="T407" s="344"/>
      <c r="U407" s="475"/>
    </row>
    <row r="408" spans="2:21" ht="13.2" customHeight="1" x14ac:dyDescent="0.25">
      <c r="B408" s="345"/>
      <c r="C408" s="351" t="s">
        <v>54</v>
      </c>
      <c r="D408" s="352" t="str">
        <f>HLOOKUP(Deckblatt!$C$12,Language!$C$1:$D$730,498,FALSE)</f>
        <v>Mobilitätselemente für Rad- und Fußgänger/innen</v>
      </c>
      <c r="E408" s="353"/>
      <c r="F408" s="347"/>
      <c r="G408" s="364"/>
      <c r="H408" s="21">
        <v>30</v>
      </c>
      <c r="I408" s="349"/>
      <c r="J408" s="340"/>
      <c r="K408" s="341"/>
      <c r="L408" s="341"/>
      <c r="M408" s="341"/>
      <c r="N408" s="342"/>
      <c r="P408" s="18">
        <f t="shared" si="6"/>
        <v>0</v>
      </c>
      <c r="Q408" s="338"/>
      <c r="R408" s="344"/>
      <c r="S408" s="474"/>
      <c r="T408" s="344"/>
      <c r="U408" s="475"/>
    </row>
    <row r="409" spans="2:21" ht="52.8" x14ac:dyDescent="0.25">
      <c r="B409" s="346"/>
      <c r="C409" s="351"/>
      <c r="D409" s="71" t="s">
        <v>58</v>
      </c>
      <c r="E409" s="134" t="str">
        <f>HLOOKUP(Deckblatt!$C$12,Language!$C$1:$D$730,499,FALSE)</f>
        <v xml:space="preserve">Rad-/Fußgängerverkehr fördernde Mobilitätselemente
Pro (innovativem) Mobilitätselement können 10 Punkte angerechnet werden. Beispiele sind unter Methode Indikator 1 aufgeführt.
</v>
      </c>
      <c r="F409" s="348"/>
      <c r="G409" s="69">
        <v>30</v>
      </c>
      <c r="H409" s="18">
        <v>30</v>
      </c>
      <c r="I409" s="350"/>
      <c r="J409" s="340"/>
      <c r="K409" s="341"/>
      <c r="L409" s="341"/>
      <c r="M409" s="341"/>
      <c r="N409" s="342"/>
      <c r="P409" s="18">
        <f t="shared" si="6"/>
        <v>30</v>
      </c>
      <c r="Q409" s="338"/>
      <c r="R409" s="344"/>
      <c r="S409" s="474"/>
      <c r="T409" s="344"/>
      <c r="U409" s="475"/>
    </row>
    <row r="410" spans="2:21" ht="13.2" customHeight="1" x14ac:dyDescent="0.25">
      <c r="B410" s="346"/>
      <c r="C410" s="359" t="s">
        <v>61</v>
      </c>
      <c r="D410" s="352" t="str">
        <f>HLOOKUP(Deckblatt!$C$12,Language!$C$1:$D$730,500,FALSE)</f>
        <v>Mobilitätsinfrastruktur für den Radverkehr</v>
      </c>
      <c r="E410" s="353"/>
      <c r="F410" s="348"/>
      <c r="G410" s="113"/>
      <c r="H410" s="21">
        <v>19</v>
      </c>
      <c r="I410" s="350"/>
      <c r="J410" s="340"/>
      <c r="K410" s="341"/>
      <c r="L410" s="341"/>
      <c r="M410" s="341"/>
      <c r="N410" s="342"/>
      <c r="P410" s="18">
        <f t="shared" si="6"/>
        <v>0</v>
      </c>
      <c r="Q410" s="338"/>
      <c r="R410" s="344"/>
      <c r="S410" s="474"/>
      <c r="T410" s="344"/>
      <c r="U410" s="475"/>
    </row>
    <row r="411" spans="2:21" ht="26.4" x14ac:dyDescent="0.25">
      <c r="B411" s="346"/>
      <c r="C411" s="390"/>
      <c r="D411" s="71" t="s">
        <v>63</v>
      </c>
      <c r="E411" s="229" t="str">
        <f>HLOOKUP(Deckblatt!$C$12,Language!$C$1:$D$730,501,FALSE)</f>
        <v xml:space="preserve">Priorisierung des Radverkehrs im Quartier 
</v>
      </c>
      <c r="F411" s="348"/>
      <c r="G411" s="69">
        <v>19</v>
      </c>
      <c r="H411" s="18">
        <v>19</v>
      </c>
      <c r="I411" s="350"/>
      <c r="J411" s="340"/>
      <c r="K411" s="341"/>
      <c r="L411" s="341"/>
      <c r="M411" s="341"/>
      <c r="N411" s="342"/>
      <c r="P411" s="18">
        <f t="shared" si="6"/>
        <v>19</v>
      </c>
      <c r="Q411" s="338"/>
      <c r="R411" s="344"/>
      <c r="S411" s="474"/>
      <c r="T411" s="344"/>
      <c r="U411" s="475"/>
    </row>
    <row r="412" spans="2:21" ht="13.2" customHeight="1" x14ac:dyDescent="0.25">
      <c r="B412" s="346"/>
      <c r="C412" s="351" t="s">
        <v>64</v>
      </c>
      <c r="D412" s="352" t="str">
        <f>HLOOKUP(Deckblatt!$C$12,Language!$C$1:$D$730,504,FALSE)</f>
        <v>Qualität der Abstellanlagen für Fahrräder</v>
      </c>
      <c r="E412" s="353"/>
      <c r="F412" s="348"/>
      <c r="G412" s="113"/>
      <c r="H412" s="21">
        <v>20</v>
      </c>
      <c r="I412" s="350"/>
      <c r="J412" s="340"/>
      <c r="K412" s="341"/>
      <c r="L412" s="341"/>
      <c r="M412" s="341"/>
      <c r="N412" s="342"/>
      <c r="P412" s="18">
        <f t="shared" si="6"/>
        <v>0</v>
      </c>
      <c r="Q412" s="338"/>
      <c r="R412" s="344"/>
      <c r="S412" s="474"/>
      <c r="T412" s="344"/>
      <c r="U412" s="475"/>
    </row>
    <row r="413" spans="2:21" ht="26.4" x14ac:dyDescent="0.25">
      <c r="B413" s="346"/>
      <c r="C413" s="351"/>
      <c r="D413" s="71" t="s">
        <v>66</v>
      </c>
      <c r="E413" s="229" t="str">
        <f>HLOOKUP(Deckblatt!$C$12,Language!$C$1:$D$730,505,FALSE)</f>
        <v xml:space="preserve">Qualität der Abstellanlagen
</v>
      </c>
      <c r="F413" s="348"/>
      <c r="G413" s="69">
        <v>20</v>
      </c>
      <c r="H413" s="18">
        <v>20</v>
      </c>
      <c r="I413" s="350"/>
      <c r="J413" s="340" t="s">
        <v>1851</v>
      </c>
      <c r="K413" s="341"/>
      <c r="L413" s="341"/>
      <c r="M413" s="341"/>
      <c r="N413" s="342"/>
      <c r="P413" s="18">
        <f t="shared" si="6"/>
        <v>20</v>
      </c>
      <c r="Q413" s="338"/>
      <c r="R413" s="344"/>
      <c r="S413" s="474"/>
      <c r="T413" s="344"/>
      <c r="U413" s="475"/>
    </row>
    <row r="414" spans="2:21" ht="13.2" customHeight="1" x14ac:dyDescent="0.25">
      <c r="B414" s="346"/>
      <c r="C414" s="351" t="s">
        <v>67</v>
      </c>
      <c r="D414" s="352" t="str">
        <f>HLOOKUP(Deckblatt!$C$12,Language!$C$1:$D$730,506,FALSE)</f>
        <v>Wegweisungssysteme für Radverkehr</v>
      </c>
      <c r="E414" s="353"/>
      <c r="F414" s="348"/>
      <c r="G414" s="113"/>
      <c r="H414" s="21">
        <v>10</v>
      </c>
      <c r="I414" s="350"/>
      <c r="J414" s="340"/>
      <c r="K414" s="341"/>
      <c r="L414" s="341"/>
      <c r="M414" s="341"/>
      <c r="N414" s="342"/>
      <c r="P414" s="18">
        <f t="shared" si="6"/>
        <v>0</v>
      </c>
      <c r="Q414" s="338"/>
      <c r="R414" s="344"/>
      <c r="S414" s="474"/>
      <c r="T414" s="344"/>
      <c r="U414" s="475"/>
    </row>
    <row r="415" spans="2:21" ht="26.4" x14ac:dyDescent="0.25">
      <c r="B415" s="346"/>
      <c r="C415" s="351"/>
      <c r="D415" s="71" t="s">
        <v>69</v>
      </c>
      <c r="E415" s="229" t="str">
        <f>HLOOKUP(Deckblatt!$C$12,Language!$C$1:$D$730,507,FALSE)</f>
        <v xml:space="preserve">Wegweisungssysteme
</v>
      </c>
      <c r="F415" s="348"/>
      <c r="G415" s="69">
        <v>10</v>
      </c>
      <c r="H415" s="18">
        <v>10</v>
      </c>
      <c r="I415" s="350"/>
      <c r="J415" s="340" t="s">
        <v>1852</v>
      </c>
      <c r="K415" s="341"/>
      <c r="L415" s="341"/>
      <c r="M415" s="341"/>
      <c r="N415" s="342"/>
      <c r="P415" s="18">
        <f t="shared" si="6"/>
        <v>10</v>
      </c>
      <c r="Q415" s="338"/>
      <c r="R415" s="344"/>
      <c r="S415" s="474"/>
      <c r="T415" s="344"/>
      <c r="U415" s="475"/>
    </row>
    <row r="416" spans="2:21" ht="13.2" customHeight="1" x14ac:dyDescent="0.25">
      <c r="B416" s="346"/>
      <c r="C416" s="351" t="s">
        <v>154</v>
      </c>
      <c r="D416" s="352" t="str">
        <f>HLOOKUP(Deckblatt!$C$12,Language!$C$1:$D$730,508,FALSE)</f>
        <v>Fußwegenetz</v>
      </c>
      <c r="E416" s="353"/>
      <c r="F416" s="348"/>
      <c r="G416" s="113"/>
      <c r="H416" s="21">
        <v>15</v>
      </c>
      <c r="I416" s="350"/>
      <c r="J416" s="340"/>
      <c r="K416" s="341"/>
      <c r="L416" s="341"/>
      <c r="M416" s="341"/>
      <c r="N416" s="342"/>
      <c r="P416" s="18">
        <f t="shared" si="6"/>
        <v>0</v>
      </c>
      <c r="Q416" s="338"/>
      <c r="R416" s="344"/>
      <c r="S416" s="474"/>
      <c r="T416" s="344"/>
      <c r="U416" s="475"/>
    </row>
    <row r="417" spans="2:21" ht="26.4" x14ac:dyDescent="0.25">
      <c r="B417" s="346"/>
      <c r="C417" s="351"/>
      <c r="D417" s="71" t="s">
        <v>156</v>
      </c>
      <c r="E417" s="229" t="str">
        <f>HLOOKUP(Deckblatt!$C$12,Language!$C$1:$D$730,509,FALSE)</f>
        <v xml:space="preserve">Fußgängerinfrastruktur
</v>
      </c>
      <c r="F417" s="348"/>
      <c r="G417" s="69">
        <v>15</v>
      </c>
      <c r="H417" s="18">
        <v>15</v>
      </c>
      <c r="I417" s="350"/>
      <c r="J417" s="340"/>
      <c r="K417" s="341"/>
      <c r="L417" s="341"/>
      <c r="M417" s="341"/>
      <c r="N417" s="342"/>
      <c r="P417" s="18">
        <f t="shared" si="6"/>
        <v>15</v>
      </c>
      <c r="Q417" s="338"/>
      <c r="R417" s="344"/>
      <c r="S417" s="474"/>
      <c r="T417" s="344"/>
      <c r="U417" s="475"/>
    </row>
    <row r="418" spans="2:21" ht="13.2" customHeight="1" x14ac:dyDescent="0.25">
      <c r="B418" s="346"/>
      <c r="C418" s="392" t="s">
        <v>157</v>
      </c>
      <c r="D418" s="352" t="str">
        <f>HLOOKUP(Deckblatt!$C$12,Language!$C$1:$D$730,510,FALSE)</f>
        <v>Lage der Querungsmöglichkeiten für Fußgänger/-innen</v>
      </c>
      <c r="E418" s="353"/>
      <c r="F418" s="348"/>
      <c r="G418" s="113"/>
      <c r="H418" s="21">
        <v>15</v>
      </c>
      <c r="I418" s="350"/>
      <c r="J418" s="340"/>
      <c r="K418" s="341"/>
      <c r="L418" s="341"/>
      <c r="M418" s="341"/>
      <c r="N418" s="342"/>
      <c r="P418" s="18">
        <f t="shared" si="6"/>
        <v>0</v>
      </c>
      <c r="Q418" s="338"/>
      <c r="R418" s="344"/>
      <c r="S418" s="474"/>
      <c r="T418" s="344"/>
      <c r="U418" s="475"/>
    </row>
    <row r="419" spans="2:21" ht="26.4" x14ac:dyDescent="0.25">
      <c r="B419" s="346"/>
      <c r="C419" s="351"/>
      <c r="D419" s="71" t="s">
        <v>159</v>
      </c>
      <c r="E419" s="229" t="str">
        <f>HLOOKUP(Deckblatt!$C$12,Language!$C$1:$D$730,511,FALSE)</f>
        <v xml:space="preserve">Kreuzen der Wege
</v>
      </c>
      <c r="F419" s="348"/>
      <c r="G419" s="69">
        <v>15</v>
      </c>
      <c r="H419" s="18">
        <v>15</v>
      </c>
      <c r="I419" s="350"/>
      <c r="J419" s="340"/>
      <c r="K419" s="341"/>
      <c r="L419" s="341"/>
      <c r="M419" s="341"/>
      <c r="N419" s="342"/>
      <c r="P419" s="18">
        <f t="shared" si="6"/>
        <v>15</v>
      </c>
      <c r="Q419" s="338"/>
      <c r="R419" s="344"/>
      <c r="S419" s="474"/>
      <c r="T419" s="344"/>
      <c r="U419" s="475"/>
    </row>
    <row r="420" spans="2:21" ht="13.2" customHeight="1" x14ac:dyDescent="0.25">
      <c r="B420" s="346"/>
      <c r="C420" s="351" t="s">
        <v>282</v>
      </c>
      <c r="D420" s="352" t="str">
        <f>HLOOKUP(Deckblatt!$C$12,Language!$C$1:$D$730,512,FALSE)</f>
        <v>Wegweisungssysteme für Fußgänger/-innen</v>
      </c>
      <c r="E420" s="353"/>
      <c r="F420" s="348"/>
      <c r="G420" s="356"/>
      <c r="H420" s="21">
        <v>10</v>
      </c>
      <c r="I420" s="350"/>
      <c r="J420" s="340"/>
      <c r="K420" s="341"/>
      <c r="L420" s="341"/>
      <c r="M420" s="341"/>
      <c r="N420" s="342"/>
      <c r="P420" s="18">
        <f t="shared" si="6"/>
        <v>0</v>
      </c>
      <c r="Q420" s="338"/>
      <c r="R420" s="344"/>
      <c r="S420" s="474"/>
      <c r="T420" s="344"/>
      <c r="U420" s="475"/>
    </row>
    <row r="421" spans="2:21" x14ac:dyDescent="0.25">
      <c r="B421" s="346"/>
      <c r="C421" s="351"/>
      <c r="D421" s="361" t="s">
        <v>284</v>
      </c>
      <c r="E421" s="229" t="str">
        <f>HLOOKUP(Deckblatt!$C$12,Language!$C$1:$D$730,513,FALSE)</f>
        <v>Wegweisungssysteme</v>
      </c>
      <c r="F421" s="348"/>
      <c r="G421" s="356"/>
      <c r="H421" s="21">
        <v>10</v>
      </c>
      <c r="I421" s="350"/>
      <c r="J421" s="340"/>
      <c r="K421" s="341"/>
      <c r="L421" s="341"/>
      <c r="M421" s="341"/>
      <c r="N421" s="342"/>
      <c r="P421" s="18">
        <f t="shared" si="6"/>
        <v>0</v>
      </c>
      <c r="Q421" s="338"/>
      <c r="R421" s="344"/>
      <c r="S421" s="474"/>
      <c r="T421" s="344"/>
      <c r="U421" s="475"/>
    </row>
    <row r="422" spans="2:21" ht="39.6" x14ac:dyDescent="0.25">
      <c r="B422" s="346"/>
      <c r="C422" s="351"/>
      <c r="D422" s="361"/>
      <c r="E422" s="134" t="str">
        <f>HLOOKUP(Deckblatt!$C$12,Language!$C$1:$D$730,514,FALSE)</f>
        <v xml:space="preserve">Flächendeckende Beschilderung (Ziele, Entfernungen, ggf. Gehminuten) ist vorhanden, die wichtigsten Ziele sind ausgeschildert.≤ 30 Minuten
</v>
      </c>
      <c r="F422" s="348"/>
      <c r="G422" s="69"/>
      <c r="H422" s="18">
        <v>5</v>
      </c>
      <c r="I422" s="350"/>
      <c r="J422" s="340"/>
      <c r="K422" s="341"/>
      <c r="L422" s="341"/>
      <c r="M422" s="341"/>
      <c r="N422" s="342"/>
      <c r="P422" s="18">
        <f t="shared" si="6"/>
        <v>0</v>
      </c>
      <c r="Q422" s="338"/>
      <c r="R422" s="344"/>
      <c r="S422" s="474"/>
      <c r="T422" s="344"/>
      <c r="U422" s="475"/>
    </row>
    <row r="423" spans="2:21" ht="40.200000000000003" thickBot="1" x14ac:dyDescent="0.3">
      <c r="B423" s="346"/>
      <c r="C423" s="351"/>
      <c r="D423" s="361"/>
      <c r="E423" s="134" t="str">
        <f>HLOOKUP(Deckblatt!$C$12,Language!$C$1:$D$730,515,FALSE)</f>
        <v xml:space="preserve">Flächendeckende Orientierungspläne (z. B. an zentralen Einrichtungen, Plätzen etc.) unterstützen die Orientierung und erhöhen die Sicherheit.
</v>
      </c>
      <c r="F423" s="348"/>
      <c r="G423" s="69"/>
      <c r="H423" s="18">
        <v>5</v>
      </c>
      <c r="I423" s="350"/>
      <c r="J423" s="340"/>
      <c r="K423" s="341"/>
      <c r="L423" s="341"/>
      <c r="M423" s="341"/>
      <c r="N423" s="342"/>
      <c r="P423" s="18">
        <f t="shared" si="6"/>
        <v>0</v>
      </c>
      <c r="Q423" s="339"/>
      <c r="R423" s="365"/>
      <c r="S423" s="474"/>
      <c r="T423" s="365"/>
      <c r="U423" s="475"/>
    </row>
    <row r="424" spans="2:21" x14ac:dyDescent="0.25">
      <c r="B424" s="49" t="s">
        <v>474</v>
      </c>
      <c r="C424" s="354" t="str">
        <f>HLOOKUP(Deckblatt!$C$12,Language!$C$1:$D$730,516,FALSE)</f>
        <v>Integrale Planung</v>
      </c>
      <c r="D424" s="354"/>
      <c r="E424" s="355"/>
      <c r="F424" s="62">
        <f>Q424</f>
        <v>72</v>
      </c>
      <c r="G424" s="391"/>
      <c r="H424" s="51">
        <v>100</v>
      </c>
      <c r="I424" s="178">
        <v>3</v>
      </c>
      <c r="J424" s="340"/>
      <c r="K424" s="341"/>
      <c r="L424" s="341"/>
      <c r="M424" s="341"/>
      <c r="N424" s="342"/>
      <c r="P424" s="18">
        <f t="shared" si="6"/>
        <v>0</v>
      </c>
      <c r="Q424" s="337">
        <f>SUM(P427:P443)</f>
        <v>72</v>
      </c>
      <c r="R424" s="343">
        <f>Q424/100</f>
        <v>0.72</v>
      </c>
      <c r="S424" s="474">
        <v>0.2</v>
      </c>
      <c r="T424" s="343">
        <f>IF((R424*I424+R444*I444+R471*I471+R493*I493+R506*I506+R521*I521)/(I424+I444+I471+I493+I506+I521)&gt;1,1,(R424*I424+R444*I444+R471*I471+R493*I493+R506*I506+R521*I521)/(I424+I444+I471+I493+I506+I521))</f>
        <v>0.71083333333333332</v>
      </c>
      <c r="U424" s="475"/>
    </row>
    <row r="425" spans="2:21" ht="13.2" customHeight="1" x14ac:dyDescent="0.25">
      <c r="B425" s="375"/>
      <c r="C425" s="351" t="s">
        <v>54</v>
      </c>
      <c r="D425" s="352" t="str">
        <f>HLOOKUP(Deckblatt!$C$12,Language!$C$1:$D$730,517,FALSE)</f>
        <v>Integrales Planungsteam</v>
      </c>
      <c r="E425" s="353"/>
      <c r="F425" s="363"/>
      <c r="G425" s="364"/>
      <c r="H425" s="137">
        <v>36</v>
      </c>
      <c r="I425" s="379"/>
      <c r="J425" s="340"/>
      <c r="K425" s="341"/>
      <c r="L425" s="341"/>
      <c r="M425" s="341"/>
      <c r="N425" s="342"/>
      <c r="P425" s="18">
        <f t="shared" si="6"/>
        <v>0</v>
      </c>
      <c r="Q425" s="338"/>
      <c r="R425" s="344"/>
      <c r="S425" s="474"/>
      <c r="T425" s="344"/>
      <c r="U425" s="475"/>
    </row>
    <row r="426" spans="2:21" x14ac:dyDescent="0.25">
      <c r="B426" s="375"/>
      <c r="C426" s="351"/>
      <c r="D426" s="361" t="s">
        <v>58</v>
      </c>
      <c r="E426" s="229" t="str">
        <f>HLOOKUP(Deckblatt!$C$12,Language!$C$1:$D$730,518,FALSE)</f>
        <v>Kernplanungsteam</v>
      </c>
      <c r="F426" s="363"/>
      <c r="G426" s="364"/>
      <c r="H426" s="21">
        <v>36</v>
      </c>
      <c r="I426" s="379"/>
      <c r="J426" s="340"/>
      <c r="K426" s="341"/>
      <c r="L426" s="341"/>
      <c r="M426" s="341"/>
      <c r="N426" s="342"/>
      <c r="P426" s="18">
        <f t="shared" si="6"/>
        <v>0</v>
      </c>
      <c r="Q426" s="338"/>
      <c r="R426" s="344"/>
      <c r="S426" s="474"/>
      <c r="T426" s="344"/>
      <c r="U426" s="475"/>
    </row>
    <row r="427" spans="2:21" ht="26.4" x14ac:dyDescent="0.25">
      <c r="B427" s="375"/>
      <c r="C427" s="351"/>
      <c r="D427" s="361"/>
      <c r="E427" s="134" t="str">
        <f>HLOOKUP(Deckblatt!$C$12,Language!$C$1:$D$730,519,FALSE)</f>
        <v xml:space="preserve">Für jede Disziplin des Kern- Planungsteams (max. 4 Disziplinen / max. 24 PUNKTE) </v>
      </c>
      <c r="F427" s="363"/>
      <c r="G427" s="69">
        <v>24</v>
      </c>
      <c r="H427" s="18">
        <v>24</v>
      </c>
      <c r="I427" s="379"/>
      <c r="J427" s="340"/>
      <c r="K427" s="341"/>
      <c r="L427" s="341"/>
      <c r="M427" s="341"/>
      <c r="N427" s="342"/>
      <c r="P427" s="18">
        <f t="shared" si="6"/>
        <v>24</v>
      </c>
      <c r="Q427" s="338"/>
      <c r="R427" s="344"/>
      <c r="S427" s="474"/>
      <c r="T427" s="344"/>
      <c r="U427" s="475"/>
    </row>
    <row r="428" spans="2:21" ht="39.6" x14ac:dyDescent="0.25">
      <c r="B428" s="375"/>
      <c r="C428" s="351"/>
      <c r="D428" s="361"/>
      <c r="E428" s="134" t="str">
        <f>HLOOKUP(Deckblatt!$C$12,Language!$C$1:$D$730,520,FALSE)</f>
        <v xml:space="preserve">Für jede Disziplin der zusätzlich wünschenswerten Disziplinen (max. 4 Disziplinen / max. 12 PUNKTE) 
</v>
      </c>
      <c r="F428" s="363"/>
      <c r="G428" s="69">
        <v>12</v>
      </c>
      <c r="H428" s="18">
        <v>12</v>
      </c>
      <c r="I428" s="379"/>
      <c r="J428" s="340"/>
      <c r="K428" s="341"/>
      <c r="L428" s="341"/>
      <c r="M428" s="341"/>
      <c r="N428" s="342"/>
      <c r="P428" s="18">
        <f t="shared" si="6"/>
        <v>12</v>
      </c>
      <c r="Q428" s="338"/>
      <c r="R428" s="344"/>
      <c r="S428" s="474"/>
      <c r="T428" s="344"/>
      <c r="U428" s="475"/>
    </row>
    <row r="429" spans="2:21" ht="13.2" customHeight="1" x14ac:dyDescent="0.25">
      <c r="B429" s="375"/>
      <c r="C429" s="351" t="s">
        <v>61</v>
      </c>
      <c r="D429" s="352" t="str">
        <f>HLOOKUP(Deckblatt!$C$12,Language!$C$1:$D$730,521,FALSE)</f>
        <v>Integraler Planungsprozess</v>
      </c>
      <c r="E429" s="353"/>
      <c r="F429" s="363"/>
      <c r="G429" s="113"/>
      <c r="H429" s="21">
        <v>34</v>
      </c>
      <c r="I429" s="379"/>
      <c r="J429" s="340"/>
      <c r="K429" s="341"/>
      <c r="L429" s="341"/>
      <c r="M429" s="341"/>
      <c r="N429" s="342"/>
      <c r="P429" s="18">
        <f t="shared" si="6"/>
        <v>0</v>
      </c>
      <c r="Q429" s="338"/>
      <c r="R429" s="344"/>
      <c r="S429" s="474"/>
      <c r="T429" s="344"/>
      <c r="U429" s="475"/>
    </row>
    <row r="430" spans="2:21" ht="39.6" x14ac:dyDescent="0.25">
      <c r="B430" s="375"/>
      <c r="C430" s="351"/>
      <c r="D430" s="71" t="s">
        <v>63</v>
      </c>
      <c r="E430" s="229" t="str">
        <f>HLOOKUP(Deckblatt!$C$12,Language!$C$1:$D$730,522,FALSE)</f>
        <v xml:space="preserve">Zeitpunkt der Integration von DGNB Zertifizierungskriterien in den Planungsprozess
</v>
      </c>
      <c r="F430" s="363"/>
      <c r="G430" s="69">
        <v>10</v>
      </c>
      <c r="H430" s="18">
        <v>14</v>
      </c>
      <c r="I430" s="379"/>
      <c r="J430" s="340"/>
      <c r="K430" s="341"/>
      <c r="L430" s="341"/>
      <c r="M430" s="341"/>
      <c r="N430" s="342"/>
      <c r="P430" s="18">
        <f t="shared" si="6"/>
        <v>10</v>
      </c>
      <c r="Q430" s="338"/>
      <c r="R430" s="344"/>
      <c r="S430" s="474"/>
      <c r="T430" s="344"/>
      <c r="U430" s="475"/>
    </row>
    <row r="431" spans="2:21" ht="26.4" x14ac:dyDescent="0.25">
      <c r="B431" s="375"/>
      <c r="C431" s="351"/>
      <c r="D431" s="71" t="s">
        <v>186</v>
      </c>
      <c r="E431" s="229" t="str">
        <f>HLOOKUP(Deckblatt!$C$12,Language!$C$1:$D$730,523,FALSE)</f>
        <v xml:space="preserve">Zusammenarbeit des Planungsteam
</v>
      </c>
      <c r="F431" s="363"/>
      <c r="G431" s="69">
        <v>11</v>
      </c>
      <c r="H431" s="18">
        <v>11</v>
      </c>
      <c r="I431" s="379"/>
      <c r="J431" s="340"/>
      <c r="K431" s="341"/>
      <c r="L431" s="341"/>
      <c r="M431" s="341"/>
      <c r="N431" s="342"/>
      <c r="P431" s="18">
        <f t="shared" si="6"/>
        <v>11</v>
      </c>
      <c r="Q431" s="338"/>
      <c r="R431" s="344"/>
      <c r="S431" s="474"/>
      <c r="T431" s="344"/>
      <c r="U431" s="475"/>
    </row>
    <row r="432" spans="2:21" x14ac:dyDescent="0.25">
      <c r="B432" s="375"/>
      <c r="C432" s="351"/>
      <c r="D432" s="361" t="s">
        <v>255</v>
      </c>
      <c r="E432" s="229" t="str">
        <f>HLOOKUP(Deckblatt!$C$12,Language!$C$1:$D$730,524,FALSE)</f>
        <v>Bausteine des integralen Planungsprozesses</v>
      </c>
      <c r="F432" s="363"/>
      <c r="G432" s="113"/>
      <c r="H432" s="21">
        <v>9</v>
      </c>
      <c r="I432" s="379"/>
      <c r="J432" s="340"/>
      <c r="K432" s="341"/>
      <c r="L432" s="341"/>
      <c r="M432" s="341"/>
      <c r="N432" s="342"/>
      <c r="P432" s="18">
        <f t="shared" si="6"/>
        <v>0</v>
      </c>
      <c r="Q432" s="338"/>
      <c r="R432" s="344"/>
      <c r="S432" s="474"/>
      <c r="T432" s="344"/>
      <c r="U432" s="475"/>
    </row>
    <row r="433" spans="2:21" ht="52.8" x14ac:dyDescent="0.25">
      <c r="B433" s="375"/>
      <c r="C433" s="351"/>
      <c r="D433" s="361"/>
      <c r="E433"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3" s="363"/>
      <c r="G433" s="69">
        <v>3</v>
      </c>
      <c r="H433" s="18">
        <v>3</v>
      </c>
      <c r="I433" s="379"/>
      <c r="J433" s="340"/>
      <c r="K433" s="341"/>
      <c r="L433" s="341"/>
      <c r="M433" s="341"/>
      <c r="N433" s="342"/>
      <c r="P433" s="18">
        <f t="shared" si="6"/>
        <v>3</v>
      </c>
      <c r="Q433" s="338"/>
      <c r="R433" s="344"/>
      <c r="S433" s="474"/>
      <c r="T433" s="344"/>
      <c r="U433" s="475"/>
    </row>
    <row r="434" spans="2:21" ht="52.8" x14ac:dyDescent="0.25">
      <c r="B434" s="375"/>
      <c r="C434" s="351"/>
      <c r="D434" s="361"/>
      <c r="E434"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4" s="363"/>
      <c r="G434" s="69">
        <v>3</v>
      </c>
      <c r="H434" s="18">
        <v>3</v>
      </c>
      <c r="I434" s="379"/>
      <c r="J434" s="340"/>
      <c r="K434" s="341"/>
      <c r="L434" s="341"/>
      <c r="M434" s="341"/>
      <c r="N434" s="342"/>
      <c r="P434" s="18">
        <f t="shared" si="6"/>
        <v>3</v>
      </c>
      <c r="Q434" s="338"/>
      <c r="R434" s="344"/>
      <c r="S434" s="474"/>
      <c r="T434" s="344"/>
      <c r="U434" s="475"/>
    </row>
    <row r="435" spans="2:21" ht="39.6" x14ac:dyDescent="0.25">
      <c r="B435" s="375"/>
      <c r="C435" s="351"/>
      <c r="D435" s="361"/>
      <c r="E435" s="134" t="str">
        <f>HLOOKUP(Deckblatt!$C$12,Language!$C$1:$D$730,527,FALSE)</f>
        <v xml:space="preserve">3-D-Datenmodell: Zusammenarbeit des Planungsteams mit einem 3-D-Datenmodell (GIS, CIM, BIM)
</v>
      </c>
      <c r="F435" s="363"/>
      <c r="G435" s="69">
        <v>3</v>
      </c>
      <c r="H435" s="18">
        <v>3</v>
      </c>
      <c r="I435" s="379"/>
      <c r="J435" s="340" t="s">
        <v>1843</v>
      </c>
      <c r="K435" s="341"/>
      <c r="L435" s="341"/>
      <c r="M435" s="341"/>
      <c r="N435" s="342"/>
      <c r="P435" s="18">
        <f t="shared" si="6"/>
        <v>3</v>
      </c>
      <c r="Q435" s="338"/>
      <c r="R435" s="344"/>
      <c r="S435" s="474"/>
      <c r="T435" s="344"/>
      <c r="U435" s="475"/>
    </row>
    <row r="436" spans="2:21" ht="13.2" customHeight="1" x14ac:dyDescent="0.25">
      <c r="B436" s="375"/>
      <c r="C436" s="351" t="s">
        <v>64</v>
      </c>
      <c r="D436" s="352" t="str">
        <f>HLOOKUP(Deckblatt!$C$12,Language!$C$1:$D$730,528,FALSE)</f>
        <v>Planungsszenarien und -varianten</v>
      </c>
      <c r="E436" s="353"/>
      <c r="F436" s="363"/>
      <c r="G436" s="113"/>
      <c r="H436" s="21">
        <v>30</v>
      </c>
      <c r="I436" s="379"/>
      <c r="J436" s="340"/>
      <c r="K436" s="341"/>
      <c r="L436" s="341"/>
      <c r="M436" s="341"/>
      <c r="N436" s="342"/>
      <c r="P436" s="18">
        <f t="shared" ref="P436:P497" si="7">IF(G436&gt;H436,H436,G436)</f>
        <v>0</v>
      </c>
      <c r="Q436" s="338"/>
      <c r="R436" s="344"/>
      <c r="S436" s="474"/>
      <c r="T436" s="344"/>
      <c r="U436" s="475"/>
    </row>
    <row r="437" spans="2:21" ht="26.4" x14ac:dyDescent="0.25">
      <c r="B437" s="375"/>
      <c r="C437" s="351"/>
      <c r="D437" s="71" t="s">
        <v>66</v>
      </c>
      <c r="E437" s="229" t="str">
        <f>HLOOKUP(Deckblatt!$C$12,Language!$C$1:$D$730,529,FALSE)</f>
        <v xml:space="preserve">Planungsszenarien
</v>
      </c>
      <c r="F437" s="363"/>
      <c r="G437" s="69">
        <v>0</v>
      </c>
      <c r="H437" s="18">
        <v>6</v>
      </c>
      <c r="I437" s="379"/>
      <c r="J437" s="340"/>
      <c r="K437" s="341"/>
      <c r="L437" s="341"/>
      <c r="M437" s="341"/>
      <c r="N437" s="342"/>
      <c r="P437" s="18">
        <f t="shared" si="7"/>
        <v>0</v>
      </c>
      <c r="Q437" s="338"/>
      <c r="R437" s="344"/>
      <c r="S437" s="474"/>
      <c r="T437" s="344"/>
      <c r="U437" s="475"/>
    </row>
    <row r="438" spans="2:21" ht="26.4" x14ac:dyDescent="0.25">
      <c r="B438" s="375"/>
      <c r="C438" s="351"/>
      <c r="D438" s="71" t="s">
        <v>188</v>
      </c>
      <c r="E438" s="229" t="str">
        <f>HLOOKUP(Deckblatt!$C$12,Language!$C$1:$D$730,530,FALSE)</f>
        <v xml:space="preserve">Planungsvarianten 
</v>
      </c>
      <c r="F438" s="363"/>
      <c r="G438" s="69">
        <v>6</v>
      </c>
      <c r="H438" s="18">
        <v>6</v>
      </c>
      <c r="I438" s="379"/>
      <c r="J438" s="340"/>
      <c r="K438" s="341"/>
      <c r="L438" s="341"/>
      <c r="M438" s="341"/>
      <c r="N438" s="342"/>
      <c r="P438" s="18">
        <f t="shared" si="7"/>
        <v>6</v>
      </c>
      <c r="Q438" s="338"/>
      <c r="R438" s="344"/>
      <c r="S438" s="474"/>
      <c r="T438" s="344"/>
      <c r="U438" s="475"/>
    </row>
    <row r="439" spans="2:21" x14ac:dyDescent="0.25">
      <c r="B439" s="375"/>
      <c r="C439" s="351"/>
      <c r="D439" s="361" t="s">
        <v>150</v>
      </c>
      <c r="E439" s="229" t="str">
        <f>HLOOKUP(Deckblatt!$C$12,Language!$C$1:$D$730,531,FALSE)</f>
        <v>Verfahren zur gestalterischen und funktionalen Konzeptfindung</v>
      </c>
      <c r="F439" s="363"/>
      <c r="G439" s="113"/>
      <c r="H439" s="21">
        <v>18</v>
      </c>
      <c r="I439" s="379"/>
      <c r="J439" s="340"/>
      <c r="K439" s="341"/>
      <c r="L439" s="341"/>
      <c r="M439" s="341"/>
      <c r="N439" s="342"/>
      <c r="P439" s="18">
        <f t="shared" si="7"/>
        <v>0</v>
      </c>
      <c r="Q439" s="338"/>
      <c r="R439" s="344"/>
      <c r="S439" s="474"/>
      <c r="T439" s="344"/>
      <c r="U439" s="475"/>
    </row>
    <row r="440" spans="2:21" ht="39.6" x14ac:dyDescent="0.25">
      <c r="B440" s="375"/>
      <c r="C440" s="351"/>
      <c r="D440" s="361"/>
      <c r="E440" s="134" t="str">
        <f>HLOOKUP(Deckblatt!$C$12,Language!$C$1:$D$730,533,FALSE)</f>
        <v xml:space="preserve">Verfahren zur Konzeptfindung: Es wurden konkurrierende und/oder kooperative Verfahren für den städtebaulichen Entwurf durchgeführt 
</v>
      </c>
      <c r="F440" s="363"/>
      <c r="G440" s="69">
        <v>0</v>
      </c>
      <c r="H440" s="18">
        <v>9</v>
      </c>
      <c r="I440" s="379"/>
      <c r="J440" s="340"/>
      <c r="K440" s="341"/>
      <c r="L440" s="341"/>
      <c r="M440" s="341"/>
      <c r="N440" s="342"/>
      <c r="P440" s="18">
        <f t="shared" si="7"/>
        <v>0</v>
      </c>
      <c r="Q440" s="338"/>
      <c r="R440" s="344"/>
      <c r="S440" s="474"/>
      <c r="T440" s="344"/>
      <c r="U440" s="475"/>
    </row>
    <row r="441" spans="2:21" ht="52.8" x14ac:dyDescent="0.25">
      <c r="B441" s="375"/>
      <c r="C441" s="351"/>
      <c r="D441" s="361"/>
      <c r="E441" s="134" t="str">
        <f>HLOOKUP(Deckblatt!$C$12,Language!$C$1:$D$730,534,FALSE)</f>
        <v xml:space="preserve">Beteiligung von Nutzern, Anliegern oder Interessenvertretern: An der Entscheidungsfindung wurden Repräsentanten der Nutzer, Anlieger oder Interessenvertreter beteiligt
</v>
      </c>
      <c r="F441" s="363"/>
      <c r="G441" s="69">
        <v>0</v>
      </c>
      <c r="H441" s="18">
        <v>3</v>
      </c>
      <c r="I441" s="379"/>
      <c r="J441" s="340"/>
      <c r="K441" s="341"/>
      <c r="L441" s="341"/>
      <c r="M441" s="341"/>
      <c r="N441" s="342"/>
      <c r="P441" s="18">
        <f t="shared" si="7"/>
        <v>0</v>
      </c>
      <c r="Q441" s="338"/>
      <c r="R441" s="344"/>
      <c r="S441" s="474"/>
      <c r="T441" s="344"/>
      <c r="U441" s="475"/>
    </row>
    <row r="442" spans="2:21" ht="39.6" x14ac:dyDescent="0.25">
      <c r="B442" s="375"/>
      <c r="C442" s="351"/>
      <c r="D442" s="361"/>
      <c r="E442" s="134" t="str">
        <f>HLOOKUP(Deckblatt!$C$12,Language!$C$1:$D$730,535,FALSE)</f>
        <v xml:space="preserve">Vorprüfung nach DGNB-Kriterien: Die Vorprüfung des städtebaulichen und landschaftsplanerischen Wettbewerbs erfolgt nach DGNB-Kriterien
</v>
      </c>
      <c r="F442" s="363"/>
      <c r="G442" s="69">
        <v>0</v>
      </c>
      <c r="H442" s="18">
        <v>3</v>
      </c>
      <c r="I442" s="379"/>
      <c r="J442" s="340"/>
      <c r="K442" s="341"/>
      <c r="L442" s="341"/>
      <c r="M442" s="341"/>
      <c r="N442" s="342"/>
      <c r="P442" s="18">
        <f t="shared" si="7"/>
        <v>0</v>
      </c>
      <c r="Q442" s="338"/>
      <c r="R442" s="344"/>
      <c r="S442" s="474"/>
      <c r="T442" s="344"/>
      <c r="U442" s="475"/>
    </row>
    <row r="443" spans="2:21" ht="79.2" x14ac:dyDescent="0.25">
      <c r="B443" s="375"/>
      <c r="C443" s="351"/>
      <c r="D443" s="361"/>
      <c r="E443"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3" s="363"/>
      <c r="G443" s="69">
        <v>0</v>
      </c>
      <c r="H443" s="18">
        <v>3</v>
      </c>
      <c r="I443" s="379"/>
      <c r="J443" s="340"/>
      <c r="K443" s="341"/>
      <c r="L443" s="341"/>
      <c r="M443" s="341"/>
      <c r="N443" s="342"/>
      <c r="P443" s="18">
        <f t="shared" si="7"/>
        <v>0</v>
      </c>
      <c r="Q443" s="339"/>
      <c r="R443" s="365"/>
      <c r="S443" s="474"/>
      <c r="T443" s="344"/>
      <c r="U443" s="475"/>
    </row>
    <row r="444" spans="2:21" x14ac:dyDescent="0.25">
      <c r="B444" s="55" t="s">
        <v>495</v>
      </c>
      <c r="C444" s="354" t="str">
        <f>HLOOKUP(Deckblatt!$C$12,Language!$C$1:$D$730,538,FALSE)</f>
        <v>Partizipation</v>
      </c>
      <c r="D444" s="354"/>
      <c r="E444" s="355"/>
      <c r="F444" s="66">
        <f>Q444</f>
        <v>61</v>
      </c>
      <c r="G444" s="364"/>
      <c r="H444" s="21">
        <v>100</v>
      </c>
      <c r="I444" s="176">
        <v>2</v>
      </c>
      <c r="J444" s="340"/>
      <c r="K444" s="341"/>
      <c r="L444" s="341"/>
      <c r="M444" s="341"/>
      <c r="N444" s="342"/>
      <c r="P444" s="18">
        <f t="shared" si="7"/>
        <v>0</v>
      </c>
      <c r="Q444" s="337">
        <f>SUM(MAX(P446:P449),MAX(P451:P454),MAX(P456:P459),MAX(P461:P464),P466:P468,P470)</f>
        <v>61</v>
      </c>
      <c r="R444" s="343">
        <f>Q444/100</f>
        <v>0.61</v>
      </c>
      <c r="S444" s="474"/>
      <c r="T444" s="344"/>
      <c r="U444" s="475"/>
    </row>
    <row r="445" spans="2:21" ht="80.099999999999994" customHeight="1" x14ac:dyDescent="0.25">
      <c r="B445" s="375"/>
      <c r="C445" s="351" t="s">
        <v>54</v>
      </c>
      <c r="D445" s="367"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5" s="368"/>
      <c r="F445" s="363"/>
      <c r="G445" s="364"/>
      <c r="H445" s="21">
        <v>10</v>
      </c>
      <c r="I445" s="379"/>
      <c r="J445" s="340"/>
      <c r="K445" s="341"/>
      <c r="L445" s="341"/>
      <c r="M445" s="341"/>
      <c r="N445" s="342"/>
      <c r="P445" s="18">
        <f t="shared" si="7"/>
        <v>0</v>
      </c>
      <c r="Q445" s="338"/>
      <c r="R445" s="344"/>
      <c r="S445" s="474"/>
      <c r="T445" s="344"/>
      <c r="U445" s="475"/>
    </row>
    <row r="446" spans="2:21" ht="26.4" x14ac:dyDescent="0.25">
      <c r="B446" s="375"/>
      <c r="C446" s="351"/>
      <c r="D446" s="71" t="s">
        <v>58</v>
      </c>
      <c r="E446" s="134" t="str">
        <f>HLOOKUP(Deckblatt!$C$12,Language!$C$1:$D$730,540,FALSE)</f>
        <v xml:space="preserve">Information
</v>
      </c>
      <c r="F446" s="363"/>
      <c r="G446" s="69"/>
      <c r="H446" s="18">
        <v>2</v>
      </c>
      <c r="I446" s="379"/>
      <c r="J446" s="340"/>
      <c r="K446" s="341"/>
      <c r="L446" s="341"/>
      <c r="M446" s="341"/>
      <c r="N446" s="342"/>
      <c r="P446" s="18">
        <f t="shared" si="7"/>
        <v>0</v>
      </c>
      <c r="Q446" s="338"/>
      <c r="R446" s="344"/>
      <c r="S446" s="474"/>
      <c r="T446" s="344"/>
      <c r="U446" s="475"/>
    </row>
    <row r="447" spans="2:21" ht="39.6" x14ac:dyDescent="0.25">
      <c r="B447" s="375"/>
      <c r="C447" s="351"/>
      <c r="D447" s="71" t="s">
        <v>181</v>
      </c>
      <c r="E447" s="134" t="str">
        <f>HLOOKUP(Deckblatt!$C$12,Language!$C$1:$D$730,541,FALSE)</f>
        <v xml:space="preserve">Konsultative Nutzerbeteiligung / Beratung
</v>
      </c>
      <c r="F447" s="363"/>
      <c r="G447" s="69">
        <v>5</v>
      </c>
      <c r="H447" s="18">
        <v>5</v>
      </c>
      <c r="I447" s="379"/>
      <c r="J447" s="340"/>
      <c r="K447" s="341"/>
      <c r="L447" s="341"/>
      <c r="M447" s="341"/>
      <c r="N447" s="342"/>
      <c r="P447" s="18">
        <f t="shared" si="7"/>
        <v>5</v>
      </c>
      <c r="Q447" s="338"/>
      <c r="R447" s="344"/>
      <c r="S447" s="474"/>
      <c r="T447" s="344"/>
      <c r="U447" s="475"/>
    </row>
    <row r="448" spans="2:21" ht="26.4" x14ac:dyDescent="0.25">
      <c r="B448" s="375"/>
      <c r="C448" s="351"/>
      <c r="D448" s="71" t="s">
        <v>246</v>
      </c>
      <c r="E448" s="134" t="str">
        <f>HLOOKUP(Deckblatt!$C$12,Language!$C$1:$D$730,542,FALSE)</f>
        <v xml:space="preserve">Mitbestimmung
</v>
      </c>
      <c r="F448" s="363"/>
      <c r="G448" s="69"/>
      <c r="H448" s="18">
        <v>7</v>
      </c>
      <c r="I448" s="379"/>
      <c r="J448" s="340"/>
      <c r="K448" s="341"/>
      <c r="L448" s="341"/>
      <c r="M448" s="341"/>
      <c r="N448" s="342"/>
      <c r="P448" s="18">
        <f t="shared" si="7"/>
        <v>0</v>
      </c>
      <c r="Q448" s="338"/>
      <c r="R448" s="344"/>
      <c r="S448" s="474"/>
      <c r="T448" s="344"/>
      <c r="U448" s="475"/>
    </row>
    <row r="449" spans="2:21" ht="26.4" x14ac:dyDescent="0.25">
      <c r="B449" s="375"/>
      <c r="C449" s="351"/>
      <c r="D449" s="71" t="s">
        <v>250</v>
      </c>
      <c r="E449" s="134" t="str">
        <f>HLOOKUP(Deckblatt!$C$12,Language!$C$1:$D$730,543,FALSE)</f>
        <v xml:space="preserve">Konzeptuelle Integration
</v>
      </c>
      <c r="F449" s="363"/>
      <c r="G449" s="69"/>
      <c r="H449" s="18">
        <v>10</v>
      </c>
      <c r="I449" s="379"/>
      <c r="J449" s="340"/>
      <c r="K449" s="341"/>
      <c r="L449" s="341"/>
      <c r="M449" s="341"/>
      <c r="N449" s="342"/>
      <c r="P449" s="18">
        <f t="shared" si="7"/>
        <v>0</v>
      </c>
      <c r="Q449" s="338"/>
      <c r="R449" s="344"/>
      <c r="S449" s="474"/>
      <c r="T449" s="344"/>
      <c r="U449" s="475"/>
    </row>
    <row r="450" spans="2:21" ht="80.099999999999994" customHeight="1" x14ac:dyDescent="0.25">
      <c r="B450" s="375"/>
      <c r="C450" s="351" t="s">
        <v>61</v>
      </c>
      <c r="D450" s="367"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0" s="368"/>
      <c r="F450" s="363"/>
      <c r="G450" s="113"/>
      <c r="H450" s="21">
        <v>10</v>
      </c>
      <c r="I450" s="379"/>
      <c r="J450" s="340"/>
      <c r="K450" s="341"/>
      <c r="L450" s="341"/>
      <c r="M450" s="341"/>
      <c r="N450" s="342"/>
      <c r="P450" s="18">
        <f t="shared" si="7"/>
        <v>0</v>
      </c>
      <c r="Q450" s="338"/>
      <c r="R450" s="344"/>
      <c r="S450" s="474"/>
      <c r="T450" s="344"/>
      <c r="U450" s="475"/>
    </row>
    <row r="451" spans="2:21" ht="26.4" x14ac:dyDescent="0.25">
      <c r="B451" s="375"/>
      <c r="C451" s="351"/>
      <c r="D451" s="71" t="s">
        <v>63</v>
      </c>
      <c r="E451" s="134" t="str">
        <f>HLOOKUP(Deckblatt!$C$12,Language!$C$1:$D$730,545,FALSE)</f>
        <v xml:space="preserve">Information
</v>
      </c>
      <c r="F451" s="363"/>
      <c r="G451" s="69">
        <v>2</v>
      </c>
      <c r="H451" s="18">
        <v>2</v>
      </c>
      <c r="I451" s="379"/>
      <c r="J451" s="340"/>
      <c r="K451" s="341"/>
      <c r="L451" s="341"/>
      <c r="M451" s="341"/>
      <c r="N451" s="342"/>
      <c r="P451" s="18">
        <f t="shared" si="7"/>
        <v>2</v>
      </c>
      <c r="Q451" s="338"/>
      <c r="R451" s="344"/>
      <c r="S451" s="474"/>
      <c r="T451" s="344"/>
      <c r="U451" s="475"/>
    </row>
    <row r="452" spans="2:21" ht="39.6" x14ac:dyDescent="0.25">
      <c r="B452" s="375"/>
      <c r="C452" s="351"/>
      <c r="D452" s="71" t="s">
        <v>186</v>
      </c>
      <c r="E452" s="134" t="str">
        <f>HLOOKUP(Deckblatt!$C$12,Language!$C$1:$D$730,546,FALSE)</f>
        <v xml:space="preserve">Konsultative Nutzerbeteiligung
</v>
      </c>
      <c r="F452" s="363"/>
      <c r="G452" s="69"/>
      <c r="H452" s="18">
        <v>5</v>
      </c>
      <c r="I452" s="379"/>
      <c r="J452" s="340"/>
      <c r="K452" s="341"/>
      <c r="L452" s="341"/>
      <c r="M452" s="341"/>
      <c r="N452" s="342"/>
      <c r="P452" s="18">
        <f t="shared" si="7"/>
        <v>0</v>
      </c>
      <c r="Q452" s="338"/>
      <c r="R452" s="344"/>
      <c r="S452" s="474"/>
      <c r="T452" s="344"/>
      <c r="U452" s="475"/>
    </row>
    <row r="453" spans="2:21" ht="39.6" x14ac:dyDescent="0.25">
      <c r="B453" s="375"/>
      <c r="C453" s="351"/>
      <c r="D453" s="71" t="s">
        <v>255</v>
      </c>
      <c r="E453" s="134" t="str">
        <f>HLOOKUP(Deckblatt!$C$12,Language!$C$1:$D$730,547,FALSE)</f>
        <v xml:space="preserve">Mitbestimmung
</v>
      </c>
      <c r="F453" s="363"/>
      <c r="G453" s="69">
        <v>7</v>
      </c>
      <c r="H453" s="18">
        <v>7</v>
      </c>
      <c r="I453" s="379"/>
      <c r="J453" s="340" t="s">
        <v>1837</v>
      </c>
      <c r="K453" s="341"/>
      <c r="L453" s="341"/>
      <c r="M453" s="341"/>
      <c r="N453" s="342"/>
      <c r="P453" s="18">
        <f t="shared" si="7"/>
        <v>7</v>
      </c>
      <c r="Q453" s="338"/>
      <c r="R453" s="344"/>
      <c r="S453" s="474"/>
      <c r="T453" s="344"/>
      <c r="U453" s="475"/>
    </row>
    <row r="454" spans="2:21" ht="39.6" x14ac:dyDescent="0.25">
      <c r="B454" s="375"/>
      <c r="C454" s="351"/>
      <c r="D454" s="71" t="s">
        <v>256</v>
      </c>
      <c r="E454" s="134" t="str">
        <f>HLOOKUP(Deckblatt!$C$12,Language!$C$1:$D$730,548,FALSE)</f>
        <v xml:space="preserve">Konzeptuelle Integration
</v>
      </c>
      <c r="F454" s="363"/>
      <c r="G454" s="69"/>
      <c r="H454" s="18">
        <v>10</v>
      </c>
      <c r="I454" s="379"/>
      <c r="J454" s="340"/>
      <c r="K454" s="341"/>
      <c r="L454" s="341"/>
      <c r="M454" s="341"/>
      <c r="N454" s="342"/>
      <c r="P454" s="18">
        <f t="shared" si="7"/>
        <v>0</v>
      </c>
      <c r="Q454" s="338"/>
      <c r="R454" s="344"/>
      <c r="S454" s="474"/>
      <c r="T454" s="344"/>
      <c r="U454" s="475"/>
    </row>
    <row r="455" spans="2:21" ht="80.099999999999994" customHeight="1" x14ac:dyDescent="0.25">
      <c r="B455" s="375"/>
      <c r="C455" s="351" t="s">
        <v>64</v>
      </c>
      <c r="D455" s="367"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5" s="368"/>
      <c r="F455" s="363"/>
      <c r="G455" s="113"/>
      <c r="H455" s="21">
        <v>10</v>
      </c>
      <c r="I455" s="379"/>
      <c r="J455" s="340"/>
      <c r="K455" s="341"/>
      <c r="L455" s="341"/>
      <c r="M455" s="341"/>
      <c r="N455" s="342"/>
      <c r="P455" s="18">
        <f t="shared" si="7"/>
        <v>0</v>
      </c>
      <c r="Q455" s="338"/>
      <c r="R455" s="344"/>
      <c r="S455" s="474"/>
      <c r="T455" s="344"/>
      <c r="U455" s="475"/>
    </row>
    <row r="456" spans="2:21" ht="39.6" x14ac:dyDescent="0.25">
      <c r="B456" s="375"/>
      <c r="C456" s="351"/>
      <c r="D456" s="71" t="s">
        <v>66</v>
      </c>
      <c r="E456" s="134" t="str">
        <f>HLOOKUP(Deckblatt!$C$12,Language!$C$1:$D$730,550,FALSE)</f>
        <v xml:space="preserve">Information
</v>
      </c>
      <c r="F456" s="363"/>
      <c r="G456" s="69">
        <v>2</v>
      </c>
      <c r="H456" s="18">
        <v>2</v>
      </c>
      <c r="I456" s="379"/>
      <c r="J456" s="340"/>
      <c r="K456" s="341"/>
      <c r="L456" s="341"/>
      <c r="M456" s="341"/>
      <c r="N456" s="342"/>
      <c r="P456" s="18">
        <f t="shared" si="7"/>
        <v>2</v>
      </c>
      <c r="Q456" s="338"/>
      <c r="R456" s="344"/>
      <c r="S456" s="474"/>
      <c r="T456" s="344"/>
      <c r="U456" s="475"/>
    </row>
    <row r="457" spans="2:21" ht="39.6" x14ac:dyDescent="0.25">
      <c r="B457" s="375"/>
      <c r="C457" s="351"/>
      <c r="D457" s="71" t="s">
        <v>188</v>
      </c>
      <c r="E457" s="134" t="str">
        <f>HLOOKUP(Deckblatt!$C$12,Language!$C$1:$D$730,551,FALSE)</f>
        <v xml:space="preserve">Konsultative Nutzerbeteiligung
</v>
      </c>
      <c r="F457" s="363"/>
      <c r="G457" s="69"/>
      <c r="H457" s="18">
        <v>5</v>
      </c>
      <c r="I457" s="379"/>
      <c r="J457" s="340"/>
      <c r="K457" s="341"/>
      <c r="L457" s="341"/>
      <c r="M457" s="341"/>
      <c r="N457" s="342"/>
      <c r="P457" s="18">
        <f t="shared" si="7"/>
        <v>0</v>
      </c>
      <c r="Q457" s="338"/>
      <c r="R457" s="344"/>
      <c r="S457" s="474"/>
      <c r="T457" s="344"/>
      <c r="U457" s="475"/>
    </row>
    <row r="458" spans="2:21" ht="26.4" x14ac:dyDescent="0.25">
      <c r="B458" s="375"/>
      <c r="C458" s="351"/>
      <c r="D458" s="71" t="s">
        <v>150</v>
      </c>
      <c r="E458" s="134" t="str">
        <f>HLOOKUP(Deckblatt!$C$12,Language!$C$1:$D$730,552,FALSE)</f>
        <v xml:space="preserve">Mitbestimmung
</v>
      </c>
      <c r="F458" s="363"/>
      <c r="G458" s="69"/>
      <c r="H458" s="18">
        <v>7</v>
      </c>
      <c r="I458" s="379"/>
      <c r="J458" s="340"/>
      <c r="K458" s="341"/>
      <c r="L458" s="341"/>
      <c r="M458" s="341"/>
      <c r="N458" s="342"/>
      <c r="P458" s="18">
        <f t="shared" si="7"/>
        <v>0</v>
      </c>
      <c r="Q458" s="338"/>
      <c r="R458" s="344"/>
      <c r="S458" s="474"/>
      <c r="T458" s="344"/>
      <c r="U458" s="475"/>
    </row>
    <row r="459" spans="2:21" ht="26.4" x14ac:dyDescent="0.25">
      <c r="B459" s="375"/>
      <c r="C459" s="351"/>
      <c r="D459" s="71" t="s">
        <v>377</v>
      </c>
      <c r="E459" s="134" t="str">
        <f>HLOOKUP(Deckblatt!$C$12,Language!$C$1:$D$730,553,FALSE)</f>
        <v xml:space="preserve">Konzeptuelle Integration
</v>
      </c>
      <c r="F459" s="363"/>
      <c r="G459" s="69"/>
      <c r="H459" s="18">
        <v>10</v>
      </c>
      <c r="I459" s="379"/>
      <c r="J459" s="340"/>
      <c r="K459" s="341"/>
      <c r="L459" s="341"/>
      <c r="M459" s="341"/>
      <c r="N459" s="342"/>
      <c r="P459" s="18">
        <f t="shared" si="7"/>
        <v>0</v>
      </c>
      <c r="Q459" s="338"/>
      <c r="R459" s="344"/>
      <c r="S459" s="474"/>
      <c r="T459" s="344"/>
      <c r="U459" s="475"/>
    </row>
    <row r="460" spans="2:21" ht="69.900000000000006" customHeight="1" x14ac:dyDescent="0.25">
      <c r="B460" s="375"/>
      <c r="C460" s="351" t="s">
        <v>67</v>
      </c>
      <c r="D460" s="367"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0" s="368"/>
      <c r="F460" s="363"/>
      <c r="G460" s="113"/>
      <c r="H460" s="21">
        <v>10</v>
      </c>
      <c r="I460" s="379"/>
      <c r="J460" s="340"/>
      <c r="K460" s="341"/>
      <c r="L460" s="341"/>
      <c r="M460" s="341"/>
      <c r="N460" s="342"/>
      <c r="P460" s="18">
        <f t="shared" si="7"/>
        <v>0</v>
      </c>
      <c r="Q460" s="338"/>
      <c r="R460" s="344"/>
      <c r="S460" s="474"/>
      <c r="T460" s="344"/>
      <c r="U460" s="475"/>
    </row>
    <row r="461" spans="2:21" ht="26.4" x14ac:dyDescent="0.25">
      <c r="B461" s="375"/>
      <c r="C461" s="351"/>
      <c r="D461" s="71" t="s">
        <v>69</v>
      </c>
      <c r="E461" s="134" t="str">
        <f>HLOOKUP(Deckblatt!$C$12,Language!$C$1:$D$730,555,FALSE)</f>
        <v xml:space="preserve">Information
</v>
      </c>
      <c r="F461" s="363"/>
      <c r="G461" s="69">
        <v>2</v>
      </c>
      <c r="H461" s="18">
        <v>2</v>
      </c>
      <c r="I461" s="379"/>
      <c r="J461" s="340"/>
      <c r="K461" s="341"/>
      <c r="L461" s="341"/>
      <c r="M461" s="341"/>
      <c r="N461" s="342"/>
      <c r="P461" s="18">
        <f t="shared" si="7"/>
        <v>2</v>
      </c>
      <c r="Q461" s="338"/>
      <c r="R461" s="344"/>
      <c r="S461" s="474"/>
      <c r="T461" s="344"/>
      <c r="U461" s="475"/>
    </row>
    <row r="462" spans="2:21" ht="26.4" x14ac:dyDescent="0.25">
      <c r="B462" s="375"/>
      <c r="C462" s="351"/>
      <c r="D462" s="71" t="s">
        <v>78</v>
      </c>
      <c r="E462" s="134" t="str">
        <f>HLOOKUP(Deckblatt!$C$12,Language!$C$1:$D$730,560,FALSE)</f>
        <v xml:space="preserve">Konsultative Nutzerbeteiligung
</v>
      </c>
      <c r="F462" s="363"/>
      <c r="G462" s="69"/>
      <c r="H462" s="18">
        <v>5</v>
      </c>
      <c r="I462" s="379"/>
      <c r="J462" s="340"/>
      <c r="K462" s="341"/>
      <c r="L462" s="341"/>
      <c r="M462" s="341"/>
      <c r="N462" s="342"/>
      <c r="P462" s="18">
        <f t="shared" si="7"/>
        <v>0</v>
      </c>
      <c r="Q462" s="338"/>
      <c r="R462" s="344"/>
      <c r="S462" s="474"/>
      <c r="T462" s="344"/>
      <c r="U462" s="475"/>
    </row>
    <row r="463" spans="2:21" ht="26.4" x14ac:dyDescent="0.25">
      <c r="B463" s="375"/>
      <c r="C463" s="351"/>
      <c r="D463" s="71" t="s">
        <v>214</v>
      </c>
      <c r="E463" s="134" t="str">
        <f>HLOOKUP(Deckblatt!$C$12,Language!$C$1:$D$730,561,FALSE)</f>
        <v xml:space="preserve">Mitbestimmung
</v>
      </c>
      <c r="F463" s="363"/>
      <c r="G463" s="69"/>
      <c r="H463" s="18">
        <v>7</v>
      </c>
      <c r="I463" s="379"/>
      <c r="J463" s="340"/>
      <c r="K463" s="341"/>
      <c r="L463" s="341"/>
      <c r="M463" s="341"/>
      <c r="N463" s="342"/>
      <c r="P463" s="18">
        <f t="shared" si="7"/>
        <v>0</v>
      </c>
      <c r="Q463" s="338"/>
      <c r="R463" s="344"/>
      <c r="S463" s="474"/>
      <c r="T463" s="344"/>
      <c r="U463" s="475"/>
    </row>
    <row r="464" spans="2:21" ht="26.4" x14ac:dyDescent="0.25">
      <c r="B464" s="375"/>
      <c r="C464" s="351"/>
      <c r="D464" s="71" t="s">
        <v>215</v>
      </c>
      <c r="E464" s="134" t="str">
        <f>HLOOKUP(Deckblatt!$C$12,Language!$C$1:$D$730,562,FALSE)</f>
        <v xml:space="preserve">Konzeptuelle Integration
</v>
      </c>
      <c r="F464" s="363"/>
      <c r="G464" s="69"/>
      <c r="H464" s="18">
        <v>10</v>
      </c>
      <c r="I464" s="379"/>
      <c r="J464" s="340"/>
      <c r="K464" s="341"/>
      <c r="L464" s="341"/>
      <c r="M464" s="341"/>
      <c r="N464" s="342"/>
      <c r="P464" s="18">
        <f t="shared" si="7"/>
        <v>0</v>
      </c>
      <c r="Q464" s="338"/>
      <c r="R464" s="344"/>
      <c r="S464" s="474"/>
      <c r="T464" s="344"/>
      <c r="U464" s="475"/>
    </row>
    <row r="465" spans="2:21" ht="13.2" customHeight="1" x14ac:dyDescent="0.25">
      <c r="B465" s="375"/>
      <c r="C465" s="351" t="s">
        <v>154</v>
      </c>
      <c r="D465" s="352" t="str">
        <f>HLOOKUP(Deckblatt!$C$12,Language!$C$1:$D$730,563,FALSE)</f>
        <v>Auswirkung partizipativer Prozesse auf Gesamtkonzept</v>
      </c>
      <c r="E465" s="353"/>
      <c r="F465" s="363"/>
      <c r="G465" s="113"/>
      <c r="H465" s="21">
        <v>30</v>
      </c>
      <c r="I465" s="379"/>
      <c r="J465" s="340"/>
      <c r="K465" s="341"/>
      <c r="L465" s="341"/>
      <c r="M465" s="341"/>
      <c r="N465" s="342"/>
      <c r="P465" s="18">
        <f t="shared" si="7"/>
        <v>0</v>
      </c>
      <c r="Q465" s="338"/>
      <c r="R465" s="344"/>
      <c r="S465" s="474"/>
      <c r="T465" s="344"/>
      <c r="U465" s="475"/>
    </row>
    <row r="466" spans="2:21" ht="39.6" customHeight="1" x14ac:dyDescent="0.25">
      <c r="B466" s="375"/>
      <c r="C466" s="351"/>
      <c r="D466" s="71" t="s">
        <v>156</v>
      </c>
      <c r="E466" s="134" t="str">
        <f>HLOOKUP(Deckblatt!$C$12,Language!$C$1:$D$730,564,FALSE)</f>
        <v xml:space="preserve">Rahmenplanung und städtebauliche Konzeption
</v>
      </c>
      <c r="F466" s="363"/>
      <c r="G466" s="69">
        <v>8</v>
      </c>
      <c r="H466" s="18">
        <v>16</v>
      </c>
      <c r="I466" s="379"/>
      <c r="J466" s="340"/>
      <c r="K466" s="341"/>
      <c r="L466" s="341"/>
      <c r="M466" s="341"/>
      <c r="N466" s="342"/>
      <c r="P466" s="18">
        <f t="shared" si="7"/>
        <v>8</v>
      </c>
      <c r="Q466" s="338"/>
      <c r="R466" s="344"/>
      <c r="S466" s="474"/>
      <c r="T466" s="344"/>
      <c r="U466" s="475"/>
    </row>
    <row r="467" spans="2:21" ht="26.4" x14ac:dyDescent="0.25">
      <c r="B467" s="375"/>
      <c r="C467" s="351"/>
      <c r="D467" s="71" t="s">
        <v>218</v>
      </c>
      <c r="E467" s="134" t="str">
        <f>HLOOKUP(Deckblatt!$C$12,Language!$C$1:$D$730,565,FALSE)</f>
        <v xml:space="preserve">Planung und Realisierung öffentlicher Räume
</v>
      </c>
      <c r="F467" s="363"/>
      <c r="G467" s="69">
        <v>7</v>
      </c>
      <c r="H467" s="18">
        <v>7</v>
      </c>
      <c r="I467" s="379"/>
      <c r="J467" s="340" t="s">
        <v>1837</v>
      </c>
      <c r="K467" s="341"/>
      <c r="L467" s="341"/>
      <c r="M467" s="341"/>
      <c r="N467" s="342"/>
      <c r="P467" s="18">
        <f t="shared" si="7"/>
        <v>7</v>
      </c>
      <c r="Q467" s="338"/>
      <c r="R467" s="344"/>
      <c r="S467" s="474"/>
      <c r="T467" s="344"/>
      <c r="U467" s="475"/>
    </row>
    <row r="468" spans="2:21" ht="26.4" x14ac:dyDescent="0.25">
      <c r="B468" s="375"/>
      <c r="C468" s="351"/>
      <c r="D468" s="71" t="s">
        <v>219</v>
      </c>
      <c r="E468" s="134" t="str">
        <f>HLOOKUP(Deckblatt!$C$12,Language!$C$1:$D$730,566,FALSE)</f>
        <v xml:space="preserve">Planung und Realisierung Architektur und Nutzung
</v>
      </c>
      <c r="F468" s="363"/>
      <c r="G468" s="69">
        <v>0</v>
      </c>
      <c r="H468" s="18">
        <v>7</v>
      </c>
      <c r="I468" s="379"/>
      <c r="J468" s="340"/>
      <c r="K468" s="341"/>
      <c r="L468" s="341"/>
      <c r="M468" s="341"/>
      <c r="N468" s="342"/>
      <c r="P468" s="18">
        <f t="shared" si="7"/>
        <v>0</v>
      </c>
      <c r="Q468" s="338"/>
      <c r="R468" s="344"/>
      <c r="S468" s="474"/>
      <c r="T468" s="344"/>
      <c r="U468" s="475"/>
    </row>
    <row r="469" spans="2:21" ht="13.2" customHeight="1" x14ac:dyDescent="0.25">
      <c r="B469" s="375"/>
      <c r="C469" s="351" t="s">
        <v>157</v>
      </c>
      <c r="D469" s="352" t="str">
        <f>HLOOKUP(Deckblatt!$C$12,Language!$C$1:$D$730,566,FALSE)</f>
        <v xml:space="preserve">Planung und Realisierung Architektur und Nutzung
</v>
      </c>
      <c r="E469" s="353"/>
      <c r="F469" s="363"/>
      <c r="G469" s="113"/>
      <c r="H469" s="21">
        <v>30</v>
      </c>
      <c r="I469" s="379"/>
      <c r="J469" s="340"/>
      <c r="K469" s="341"/>
      <c r="L469" s="341"/>
      <c r="M469" s="341"/>
      <c r="N469" s="342"/>
      <c r="P469" s="18">
        <f t="shared" si="7"/>
        <v>0</v>
      </c>
      <c r="Q469" s="338"/>
      <c r="R469" s="344"/>
      <c r="S469" s="474"/>
      <c r="T469" s="344"/>
      <c r="U469" s="475"/>
    </row>
    <row r="470" spans="2:21" ht="105.6" customHeight="1" x14ac:dyDescent="0.25">
      <c r="B470" s="375"/>
      <c r="C470" s="351"/>
      <c r="D470" s="71" t="s">
        <v>159</v>
      </c>
      <c r="E470"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0" s="363"/>
      <c r="G470" s="69">
        <v>30</v>
      </c>
      <c r="H470" s="18">
        <v>30</v>
      </c>
      <c r="I470" s="379"/>
      <c r="J470" s="340" t="s">
        <v>1837</v>
      </c>
      <c r="K470" s="341"/>
      <c r="L470" s="341"/>
      <c r="M470" s="341"/>
      <c r="N470" s="342"/>
      <c r="P470" s="18">
        <f t="shared" si="7"/>
        <v>30</v>
      </c>
      <c r="Q470" s="339"/>
      <c r="R470" s="365"/>
      <c r="S470" s="474"/>
      <c r="T470" s="344"/>
      <c r="U470" s="475"/>
    </row>
    <row r="471" spans="2:21" x14ac:dyDescent="0.25">
      <c r="B471" s="55" t="s">
        <v>497</v>
      </c>
      <c r="C471" s="354" t="str">
        <f>HLOOKUP(Deckblatt!$C$12,Language!$C$1:$D$730,569,FALSE)</f>
        <v>Projektmanagement</v>
      </c>
      <c r="D471" s="354"/>
      <c r="E471" s="355"/>
      <c r="F471" s="66">
        <f>Q471</f>
        <v>100</v>
      </c>
      <c r="G471" s="364">
        <v>0</v>
      </c>
      <c r="H471" s="21">
        <v>100</v>
      </c>
      <c r="I471" s="176">
        <v>2</v>
      </c>
      <c r="J471" s="340"/>
      <c r="K471" s="341"/>
      <c r="L471" s="341"/>
      <c r="M471" s="341"/>
      <c r="N471" s="342"/>
      <c r="P471" s="18">
        <f t="shared" si="7"/>
        <v>0</v>
      </c>
      <c r="Q471" s="337">
        <f>SUM(P473:P492)</f>
        <v>100</v>
      </c>
      <c r="R471" s="343">
        <f>Q471/100</f>
        <v>1</v>
      </c>
      <c r="S471" s="474"/>
      <c r="T471" s="344"/>
      <c r="U471" s="475"/>
    </row>
    <row r="472" spans="2:21" ht="13.2" customHeight="1" x14ac:dyDescent="0.25">
      <c r="B472" s="375"/>
      <c r="C472" s="351" t="s">
        <v>54</v>
      </c>
      <c r="D472" s="352" t="str">
        <f>HLOOKUP(Deckblatt!$C$12,Language!$C$1:$D$730,570,FALSE)</f>
        <v>Projektsteuerung</v>
      </c>
      <c r="E472" s="353"/>
      <c r="F472" s="363"/>
      <c r="G472" s="364"/>
      <c r="H472" s="21">
        <v>15</v>
      </c>
      <c r="I472" s="379"/>
      <c r="J472" s="340"/>
      <c r="K472" s="341"/>
      <c r="L472" s="341"/>
      <c r="M472" s="341"/>
      <c r="N472" s="342"/>
      <c r="P472" s="18">
        <f t="shared" si="7"/>
        <v>0</v>
      </c>
      <c r="Q472" s="338"/>
      <c r="R472" s="344"/>
      <c r="S472" s="474"/>
      <c r="T472" s="344"/>
      <c r="U472" s="475"/>
    </row>
    <row r="473" spans="2:21" ht="26.4" x14ac:dyDescent="0.25">
      <c r="B473" s="375"/>
      <c r="C473" s="351"/>
      <c r="D473" s="160" t="s">
        <v>58</v>
      </c>
      <c r="E473" s="134" t="str">
        <f>HLOOKUP(Deckblatt!$C$12,Language!$C$1:$D$730,571,FALSE)</f>
        <v xml:space="preserve">Durchführung einer Projektsteuerung
</v>
      </c>
      <c r="F473" s="363"/>
      <c r="G473" s="69">
        <v>15</v>
      </c>
      <c r="H473" s="18">
        <v>15</v>
      </c>
      <c r="I473" s="379"/>
      <c r="J473" s="340"/>
      <c r="K473" s="341"/>
      <c r="L473" s="341"/>
      <c r="M473" s="341"/>
      <c r="N473" s="342"/>
      <c r="P473" s="18">
        <f t="shared" si="7"/>
        <v>15</v>
      </c>
      <c r="Q473" s="338"/>
      <c r="R473" s="344"/>
      <c r="S473" s="474"/>
      <c r="T473" s="344"/>
      <c r="U473" s="475"/>
    </row>
    <row r="474" spans="2:21" ht="13.2" customHeight="1" x14ac:dyDescent="0.25">
      <c r="B474" s="375"/>
      <c r="C474" s="351" t="s">
        <v>61</v>
      </c>
      <c r="D474" s="352" t="str">
        <f>HLOOKUP(Deckblatt!$C$12,Language!$C$1:$D$730,572,FALSE)</f>
        <v>Risikomanagement</v>
      </c>
      <c r="E474" s="353"/>
      <c r="F474" s="363"/>
      <c r="G474" s="356"/>
      <c r="H474" s="21">
        <v>25</v>
      </c>
      <c r="I474" s="379"/>
      <c r="J474" s="340"/>
      <c r="K474" s="341"/>
      <c r="L474" s="341"/>
      <c r="M474" s="341"/>
      <c r="N474" s="342"/>
      <c r="P474" s="18">
        <f t="shared" si="7"/>
        <v>0</v>
      </c>
      <c r="Q474" s="338"/>
      <c r="R474" s="344"/>
      <c r="S474" s="474"/>
      <c r="T474" s="344"/>
      <c r="U474" s="475"/>
    </row>
    <row r="475" spans="2:21" x14ac:dyDescent="0.25">
      <c r="B475" s="375"/>
      <c r="C475" s="351"/>
      <c r="D475" s="376" t="s">
        <v>63</v>
      </c>
      <c r="E475" s="134" t="str">
        <f>HLOOKUP(Deckblatt!$C$12,Language!$C$1:$D$730,573,FALSE)</f>
        <v>Risiko-Controlling</v>
      </c>
      <c r="F475" s="363"/>
      <c r="G475" s="356"/>
      <c r="H475" s="21">
        <v>25</v>
      </c>
      <c r="I475" s="379"/>
      <c r="J475" s="340"/>
      <c r="K475" s="341"/>
      <c r="L475" s="341"/>
      <c r="M475" s="341"/>
      <c r="N475" s="342"/>
      <c r="P475" s="18">
        <f t="shared" si="7"/>
        <v>0</v>
      </c>
      <c r="Q475" s="338"/>
      <c r="R475" s="344"/>
      <c r="S475" s="474"/>
      <c r="T475" s="344"/>
      <c r="U475" s="475"/>
    </row>
    <row r="476" spans="2:21" ht="26.4" x14ac:dyDescent="0.25">
      <c r="B476" s="375"/>
      <c r="C476" s="351"/>
      <c r="D476" s="376"/>
      <c r="E476" s="134" t="str">
        <f>HLOOKUP(Deckblatt!$C$12,Language!$C$1:$D$730,574,FALSE)</f>
        <v xml:space="preserve">Ein vorbeugendes Risikomanagement wurde durchgeführt.
</v>
      </c>
      <c r="F476" s="363"/>
      <c r="G476" s="69">
        <v>15</v>
      </c>
      <c r="H476" s="18">
        <v>15</v>
      </c>
      <c r="I476" s="379"/>
      <c r="J476" s="340"/>
      <c r="K476" s="341"/>
      <c r="L476" s="341"/>
      <c r="M476" s="341"/>
      <c r="N476" s="342"/>
      <c r="P476" s="18">
        <f t="shared" si="7"/>
        <v>15</v>
      </c>
      <c r="Q476" s="338"/>
      <c r="R476" s="344"/>
      <c r="S476" s="474"/>
      <c r="T476" s="344"/>
      <c r="U476" s="475"/>
    </row>
    <row r="477" spans="2:21" ht="39.6" x14ac:dyDescent="0.25">
      <c r="B477" s="375"/>
      <c r="C477" s="351"/>
      <c r="D477" s="376"/>
      <c r="E477" s="134" t="str">
        <f>HLOOKUP(Deckblatt!$C$12,Language!$C$1:$D$730,575,FALSE)</f>
        <v xml:space="preserve">Die Risikoidentifizierung wurde mithilfe von Stakeholder- und/oder Projektbeteiligtenworkshops durchgeführt.
</v>
      </c>
      <c r="F477" s="363"/>
      <c r="G477" s="69">
        <v>10</v>
      </c>
      <c r="H477" s="18">
        <v>10</v>
      </c>
      <c r="I477" s="379"/>
      <c r="J477" s="340"/>
      <c r="K477" s="341"/>
      <c r="L477" s="341"/>
      <c r="M477" s="341"/>
      <c r="N477" s="342"/>
      <c r="P477" s="18">
        <f t="shared" si="7"/>
        <v>10</v>
      </c>
      <c r="Q477" s="338"/>
      <c r="R477" s="344"/>
      <c r="S477" s="474"/>
      <c r="T477" s="344"/>
      <c r="U477" s="475"/>
    </row>
    <row r="478" spans="2:21" ht="13.2" customHeight="1" x14ac:dyDescent="0.25">
      <c r="B478" s="375"/>
      <c r="C478" s="351" t="s">
        <v>64</v>
      </c>
      <c r="D478" s="352" t="str">
        <f>HLOOKUP(Deckblatt!$C$12,Language!$C$1:$D$730,577,FALSE)</f>
        <v>Qualitätssicherheit</v>
      </c>
      <c r="E478" s="353"/>
      <c r="F478" s="363"/>
      <c r="G478" s="356"/>
      <c r="H478" s="21">
        <v>25</v>
      </c>
      <c r="I478" s="379"/>
      <c r="J478" s="340"/>
      <c r="K478" s="341"/>
      <c r="L478" s="341"/>
      <c r="M478" s="341"/>
      <c r="N478" s="342"/>
      <c r="P478" s="18">
        <f t="shared" si="7"/>
        <v>0</v>
      </c>
      <c r="Q478" s="338"/>
      <c r="R478" s="344"/>
      <c r="S478" s="474"/>
      <c r="T478" s="344"/>
      <c r="U478" s="475"/>
    </row>
    <row r="479" spans="2:21" x14ac:dyDescent="0.25">
      <c r="B479" s="375"/>
      <c r="C479" s="351"/>
      <c r="D479" s="376" t="s">
        <v>66</v>
      </c>
      <c r="E479" s="134" t="str">
        <f>HLOOKUP(Deckblatt!$C$12,Language!$C$1:$D$730,578,FALSE)</f>
        <v>Projektziele, Dokumentation, Durchführung Qualitätsüberprüfung</v>
      </c>
      <c r="F479" s="363"/>
      <c r="G479" s="356"/>
      <c r="H479" s="21">
        <v>25</v>
      </c>
      <c r="I479" s="379"/>
      <c r="J479" s="340"/>
      <c r="K479" s="341"/>
      <c r="L479" s="341"/>
      <c r="M479" s="341"/>
      <c r="N479" s="342"/>
      <c r="P479" s="18">
        <f t="shared" si="7"/>
        <v>0</v>
      </c>
      <c r="Q479" s="338"/>
      <c r="R479" s="344"/>
      <c r="S479" s="474"/>
      <c r="T479" s="344"/>
      <c r="U479" s="475"/>
    </row>
    <row r="480" spans="2:21" ht="39.6" x14ac:dyDescent="0.25">
      <c r="B480" s="375"/>
      <c r="C480" s="351"/>
      <c r="D480" s="376"/>
      <c r="E480" s="134" t="str">
        <f>HLOOKUP(Deckblatt!$C$12,Language!$C$1:$D$730,579,FALSE)</f>
        <v xml:space="preserve">Definition konkreter ökologischer, ökonomischer und soziokultureller Projektziele (inkl. Gestaltung) vor Beginn der Vergabe von Bauleistungen
</v>
      </c>
      <c r="F480" s="363"/>
      <c r="G480" s="69">
        <v>5</v>
      </c>
      <c r="H480" s="18">
        <v>5</v>
      </c>
      <c r="I480" s="379"/>
      <c r="J480" s="340"/>
      <c r="K480" s="341"/>
      <c r="L480" s="341"/>
      <c r="M480" s="341"/>
      <c r="N480" s="342"/>
      <c r="P480" s="18">
        <f t="shared" si="7"/>
        <v>5</v>
      </c>
      <c r="Q480" s="338"/>
      <c r="R480" s="344"/>
      <c r="S480" s="474"/>
      <c r="T480" s="344"/>
      <c r="U480" s="475"/>
    </row>
    <row r="481" spans="2:21" ht="52.8" x14ac:dyDescent="0.25">
      <c r="B481" s="375"/>
      <c r="C481" s="351"/>
      <c r="D481" s="376"/>
      <c r="E481" s="134" t="str">
        <f>HLOOKUP(Deckblatt!$C$12,Language!$C$1:$D$730,580,FALSE)</f>
        <v xml:space="preserve">Dokumentation der vertraglichen Vereinbarung (verbindlich) der konkreten ökologischen, ökonomischen und soziokulturellen Projektzielen (Gestaltungshandbuch, Verträge, Qualitätsstandards)
</v>
      </c>
      <c r="F481" s="363"/>
      <c r="G481" s="69">
        <v>5</v>
      </c>
      <c r="H481" s="18">
        <v>5</v>
      </c>
      <c r="I481" s="379"/>
      <c r="J481" s="340"/>
      <c r="K481" s="341"/>
      <c r="L481" s="341"/>
      <c r="M481" s="341"/>
      <c r="N481" s="342"/>
      <c r="P481" s="18">
        <f t="shared" si="7"/>
        <v>5</v>
      </c>
      <c r="Q481" s="338"/>
      <c r="R481" s="344"/>
      <c r="S481" s="474"/>
      <c r="T481" s="344"/>
      <c r="U481" s="475"/>
    </row>
    <row r="482" spans="2:21" ht="39.6" x14ac:dyDescent="0.25">
      <c r="B482" s="375"/>
      <c r="C482" s="351"/>
      <c r="D482" s="376"/>
      <c r="E482" s="134" t="str">
        <f>HLOOKUP(Deckblatt!$C$12,Language!$C$1:$D$730,581,FALSE)</f>
        <v xml:space="preserve">Die Projektziele werden allen Planungsbeteiligten (inkl. Auftragnehmer) klar kommuniziert und bei Änderungen aktualisiert.
</v>
      </c>
      <c r="F482" s="363"/>
      <c r="G482" s="69">
        <v>5</v>
      </c>
      <c r="H482" s="18">
        <v>5</v>
      </c>
      <c r="I482" s="379"/>
      <c r="J482" s="340"/>
      <c r="K482" s="341"/>
      <c r="L482" s="341"/>
      <c r="M482" s="341"/>
      <c r="N482" s="342"/>
      <c r="P482" s="18">
        <f t="shared" si="7"/>
        <v>5</v>
      </c>
      <c r="Q482" s="338"/>
      <c r="R482" s="344"/>
      <c r="S482" s="474"/>
      <c r="T482" s="344"/>
      <c r="U482" s="475"/>
    </row>
    <row r="483" spans="2:21" ht="26.4" customHeight="1" x14ac:dyDescent="0.25">
      <c r="B483" s="375"/>
      <c r="C483" s="351"/>
      <c r="D483" s="376"/>
      <c r="E483" s="134" t="str">
        <f>HLOOKUP(Deckblatt!$C$12,Language!$C$1:$D$730,582,FALSE)</f>
        <v xml:space="preserve">Es wird eine regelmäßige Qualitätsüberprüfung durchgeführt und dokumentiert.
</v>
      </c>
      <c r="F483" s="363"/>
      <c r="G483" s="69">
        <v>5</v>
      </c>
      <c r="H483" s="18">
        <v>5</v>
      </c>
      <c r="I483" s="379"/>
      <c r="J483" s="340"/>
      <c r="K483" s="341"/>
      <c r="L483" s="341"/>
      <c r="M483" s="341"/>
      <c r="N483" s="342"/>
      <c r="P483" s="18">
        <f t="shared" si="7"/>
        <v>5</v>
      </c>
      <c r="Q483" s="338"/>
      <c r="R483" s="344"/>
      <c r="S483" s="474"/>
      <c r="T483" s="344"/>
      <c r="U483" s="475"/>
    </row>
    <row r="484" spans="2:21" ht="39.6" x14ac:dyDescent="0.25">
      <c r="B484" s="375"/>
      <c r="C484" s="351"/>
      <c r="D484" s="376"/>
      <c r="E484" s="134" t="str">
        <f>HLOOKUP(Deckblatt!$C$12,Language!$C$1:$D$730,583,FALSE)</f>
        <v xml:space="preserve">Es wird nach Projektabschluss eine Qualitätsüberprüfung durchgeführt, die die Projektziele und das Ergebnis vergleichend betrachtet.
</v>
      </c>
      <c r="F484" s="363"/>
      <c r="G484" s="69">
        <v>5</v>
      </c>
      <c r="H484" s="18">
        <v>5</v>
      </c>
      <c r="I484" s="379"/>
      <c r="J484" s="340"/>
      <c r="K484" s="341"/>
      <c r="L484" s="341"/>
      <c r="M484" s="341"/>
      <c r="N484" s="342"/>
      <c r="P484" s="18">
        <f t="shared" si="7"/>
        <v>5</v>
      </c>
      <c r="Q484" s="338"/>
      <c r="R484" s="344"/>
      <c r="S484" s="474"/>
      <c r="T484" s="344"/>
      <c r="U484" s="475"/>
    </row>
    <row r="485" spans="2:21" ht="13.2" customHeight="1" x14ac:dyDescent="0.25">
      <c r="B485" s="375"/>
      <c r="C485" s="351" t="s">
        <v>67</v>
      </c>
      <c r="D485" s="352" t="str">
        <f>HLOOKUP(Deckblatt!$C$12,Language!$C$1:$D$730,584,FALSE)</f>
        <v>Terminplanung</v>
      </c>
      <c r="E485" s="353"/>
      <c r="F485" s="363"/>
      <c r="G485" s="113"/>
      <c r="H485" s="21">
        <v>10</v>
      </c>
      <c r="I485" s="379"/>
      <c r="J485" s="340"/>
      <c r="K485" s="341"/>
      <c r="L485" s="341"/>
      <c r="M485" s="341"/>
      <c r="N485" s="342"/>
      <c r="P485" s="18">
        <f t="shared" si="7"/>
        <v>0</v>
      </c>
      <c r="Q485" s="338"/>
      <c r="R485" s="344"/>
      <c r="S485" s="474"/>
      <c r="T485" s="344"/>
      <c r="U485" s="475"/>
    </row>
    <row r="486" spans="2:21" ht="26.4" x14ac:dyDescent="0.25">
      <c r="B486" s="375"/>
      <c r="C486" s="351"/>
      <c r="D486" s="160" t="s">
        <v>69</v>
      </c>
      <c r="E486" s="134" t="str">
        <f>HLOOKUP(Deckblatt!$C$12,Language!$C$1:$D$730,585,FALSE)</f>
        <v xml:space="preserve">Rahmenterminplan
</v>
      </c>
      <c r="F486" s="363"/>
      <c r="G486" s="69">
        <v>10</v>
      </c>
      <c r="H486" s="18">
        <v>10</v>
      </c>
      <c r="I486" s="379"/>
      <c r="J486" s="340"/>
      <c r="K486" s="341"/>
      <c r="L486" s="341"/>
      <c r="M486" s="341"/>
      <c r="N486" s="342"/>
      <c r="P486" s="18">
        <f t="shared" si="7"/>
        <v>10</v>
      </c>
      <c r="Q486" s="338"/>
      <c r="R486" s="344"/>
      <c r="S486" s="474"/>
      <c r="T486" s="344"/>
      <c r="U486" s="475"/>
    </row>
    <row r="487" spans="2:21" ht="13.2" customHeight="1" x14ac:dyDescent="0.25">
      <c r="B487" s="375"/>
      <c r="C487" s="351" t="s">
        <v>154</v>
      </c>
      <c r="D487" s="352" t="str">
        <f>HLOOKUP(Deckblatt!$C$12,Language!$C$1:$D$730,586,FALSE)</f>
        <v>Kostenkontrolle</v>
      </c>
      <c r="E487" s="353"/>
      <c r="F487" s="363"/>
      <c r="G487" s="356"/>
      <c r="H487" s="21">
        <v>25</v>
      </c>
      <c r="I487" s="379"/>
      <c r="J487" s="340"/>
      <c r="K487" s="341"/>
      <c r="L487" s="341"/>
      <c r="M487" s="341"/>
      <c r="N487" s="342"/>
      <c r="P487" s="18">
        <f t="shared" si="7"/>
        <v>0</v>
      </c>
      <c r="Q487" s="338"/>
      <c r="R487" s="344"/>
      <c r="S487" s="474"/>
      <c r="T487" s="344"/>
      <c r="U487" s="475"/>
    </row>
    <row r="488" spans="2:21" x14ac:dyDescent="0.25">
      <c r="B488" s="375"/>
      <c r="C488" s="351"/>
      <c r="D488" s="376" t="s">
        <v>156</v>
      </c>
      <c r="E488" s="134" t="str">
        <f>HLOOKUP(Deckblatt!$C$12,Language!$C$1:$D$730,587,FALSE)</f>
        <v>Wirtschaftlichkeitsberechnung, Beratung und Optimierung</v>
      </c>
      <c r="F488" s="363"/>
      <c r="G488" s="356"/>
      <c r="H488" s="21">
        <v>25</v>
      </c>
      <c r="I488" s="379"/>
      <c r="J488" s="340"/>
      <c r="K488" s="341"/>
      <c r="L488" s="341"/>
      <c r="M488" s="341"/>
      <c r="N488" s="342"/>
      <c r="P488" s="18">
        <f t="shared" si="7"/>
        <v>0</v>
      </c>
      <c r="Q488" s="338"/>
      <c r="R488" s="344"/>
      <c r="S488" s="474"/>
      <c r="T488" s="344"/>
      <c r="U488" s="475"/>
    </row>
    <row r="489" spans="2:21" ht="52.8" x14ac:dyDescent="0.25">
      <c r="B489" s="375"/>
      <c r="C489" s="351"/>
      <c r="D489" s="376"/>
      <c r="E489" s="134" t="str">
        <f>HLOOKUP(Deckblatt!$C$12,Language!$C$1:$D$730,588,FALSE)</f>
        <v xml:space="preserve">Vorhandensein einer Kosten- und Einnahmenbetrachtung als statische Projektentwicklerkalkulation, ständige Überprüfung des aufgestellten Kostenrahmens
</v>
      </c>
      <c r="F489" s="363"/>
      <c r="G489" s="69">
        <v>7</v>
      </c>
      <c r="H489" s="18">
        <v>7</v>
      </c>
      <c r="I489" s="379"/>
      <c r="J489" s="340"/>
      <c r="K489" s="341"/>
      <c r="L489" s="341"/>
      <c r="M489" s="341"/>
      <c r="N489" s="342"/>
      <c r="P489" s="18">
        <f t="shared" si="7"/>
        <v>7</v>
      </c>
      <c r="Q489" s="338"/>
      <c r="R489" s="344"/>
      <c r="S489" s="474"/>
      <c r="T489" s="344"/>
      <c r="U489" s="475"/>
    </row>
    <row r="490" spans="2:21" ht="92.4" x14ac:dyDescent="0.25">
      <c r="B490" s="375"/>
      <c r="C490" s="351"/>
      <c r="D490" s="376"/>
      <c r="E490"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0" s="363"/>
      <c r="G490" s="69">
        <v>6</v>
      </c>
      <c r="H490" s="18">
        <v>6</v>
      </c>
      <c r="I490" s="379"/>
      <c r="J490" s="340"/>
      <c r="K490" s="341"/>
      <c r="L490" s="341"/>
      <c r="M490" s="341"/>
      <c r="N490" s="342"/>
      <c r="P490" s="18">
        <f t="shared" si="7"/>
        <v>6</v>
      </c>
      <c r="Q490" s="338"/>
      <c r="R490" s="344"/>
      <c r="S490" s="474"/>
      <c r="T490" s="344"/>
      <c r="U490" s="475"/>
    </row>
    <row r="491" spans="2:21" ht="66" x14ac:dyDescent="0.25">
      <c r="B491" s="375"/>
      <c r="C491" s="351"/>
      <c r="D491" s="376"/>
      <c r="E491"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1" s="363"/>
      <c r="G491" s="69">
        <v>6</v>
      </c>
      <c r="H491" s="18">
        <v>6</v>
      </c>
      <c r="I491" s="379"/>
      <c r="J491" s="340"/>
      <c r="K491" s="341"/>
      <c r="L491" s="341"/>
      <c r="M491" s="341"/>
      <c r="N491" s="342"/>
      <c r="P491" s="18">
        <f t="shared" si="7"/>
        <v>6</v>
      </c>
      <c r="Q491" s="338"/>
      <c r="R491" s="344"/>
      <c r="S491" s="474"/>
      <c r="T491" s="344"/>
      <c r="U491" s="475"/>
    </row>
    <row r="492" spans="2:21" ht="26.4" x14ac:dyDescent="0.25">
      <c r="B492" s="375"/>
      <c r="C492" s="351"/>
      <c r="D492" s="376"/>
      <c r="E492" s="134" t="str">
        <f>HLOOKUP(Deckblatt!$C$12,Language!$C$1:$D$730,591,FALSE)</f>
        <v xml:space="preserve">Es wurde eine Folgekostenberatung bzw. -betrachtung durchgeführt.
</v>
      </c>
      <c r="F492" s="363"/>
      <c r="G492" s="69">
        <v>6</v>
      </c>
      <c r="H492" s="18">
        <v>6</v>
      </c>
      <c r="I492" s="379"/>
      <c r="J492" s="340" t="s">
        <v>1844</v>
      </c>
      <c r="K492" s="341"/>
      <c r="L492" s="341"/>
      <c r="M492" s="341"/>
      <c r="N492" s="342"/>
      <c r="P492" s="18">
        <f t="shared" si="7"/>
        <v>6</v>
      </c>
      <c r="Q492" s="338"/>
      <c r="R492" s="344"/>
      <c r="S492" s="474"/>
      <c r="T492" s="344"/>
      <c r="U492" s="475"/>
    </row>
    <row r="493" spans="2:21" x14ac:dyDescent="0.25">
      <c r="B493" s="55" t="s">
        <v>522</v>
      </c>
      <c r="C493" s="354" t="str">
        <f>HLOOKUP(Deckblatt!$C$12,Language!$C$1:$D$730,592,FALSE)</f>
        <v>Governance</v>
      </c>
      <c r="D493" s="354"/>
      <c r="E493" s="355"/>
      <c r="F493" s="66">
        <f>Q493</f>
        <v>60</v>
      </c>
      <c r="G493" s="67"/>
      <c r="H493" s="21">
        <v>100</v>
      </c>
      <c r="I493" s="176">
        <v>2</v>
      </c>
      <c r="J493" s="340"/>
      <c r="K493" s="341"/>
      <c r="L493" s="341"/>
      <c r="M493" s="341"/>
      <c r="N493" s="342"/>
      <c r="P493" s="18">
        <f t="shared" si="7"/>
        <v>0</v>
      </c>
      <c r="Q493" s="337">
        <f>SUM(P495:P505)</f>
        <v>60</v>
      </c>
      <c r="R493" s="343">
        <f>Q493/100</f>
        <v>0.6</v>
      </c>
      <c r="S493" s="474"/>
      <c r="T493" s="344"/>
      <c r="U493" s="475"/>
    </row>
    <row r="494" spans="2:21" ht="13.2" customHeight="1" x14ac:dyDescent="0.25">
      <c r="B494" s="375"/>
      <c r="C494" s="351" t="s">
        <v>54</v>
      </c>
      <c r="D494" s="352" t="str">
        <f>HLOOKUP(Deckblatt!$C$12,Language!$C$1:$D$730,593,FALSE)</f>
        <v>Rahmenbedingungen</v>
      </c>
      <c r="E494" s="353"/>
      <c r="F494" s="363"/>
      <c r="G494" s="67"/>
      <c r="H494" s="21">
        <v>45</v>
      </c>
      <c r="I494" s="379"/>
      <c r="J494" s="340"/>
      <c r="K494" s="341"/>
      <c r="L494" s="341"/>
      <c r="M494" s="341"/>
      <c r="N494" s="342"/>
      <c r="P494" s="18">
        <f t="shared" si="7"/>
        <v>0</v>
      </c>
      <c r="Q494" s="338"/>
      <c r="R494" s="344"/>
      <c r="S494" s="474"/>
      <c r="T494" s="344"/>
      <c r="U494" s="475"/>
    </row>
    <row r="495" spans="2:21" ht="26.4" x14ac:dyDescent="0.25">
      <c r="B495" s="375"/>
      <c r="C495" s="351"/>
      <c r="D495" s="71" t="s">
        <v>58</v>
      </c>
      <c r="E495" s="229" t="str">
        <f>HLOOKUP(Deckblatt!$C$12,Language!$C$1:$D$730,594,FALSE)</f>
        <v xml:space="preserve">Quartier-bzw. Gebietsmanagement
</v>
      </c>
      <c r="F495" s="363"/>
      <c r="G495" s="69"/>
      <c r="H495" s="18">
        <v>15</v>
      </c>
      <c r="I495" s="379"/>
      <c r="J495" s="340"/>
      <c r="K495" s="341"/>
      <c r="L495" s="341"/>
      <c r="M495" s="341"/>
      <c r="N495" s="342"/>
      <c r="P495" s="18">
        <f t="shared" si="7"/>
        <v>0</v>
      </c>
      <c r="Q495" s="338"/>
      <c r="R495" s="344"/>
      <c r="S495" s="474"/>
      <c r="T495" s="344"/>
      <c r="U495" s="475"/>
    </row>
    <row r="496" spans="2:21" ht="26.4" x14ac:dyDescent="0.25">
      <c r="B496" s="375"/>
      <c r="C496" s="351"/>
      <c r="D496" s="71" t="s">
        <v>181</v>
      </c>
      <c r="E496" s="229" t="str">
        <f>HLOOKUP(Deckblatt!$C$12,Language!$C$1:$D$730,595,FALSE)</f>
        <v xml:space="preserve">Beratung von (zukünftigen) Bewohnern und Nutzern
</v>
      </c>
      <c r="F496" s="363"/>
      <c r="G496" s="69">
        <v>5</v>
      </c>
      <c r="H496" s="18">
        <v>5</v>
      </c>
      <c r="I496" s="379"/>
      <c r="J496" s="340" t="s">
        <v>1837</v>
      </c>
      <c r="K496" s="341"/>
      <c r="L496" s="341"/>
      <c r="M496" s="341"/>
      <c r="N496" s="342"/>
      <c r="P496" s="18">
        <f t="shared" si="7"/>
        <v>5</v>
      </c>
      <c r="Q496" s="338"/>
      <c r="R496" s="344"/>
      <c r="S496" s="474"/>
      <c r="T496" s="344"/>
      <c r="U496" s="475"/>
    </row>
    <row r="497" spans="2:21" ht="26.4" x14ac:dyDescent="0.25">
      <c r="B497" s="375"/>
      <c r="C497" s="351"/>
      <c r="D497" s="71" t="s">
        <v>246</v>
      </c>
      <c r="E497" s="229" t="str">
        <f>HLOOKUP(Deckblatt!$C$12,Language!$C$1:$D$730,596,FALSE)</f>
        <v xml:space="preserve">Selbstverwaltung
</v>
      </c>
      <c r="F497" s="363"/>
      <c r="G497" s="69">
        <v>10</v>
      </c>
      <c r="H497" s="18">
        <v>10</v>
      </c>
      <c r="I497" s="379"/>
      <c r="J497" s="340" t="s">
        <v>1837</v>
      </c>
      <c r="K497" s="341"/>
      <c r="L497" s="341"/>
      <c r="M497" s="341"/>
      <c r="N497" s="342"/>
      <c r="P497" s="18">
        <f t="shared" si="7"/>
        <v>10</v>
      </c>
      <c r="Q497" s="338"/>
      <c r="R497" s="344"/>
      <c r="S497" s="474"/>
      <c r="T497" s="344"/>
      <c r="U497" s="475"/>
    </row>
    <row r="498" spans="2:21" ht="26.4" x14ac:dyDescent="0.25">
      <c r="B498" s="375"/>
      <c r="C498" s="351"/>
      <c r="D498" s="71" t="s">
        <v>250</v>
      </c>
      <c r="E498" s="229" t="str">
        <f>HLOOKUP(Deckblatt!$C$12,Language!$C$1:$D$730,597,FALSE)</f>
        <v xml:space="preserve">Stärkung bzw. Aufbau sozialer Initiativen
</v>
      </c>
      <c r="F498" s="363"/>
      <c r="G498" s="69">
        <v>10</v>
      </c>
      <c r="H498" s="18">
        <v>10</v>
      </c>
      <c r="I498" s="379"/>
      <c r="J498" s="340" t="s">
        <v>1837</v>
      </c>
      <c r="K498" s="341"/>
      <c r="L498" s="341"/>
      <c r="M498" s="341"/>
      <c r="N498" s="342"/>
      <c r="P498" s="18">
        <f t="shared" ref="P498:P537" si="8">IF(G498&gt;H498,H498,G498)</f>
        <v>10</v>
      </c>
      <c r="Q498" s="338"/>
      <c r="R498" s="344"/>
      <c r="S498" s="474"/>
      <c r="T498" s="344"/>
      <c r="U498" s="475"/>
    </row>
    <row r="499" spans="2:21" ht="26.4" x14ac:dyDescent="0.25">
      <c r="B499" s="375"/>
      <c r="C499" s="351"/>
      <c r="D499" s="71" t="s">
        <v>121</v>
      </c>
      <c r="E499" s="229" t="str">
        <f>HLOOKUP(Deckblatt!$C$12,Language!$C$1:$D$730,598,FALSE)</f>
        <v xml:space="preserve">Finanzielle Anreizsysteme
</v>
      </c>
      <c r="F499" s="363"/>
      <c r="G499" s="69"/>
      <c r="H499" s="18">
        <v>5</v>
      </c>
      <c r="I499" s="379"/>
      <c r="J499" s="340"/>
      <c r="K499" s="341"/>
      <c r="L499" s="341"/>
      <c r="M499" s="341"/>
      <c r="N499" s="342"/>
      <c r="P499" s="18">
        <f t="shared" si="8"/>
        <v>0</v>
      </c>
      <c r="Q499" s="338"/>
      <c r="R499" s="344"/>
      <c r="S499" s="474"/>
      <c r="T499" s="344"/>
      <c r="U499" s="475"/>
    </row>
    <row r="500" spans="2:21" ht="13.2" customHeight="1" x14ac:dyDescent="0.25">
      <c r="B500" s="375"/>
      <c r="C500" s="351" t="s">
        <v>61</v>
      </c>
      <c r="D500" s="352" t="str">
        <f>HLOOKUP(Deckblatt!$C$12,Language!$C$1:$D$730,599,FALSE)</f>
        <v>Projektbeteiligung der Kommune und Rechenschaftspflicht</v>
      </c>
      <c r="E500" s="353"/>
      <c r="F500" s="363"/>
      <c r="G500" s="113"/>
      <c r="H500" s="21">
        <v>35</v>
      </c>
      <c r="I500" s="379"/>
      <c r="J500" s="340"/>
      <c r="K500" s="341"/>
      <c r="L500" s="341"/>
      <c r="M500" s="341"/>
      <c r="N500" s="342"/>
      <c r="P500" s="18">
        <f t="shared" si="8"/>
        <v>0</v>
      </c>
      <c r="Q500" s="338"/>
      <c r="R500" s="344"/>
      <c r="S500" s="474"/>
      <c r="T500" s="344"/>
      <c r="U500" s="475"/>
    </row>
    <row r="501" spans="2:21" ht="92.4" x14ac:dyDescent="0.25">
      <c r="B501" s="375"/>
      <c r="C501" s="351"/>
      <c r="D501" s="160" t="s">
        <v>63</v>
      </c>
      <c r="E501"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1" s="363"/>
      <c r="G501" s="69">
        <v>20</v>
      </c>
      <c r="H501" s="18">
        <v>20</v>
      </c>
      <c r="I501" s="379"/>
      <c r="J501" s="340"/>
      <c r="K501" s="341"/>
      <c r="L501" s="341"/>
      <c r="M501" s="341"/>
      <c r="N501" s="342"/>
      <c r="P501" s="18">
        <f t="shared" si="8"/>
        <v>20</v>
      </c>
      <c r="Q501" s="338"/>
      <c r="R501" s="344"/>
      <c r="S501" s="474"/>
      <c r="T501" s="344"/>
      <c r="U501" s="475"/>
    </row>
    <row r="502" spans="2:21" ht="52.8" x14ac:dyDescent="0.25">
      <c r="B502" s="375"/>
      <c r="C502" s="351"/>
      <c r="D502" s="160" t="s">
        <v>186</v>
      </c>
      <c r="E502" s="134" t="str">
        <f>HLOOKUP(Deckblatt!$C$12,Language!$C$1:$D$730,601,FALSE)</f>
        <v xml:space="preserve">Kommunale Projekte / Dienstleistungen
Es gibt seitens der Kommune eine oder mehrere Projekte/Dienstleistungen, die die Entwicklung des Quartiers unterstützen.
</v>
      </c>
      <c r="F502" s="363"/>
      <c r="G502" s="69">
        <v>15</v>
      </c>
      <c r="H502" s="18">
        <v>15</v>
      </c>
      <c r="I502" s="379"/>
      <c r="J502" s="340"/>
      <c r="K502" s="341"/>
      <c r="L502" s="341"/>
      <c r="M502" s="341"/>
      <c r="N502" s="342"/>
      <c r="P502" s="18">
        <f t="shared" si="8"/>
        <v>15</v>
      </c>
      <c r="Q502" s="338"/>
      <c r="R502" s="344"/>
      <c r="S502" s="474"/>
      <c r="T502" s="344"/>
      <c r="U502" s="475"/>
    </row>
    <row r="503" spans="2:21" ht="13.2" customHeight="1" x14ac:dyDescent="0.25">
      <c r="B503" s="375"/>
      <c r="C503" s="351" t="s">
        <v>64</v>
      </c>
      <c r="D503" s="352" t="str">
        <f>HLOOKUP(Deckblatt!$C$12,Language!$C$1:$D$730,602,FALSE)</f>
        <v>Offenheit und Transparenz von Strukturen und Prozessen</v>
      </c>
      <c r="E503" s="353"/>
      <c r="F503" s="363"/>
      <c r="G503" s="113"/>
      <c r="H503" s="21">
        <v>20</v>
      </c>
      <c r="I503" s="379"/>
      <c r="J503" s="340"/>
      <c r="K503" s="341"/>
      <c r="L503" s="341"/>
      <c r="M503" s="341"/>
      <c r="N503" s="342"/>
      <c r="P503" s="18">
        <f t="shared" si="8"/>
        <v>0</v>
      </c>
      <c r="Q503" s="338"/>
      <c r="R503" s="344"/>
      <c r="S503" s="474"/>
      <c r="T503" s="344"/>
      <c r="U503" s="475"/>
    </row>
    <row r="504" spans="2:21" ht="92.4" x14ac:dyDescent="0.25">
      <c r="B504" s="375"/>
      <c r="C504" s="351"/>
      <c r="D504" s="160" t="s">
        <v>66</v>
      </c>
      <c r="E504"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4" s="363"/>
      <c r="G504" s="69">
        <v>0</v>
      </c>
      <c r="H504" s="18">
        <v>10</v>
      </c>
      <c r="I504" s="379"/>
      <c r="J504" s="340"/>
      <c r="K504" s="341"/>
      <c r="L504" s="341"/>
      <c r="M504" s="341"/>
      <c r="N504" s="342"/>
      <c r="P504" s="18">
        <f t="shared" si="8"/>
        <v>0</v>
      </c>
      <c r="Q504" s="338"/>
      <c r="R504" s="344"/>
      <c r="S504" s="474"/>
      <c r="T504" s="344"/>
      <c r="U504" s="475"/>
    </row>
    <row r="505" spans="2:21" ht="92.4" x14ac:dyDescent="0.25">
      <c r="B505" s="375"/>
      <c r="C505" s="351"/>
      <c r="D505" s="160" t="s">
        <v>188</v>
      </c>
      <c r="E505"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5" s="363"/>
      <c r="G505" s="69">
        <v>0</v>
      </c>
      <c r="H505" s="18">
        <v>10</v>
      </c>
      <c r="I505" s="379"/>
      <c r="J505" s="340"/>
      <c r="K505" s="341"/>
      <c r="L505" s="341"/>
      <c r="M505" s="341"/>
      <c r="N505" s="342"/>
      <c r="P505" s="18">
        <f t="shared" si="8"/>
        <v>0</v>
      </c>
      <c r="Q505" s="339"/>
      <c r="R505" s="365"/>
      <c r="S505" s="474"/>
      <c r="T505" s="344"/>
      <c r="U505" s="475"/>
    </row>
    <row r="506" spans="2:21" x14ac:dyDescent="0.25">
      <c r="B506" s="55" t="s">
        <v>536</v>
      </c>
      <c r="C506" s="354" t="str">
        <f>HLOOKUP(Deckblatt!$C$12,Language!$C$1:$D$730,627,FALSE)</f>
        <v>Baustelle, Bauprozesse</v>
      </c>
      <c r="D506" s="354"/>
      <c r="E506" s="355"/>
      <c r="F506" s="66">
        <f>Q506</f>
        <v>85</v>
      </c>
      <c r="G506" s="364"/>
      <c r="H506" s="21">
        <v>110</v>
      </c>
      <c r="I506" s="176">
        <v>1</v>
      </c>
      <c r="J506" s="340"/>
      <c r="K506" s="341"/>
      <c r="L506" s="341"/>
      <c r="M506" s="341"/>
      <c r="N506" s="342"/>
      <c r="P506" s="18">
        <f t="shared" si="8"/>
        <v>0</v>
      </c>
      <c r="Q506" s="337">
        <f>SUM(P508:P514,MAX(P516:P517),MAX(P519:P520))</f>
        <v>85</v>
      </c>
      <c r="R506" s="343">
        <f>Q506/100</f>
        <v>0.85</v>
      </c>
      <c r="S506" s="474"/>
      <c r="T506" s="344"/>
      <c r="U506" s="475"/>
    </row>
    <row r="507" spans="2:21" ht="13.2" customHeight="1" x14ac:dyDescent="0.25">
      <c r="B507" s="345"/>
      <c r="C507" s="359" t="s">
        <v>54</v>
      </c>
      <c r="D507" s="352" t="str">
        <f>HLOOKUP(Deckblatt!$C$12,Language!$C$1:$D$730,628,FALSE)</f>
        <v>Beschilderung und Information</v>
      </c>
      <c r="E507" s="353"/>
      <c r="F507" s="347"/>
      <c r="G507" s="364"/>
      <c r="H507" s="21">
        <v>25</v>
      </c>
      <c r="I507" s="349"/>
      <c r="J507" s="340"/>
      <c r="K507" s="341"/>
      <c r="L507" s="341"/>
      <c r="M507" s="341"/>
      <c r="N507" s="342"/>
      <c r="P507" s="18">
        <f t="shared" si="8"/>
        <v>0</v>
      </c>
      <c r="Q507" s="338"/>
      <c r="R507" s="344"/>
      <c r="S507" s="474"/>
      <c r="T507" s="344"/>
      <c r="U507" s="475"/>
    </row>
    <row r="508" spans="2:21" ht="52.8" x14ac:dyDescent="0.25">
      <c r="B508" s="346"/>
      <c r="C508" s="390"/>
      <c r="D508" s="160" t="s">
        <v>58</v>
      </c>
      <c r="E508" s="134" t="str">
        <f>HLOOKUP(Deckblatt!$C$12,Language!$C$1:$D$730,629,FALSE)</f>
        <v>Konzept und Maßnahmen
Anwohner werden über Beschilderung über das Bauvorhaben und Baustelle informiert. Hierzu zählen Bauinformationen, Wegeführung, ggf. Verantwortliche und Ansprechpartner.</v>
      </c>
      <c r="F508" s="348"/>
      <c r="G508" s="69">
        <v>5</v>
      </c>
      <c r="H508" s="18">
        <v>5</v>
      </c>
      <c r="I508" s="350"/>
      <c r="J508" s="340"/>
      <c r="K508" s="341"/>
      <c r="L508" s="341"/>
      <c r="M508" s="341"/>
      <c r="N508" s="342"/>
      <c r="P508" s="18">
        <f t="shared" si="8"/>
        <v>5</v>
      </c>
      <c r="Q508" s="338"/>
      <c r="R508" s="344"/>
      <c r="S508" s="474"/>
      <c r="T508" s="344"/>
      <c r="U508" s="475"/>
    </row>
    <row r="509" spans="2:21" ht="107.4" customHeight="1" x14ac:dyDescent="0.25">
      <c r="B509" s="346"/>
      <c r="C509" s="360"/>
      <c r="D509" s="160" t="s">
        <v>181</v>
      </c>
      <c r="E509"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09" s="348"/>
      <c r="G509" s="69">
        <v>20</v>
      </c>
      <c r="H509" s="18">
        <v>20</v>
      </c>
      <c r="I509" s="350"/>
      <c r="J509" s="340"/>
      <c r="K509" s="341"/>
      <c r="L509" s="341"/>
      <c r="M509" s="341"/>
      <c r="N509" s="342"/>
      <c r="P509" s="18">
        <f t="shared" si="8"/>
        <v>20</v>
      </c>
      <c r="Q509" s="338"/>
      <c r="R509" s="344"/>
      <c r="S509" s="474"/>
      <c r="T509" s="344"/>
      <c r="U509" s="475"/>
    </row>
    <row r="510" spans="2:21" x14ac:dyDescent="0.25">
      <c r="B510" s="346"/>
      <c r="C510" s="351" t="s">
        <v>61</v>
      </c>
      <c r="D510" s="352" t="str">
        <f>HLOOKUP(Deckblatt!$C$12,Language!$C$1:$D$730,631,FALSE)</f>
        <v>Abfall</v>
      </c>
      <c r="E510" s="353"/>
      <c r="F510" s="348"/>
      <c r="G510" s="113"/>
      <c r="H510" s="21">
        <v>25</v>
      </c>
      <c r="I510" s="350"/>
      <c r="J510" s="340"/>
      <c r="K510" s="341"/>
      <c r="L510" s="341"/>
      <c r="M510" s="341"/>
      <c r="N510" s="342"/>
      <c r="P510" s="18">
        <f t="shared" si="8"/>
        <v>0</v>
      </c>
      <c r="Q510" s="338"/>
      <c r="R510" s="344"/>
      <c r="S510" s="474"/>
      <c r="T510" s="344"/>
      <c r="U510" s="475"/>
    </row>
    <row r="511" spans="2:21" ht="52.8" x14ac:dyDescent="0.25">
      <c r="B511" s="346"/>
      <c r="C511" s="351"/>
      <c r="D511" s="160" t="s">
        <v>63</v>
      </c>
      <c r="E511" s="134" t="str">
        <f>HLOOKUP(Deckblatt!$C$12,Language!$C$1:$D$730,632,FALSE)</f>
        <v xml:space="preserve">Abfall
(Details siehe Kriterium)
</v>
      </c>
      <c r="F511" s="348"/>
      <c r="G511" s="69">
        <v>15</v>
      </c>
      <c r="H511" s="18">
        <v>15</v>
      </c>
      <c r="I511" s="350"/>
      <c r="J511" s="340"/>
      <c r="K511" s="341"/>
      <c r="L511" s="341"/>
      <c r="M511" s="341"/>
      <c r="N511" s="342"/>
      <c r="P511" s="18">
        <f t="shared" si="8"/>
        <v>15</v>
      </c>
      <c r="Q511" s="338"/>
      <c r="R511" s="344"/>
      <c r="S511" s="474"/>
      <c r="T511" s="344"/>
      <c r="U511" s="475"/>
    </row>
    <row r="512" spans="2:21" ht="66" x14ac:dyDescent="0.25">
      <c r="B512" s="346"/>
      <c r="C512" s="351"/>
      <c r="D512" s="71" t="s">
        <v>186</v>
      </c>
      <c r="E512" s="239" t="str">
        <f>HLOOKUP(Deckblatt!$C$12,Language!$C$1:$D$730,633,FALSE)</f>
        <v xml:space="preserve">CIRCULAR ECONOMY BONUS – ABFALLVERMEIDUNG AUF DER BAUSTELLE
Auf der Baustelle werden neuartige und in wesentlichem Umfang abfallvermeidende Konzepte, Bauweisen oder Technologien umgesetzt.
</v>
      </c>
      <c r="F512" s="348"/>
      <c r="G512" s="69">
        <v>10</v>
      </c>
      <c r="H512" s="18">
        <v>10</v>
      </c>
      <c r="I512" s="350"/>
      <c r="J512" s="340"/>
      <c r="K512" s="341"/>
      <c r="L512" s="341"/>
      <c r="M512" s="341"/>
      <c r="N512" s="342"/>
      <c r="P512" s="18">
        <f t="shared" si="8"/>
        <v>10</v>
      </c>
      <c r="Q512" s="338"/>
      <c r="R512" s="344"/>
      <c r="S512" s="474"/>
      <c r="T512" s="344"/>
      <c r="U512" s="475"/>
    </row>
    <row r="513" spans="2:21" x14ac:dyDescent="0.25">
      <c r="B513" s="346"/>
      <c r="C513" s="351" t="s">
        <v>64</v>
      </c>
      <c r="D513" s="352" t="str">
        <f>HLOOKUP(Deckblatt!$C$12,Language!$C$1:$D$730,634,FALSE)</f>
        <v>Lärm</v>
      </c>
      <c r="E513" s="353"/>
      <c r="F513" s="348"/>
      <c r="G513" s="113"/>
      <c r="H513" s="21">
        <v>20</v>
      </c>
      <c r="I513" s="350"/>
      <c r="J513" s="340"/>
      <c r="K513" s="341"/>
      <c r="L513" s="341"/>
      <c r="M513" s="341"/>
      <c r="N513" s="342"/>
      <c r="P513" s="18">
        <f t="shared" si="8"/>
        <v>0</v>
      </c>
      <c r="Q513" s="338"/>
      <c r="R513" s="344"/>
      <c r="S513" s="474"/>
      <c r="T513" s="344"/>
      <c r="U513" s="475"/>
    </row>
    <row r="514" spans="2:21" ht="52.8" x14ac:dyDescent="0.25">
      <c r="B514" s="346"/>
      <c r="C514" s="351"/>
      <c r="D514" s="71" t="s">
        <v>66</v>
      </c>
      <c r="E514" s="134" t="str">
        <f>HLOOKUP(Deckblatt!$C$12,Language!$C$1:$D$730,635,FALSE)</f>
        <v xml:space="preserve">Lärm
(Details siehe Kriterium)
</v>
      </c>
      <c r="F514" s="348"/>
      <c r="G514" s="69">
        <v>10</v>
      </c>
      <c r="H514" s="18">
        <v>20</v>
      </c>
      <c r="I514" s="350"/>
      <c r="J514" s="340"/>
      <c r="K514" s="341"/>
      <c r="L514" s="341"/>
      <c r="M514" s="341"/>
      <c r="N514" s="342"/>
      <c r="P514" s="18">
        <f t="shared" si="8"/>
        <v>10</v>
      </c>
      <c r="Q514" s="338"/>
      <c r="R514" s="344"/>
      <c r="S514" s="474"/>
      <c r="T514" s="344"/>
      <c r="U514" s="475"/>
    </row>
    <row r="515" spans="2:21" x14ac:dyDescent="0.25">
      <c r="B515" s="346"/>
      <c r="C515" s="351" t="s">
        <v>67</v>
      </c>
      <c r="D515" s="352" t="str">
        <f>HLOOKUP(Deckblatt!$C$12,Language!$C$1:$D$730,636,FALSE)</f>
        <v>Staub</v>
      </c>
      <c r="E515" s="353"/>
      <c r="F515" s="348"/>
      <c r="G515" s="113"/>
      <c r="H515" s="21">
        <v>20</v>
      </c>
      <c r="I515" s="350"/>
      <c r="J515" s="340"/>
      <c r="K515" s="341"/>
      <c r="L515" s="341"/>
      <c r="M515" s="341"/>
      <c r="N515" s="342"/>
      <c r="P515" s="18">
        <f t="shared" si="8"/>
        <v>0</v>
      </c>
      <c r="Q515" s="338"/>
      <c r="R515" s="344"/>
      <c r="S515" s="474"/>
      <c r="T515" s="344"/>
      <c r="U515" s="475"/>
    </row>
    <row r="516" spans="2:21" ht="52.8" x14ac:dyDescent="0.25">
      <c r="B516" s="346"/>
      <c r="C516" s="351"/>
      <c r="D516" s="71" t="s">
        <v>69</v>
      </c>
      <c r="E516" s="134" t="str">
        <f>HLOOKUP(Deckblatt!$C$12,Language!$C$1:$D$730,637,FALSE)</f>
        <v xml:space="preserve">Staub
(Details siehe Kriterium)
</v>
      </c>
      <c r="F516" s="348"/>
      <c r="G516" s="69">
        <v>15</v>
      </c>
      <c r="H516" s="18">
        <v>20</v>
      </c>
      <c r="I516" s="350"/>
      <c r="J516" s="340"/>
      <c r="K516" s="341"/>
      <c r="L516" s="341"/>
      <c r="M516" s="341"/>
      <c r="N516" s="342"/>
      <c r="P516" s="18">
        <f t="shared" si="8"/>
        <v>15</v>
      </c>
      <c r="Q516" s="338"/>
      <c r="R516" s="344"/>
      <c r="S516" s="474"/>
      <c r="T516" s="344"/>
      <c r="U516" s="475"/>
    </row>
    <row r="517" spans="2:21" ht="66" x14ac:dyDescent="0.25">
      <c r="B517" s="346"/>
      <c r="C517" s="351"/>
      <c r="D517" s="57" t="s">
        <v>542</v>
      </c>
      <c r="E517"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17" s="348"/>
      <c r="G517" s="69"/>
      <c r="H517" s="18">
        <v>20</v>
      </c>
      <c r="I517" s="350"/>
      <c r="J517" s="340"/>
      <c r="K517" s="341"/>
      <c r="L517" s="341"/>
      <c r="M517" s="341"/>
      <c r="N517" s="342"/>
      <c r="P517" s="18">
        <f t="shared" si="8"/>
        <v>0</v>
      </c>
      <c r="Q517" s="338"/>
      <c r="R517" s="344"/>
      <c r="S517" s="474"/>
      <c r="T517" s="344"/>
      <c r="U517" s="475"/>
    </row>
    <row r="518" spans="2:21" ht="13.2" customHeight="1" x14ac:dyDescent="0.25">
      <c r="B518" s="346"/>
      <c r="C518" s="359" t="s">
        <v>154</v>
      </c>
      <c r="D518" s="352" t="str">
        <f>HLOOKUP(Deckblatt!$C$12,Language!$C$1:$D$730,639,FALSE)</f>
        <v>Umwelt- und Naturschutz</v>
      </c>
      <c r="E518" s="353"/>
      <c r="F518" s="348"/>
      <c r="G518" s="113"/>
      <c r="H518" s="21">
        <v>20</v>
      </c>
      <c r="I518" s="350"/>
      <c r="J518" s="340"/>
      <c r="K518" s="341"/>
      <c r="L518" s="341"/>
      <c r="M518" s="341"/>
      <c r="N518" s="342"/>
      <c r="P518" s="18">
        <f t="shared" si="8"/>
        <v>0</v>
      </c>
      <c r="Q518" s="338"/>
      <c r="R518" s="344"/>
      <c r="S518" s="474"/>
      <c r="T518" s="344"/>
      <c r="U518" s="475"/>
    </row>
    <row r="519" spans="2:21" ht="52.8" x14ac:dyDescent="0.25">
      <c r="B519" s="346"/>
      <c r="C519" s="390"/>
      <c r="D519" s="71" t="s">
        <v>156</v>
      </c>
      <c r="E519" s="134" t="str">
        <f>HLOOKUP(Deckblatt!$C$12,Language!$C$1:$D$730,640,FALSE)</f>
        <v xml:space="preserve">Umwelt- und Naturschutz
(Details siehe Kriterium)
</v>
      </c>
      <c r="F519" s="348"/>
      <c r="G519" s="69">
        <v>10</v>
      </c>
      <c r="H519" s="18">
        <v>20</v>
      </c>
      <c r="I519" s="350"/>
      <c r="J519" s="340"/>
      <c r="K519" s="341"/>
      <c r="L519" s="341"/>
      <c r="M519" s="341"/>
      <c r="N519" s="342"/>
      <c r="P519" s="18">
        <f t="shared" si="8"/>
        <v>10</v>
      </c>
      <c r="Q519" s="338"/>
      <c r="R519" s="344"/>
      <c r="S519" s="474"/>
      <c r="T519" s="344"/>
      <c r="U519" s="475"/>
    </row>
    <row r="520" spans="2:21" ht="92.4" x14ac:dyDescent="0.25">
      <c r="B520" s="370"/>
      <c r="C520" s="360"/>
      <c r="D520" s="57" t="s">
        <v>694</v>
      </c>
      <c r="E520"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0" s="371"/>
      <c r="G520" s="69">
        <v>10</v>
      </c>
      <c r="H520" s="18">
        <v>20</v>
      </c>
      <c r="I520" s="366"/>
      <c r="J520" s="340" t="s">
        <v>1845</v>
      </c>
      <c r="K520" s="341"/>
      <c r="L520" s="341"/>
      <c r="M520" s="341"/>
      <c r="N520" s="342"/>
      <c r="P520" s="18">
        <f t="shared" si="8"/>
        <v>10</v>
      </c>
      <c r="Q520" s="339"/>
      <c r="R520" s="365"/>
      <c r="S520" s="474"/>
      <c r="T520" s="344"/>
      <c r="U520" s="475"/>
    </row>
    <row r="521" spans="2:21" ht="13.8" thickBot="1" x14ac:dyDescent="0.3">
      <c r="B521" s="55" t="s">
        <v>545</v>
      </c>
      <c r="C521" s="384" t="str">
        <f>HLOOKUP(Deckblatt!$C$12,Language!$C$1:$D$730,642,FALSE)</f>
        <v>Qualitätssicherung &amp; Monitoring</v>
      </c>
      <c r="D521" s="384"/>
      <c r="E521" s="385"/>
      <c r="F521" s="66">
        <f>Q521</f>
        <v>55</v>
      </c>
      <c r="G521" s="364"/>
      <c r="H521" s="21">
        <v>100</v>
      </c>
      <c r="I521" s="176">
        <v>2</v>
      </c>
      <c r="J521" s="340"/>
      <c r="K521" s="341"/>
      <c r="L521" s="341"/>
      <c r="M521" s="341"/>
      <c r="N521" s="342"/>
      <c r="P521" s="18">
        <f t="shared" si="8"/>
        <v>0</v>
      </c>
      <c r="Q521" s="337">
        <f>SUM(P523:P537)</f>
        <v>55</v>
      </c>
      <c r="R521" s="343">
        <f>Q521/100</f>
        <v>0.55000000000000004</v>
      </c>
      <c r="S521" s="474"/>
      <c r="T521" s="344"/>
      <c r="U521" s="475"/>
    </row>
    <row r="522" spans="2:21" ht="13.2" customHeight="1" x14ac:dyDescent="0.25">
      <c r="B522" s="375"/>
      <c r="C522" s="386" t="s">
        <v>54</v>
      </c>
      <c r="D522" s="387" t="str">
        <f>HLOOKUP(Deckblatt!$C$12,Language!$C$1:$D$730,643,FALSE)</f>
        <v>Nachhaltigkeitsmanagement</v>
      </c>
      <c r="E522" s="388"/>
      <c r="F522" s="363"/>
      <c r="G522" s="364"/>
      <c r="H522" s="21">
        <v>45</v>
      </c>
      <c r="I522" s="379"/>
      <c r="J522" s="340"/>
      <c r="K522" s="341"/>
      <c r="L522" s="341"/>
      <c r="M522" s="341"/>
      <c r="N522" s="342"/>
      <c r="P522" s="18">
        <f t="shared" si="8"/>
        <v>0</v>
      </c>
      <c r="Q522" s="338"/>
      <c r="R522" s="344"/>
      <c r="S522" s="474"/>
      <c r="T522" s="344"/>
      <c r="U522" s="475"/>
    </row>
    <row r="523" spans="2:21" ht="39.6" x14ac:dyDescent="0.25">
      <c r="B523" s="375"/>
      <c r="C523" s="351"/>
      <c r="D523" s="160" t="s">
        <v>58</v>
      </c>
      <c r="E523" s="134" t="str">
        <f>HLOOKUP(Deckblatt!$C$12,Language!$C$1:$D$730,644,FALSE)</f>
        <v xml:space="preserve">Standortmanagement
</v>
      </c>
      <c r="F523" s="363"/>
      <c r="G523" s="69">
        <v>0</v>
      </c>
      <c r="H523" s="18">
        <v>15</v>
      </c>
      <c r="I523" s="379"/>
      <c r="J523" s="340"/>
      <c r="K523" s="341"/>
      <c r="L523" s="341"/>
      <c r="M523" s="341"/>
      <c r="N523" s="342"/>
      <c r="P523" s="18">
        <f t="shared" si="8"/>
        <v>0</v>
      </c>
      <c r="Q523" s="338"/>
      <c r="R523" s="344"/>
      <c r="S523" s="474"/>
      <c r="T523" s="344"/>
      <c r="U523" s="475"/>
    </row>
    <row r="524" spans="2:21" ht="48" customHeight="1" x14ac:dyDescent="0.25">
      <c r="B524" s="375"/>
      <c r="C524" s="351"/>
      <c r="D524" s="160" t="s">
        <v>181</v>
      </c>
      <c r="E524" s="134" t="str">
        <f>HLOOKUP(Deckblatt!$C$12,Language!$C$1:$D$730,645,FALSE)</f>
        <v xml:space="preserve">Budget und Handlungsbefugnisse
</v>
      </c>
      <c r="F524" s="363"/>
      <c r="G524" s="69">
        <v>0</v>
      </c>
      <c r="H524" s="18">
        <v>10</v>
      </c>
      <c r="I524" s="379"/>
      <c r="J524" s="340"/>
      <c r="K524" s="341"/>
      <c r="L524" s="341"/>
      <c r="M524" s="341"/>
      <c r="N524" s="342"/>
      <c r="P524" s="18">
        <f t="shared" si="8"/>
        <v>0</v>
      </c>
      <c r="Q524" s="338"/>
      <c r="R524" s="344"/>
      <c r="S524" s="474"/>
      <c r="T524" s="344"/>
      <c r="U524" s="475"/>
    </row>
    <row r="525" spans="2:21" ht="39.6" x14ac:dyDescent="0.25">
      <c r="B525" s="375"/>
      <c r="C525" s="351"/>
      <c r="D525" s="160" t="s">
        <v>246</v>
      </c>
      <c r="E525" s="134" t="str">
        <f>HLOOKUP(Deckblatt!$C$12,Language!$C$1:$D$730,646,FALSE)</f>
        <v xml:space="preserve">Berichterstattung zu Nachhaltigkeitsthemen
</v>
      </c>
      <c r="F525" s="363"/>
      <c r="G525" s="69">
        <v>0</v>
      </c>
      <c r="H525" s="18">
        <v>10</v>
      </c>
      <c r="I525" s="379"/>
      <c r="J525" s="340"/>
      <c r="K525" s="341"/>
      <c r="L525" s="341"/>
      <c r="M525" s="341"/>
      <c r="N525" s="342"/>
      <c r="P525" s="18">
        <f t="shared" si="8"/>
        <v>0</v>
      </c>
      <c r="Q525" s="338"/>
      <c r="R525" s="344"/>
      <c r="S525" s="474"/>
      <c r="T525" s="344"/>
      <c r="U525" s="475"/>
    </row>
    <row r="526" spans="2:21" ht="26.4" x14ac:dyDescent="0.25">
      <c r="B526" s="375"/>
      <c r="C526" s="351"/>
      <c r="D526" s="160" t="s">
        <v>250</v>
      </c>
      <c r="E526" s="134" t="str">
        <f>HLOOKUP(Deckblatt!$C$12,Language!$C$1:$D$730,647,FALSE)</f>
        <v xml:space="preserve">Inhalte der Nachhaltigkeitsberichterstattung 
</v>
      </c>
      <c r="F526" s="363"/>
      <c r="G526" s="69">
        <v>0</v>
      </c>
      <c r="H526" s="18">
        <v>10</v>
      </c>
      <c r="I526" s="379"/>
      <c r="J526" s="340"/>
      <c r="K526" s="341"/>
      <c r="L526" s="341"/>
      <c r="M526" s="341"/>
      <c r="N526" s="342"/>
      <c r="P526" s="18">
        <f t="shared" si="8"/>
        <v>0</v>
      </c>
      <c r="Q526" s="338"/>
      <c r="R526" s="344"/>
      <c r="S526" s="474"/>
      <c r="T526" s="344"/>
      <c r="U526" s="475"/>
    </row>
    <row r="527" spans="2:21" ht="13.2" customHeight="1" x14ac:dyDescent="0.25">
      <c r="B527" s="375"/>
      <c r="C527" s="351" t="s">
        <v>61</v>
      </c>
      <c r="D527" s="352" t="str">
        <f>HLOOKUP(Deckblatt!$C$12,Language!$C$1:$D$730,649,FALSE)</f>
        <v>Energiemonitoring/-management</v>
      </c>
      <c r="E527" s="353"/>
      <c r="F527" s="363"/>
      <c r="G527" s="356"/>
      <c r="H527" s="21">
        <v>15</v>
      </c>
      <c r="I527" s="379"/>
      <c r="J527" s="340"/>
      <c r="K527" s="341"/>
      <c r="L527" s="341"/>
      <c r="M527" s="341"/>
      <c r="N527" s="342"/>
      <c r="P527" s="18">
        <f t="shared" si="8"/>
        <v>0</v>
      </c>
      <c r="Q527" s="338"/>
      <c r="R527" s="344"/>
      <c r="S527" s="474"/>
      <c r="T527" s="344"/>
      <c r="U527" s="475"/>
    </row>
    <row r="528" spans="2:21" x14ac:dyDescent="0.25">
      <c r="B528" s="375"/>
      <c r="C528" s="351"/>
      <c r="D528" s="376" t="s">
        <v>63</v>
      </c>
      <c r="E528" s="134" t="str">
        <f>HLOOKUP(Deckblatt!$C$12,Language!$C$1:$D$730,650,FALSE)</f>
        <v>Energiemonitoring</v>
      </c>
      <c r="F528" s="363"/>
      <c r="G528" s="356"/>
      <c r="H528" s="21">
        <v>15</v>
      </c>
      <c r="I528" s="379"/>
      <c r="J528" s="340"/>
      <c r="K528" s="341"/>
      <c r="L528" s="341"/>
      <c r="M528" s="341"/>
      <c r="N528" s="342"/>
      <c r="P528" s="18">
        <f t="shared" si="8"/>
        <v>0</v>
      </c>
      <c r="Q528" s="338"/>
      <c r="R528" s="344"/>
      <c r="S528" s="474"/>
      <c r="T528" s="344"/>
      <c r="U528" s="475"/>
    </row>
    <row r="529" spans="2:21" ht="39.6" x14ac:dyDescent="0.25">
      <c r="B529" s="375"/>
      <c r="C529" s="351"/>
      <c r="D529" s="376"/>
      <c r="E529" s="134" t="str">
        <f>HLOOKUP(Deckblatt!$C$12,Language!$C$1:$D$730,652,FALSE)</f>
        <v xml:space="preserve">Es gibt ein Energie-Monitoring für Wärme auf Quartiersebene, an dem alle Gebäudenutzer teilnehmen können.
</v>
      </c>
      <c r="F529" s="363"/>
      <c r="G529" s="69">
        <v>8</v>
      </c>
      <c r="H529" s="18">
        <v>8</v>
      </c>
      <c r="I529" s="379"/>
      <c r="J529" s="340" t="s">
        <v>1837</v>
      </c>
      <c r="K529" s="341"/>
      <c r="L529" s="341"/>
      <c r="M529" s="341"/>
      <c r="N529" s="342"/>
      <c r="P529" s="18">
        <f t="shared" si="8"/>
        <v>8</v>
      </c>
      <c r="Q529" s="338"/>
      <c r="R529" s="344"/>
      <c r="S529" s="474"/>
      <c r="T529" s="344"/>
      <c r="U529" s="475"/>
    </row>
    <row r="530" spans="2:21" ht="39.6" x14ac:dyDescent="0.25">
      <c r="B530" s="375"/>
      <c r="C530" s="351"/>
      <c r="D530" s="376"/>
      <c r="E530" s="134" t="str">
        <f>HLOOKUP(Deckblatt!$C$12,Language!$C$1:$D$730,653,FALSE)</f>
        <v xml:space="preserve">Es gibt ein Energie-Monitoring für Strom auf Quartiersebene, an dem alle Gebäudenutzer teilnehmen können.
</v>
      </c>
      <c r="F530" s="363"/>
      <c r="G530" s="69">
        <v>7</v>
      </c>
      <c r="H530" s="18">
        <v>7</v>
      </c>
      <c r="I530" s="379"/>
      <c r="J530" s="340" t="s">
        <v>1837</v>
      </c>
      <c r="K530" s="341"/>
      <c r="L530" s="341"/>
      <c r="M530" s="341"/>
      <c r="N530" s="342"/>
      <c r="P530" s="18">
        <f t="shared" si="8"/>
        <v>7</v>
      </c>
      <c r="Q530" s="338"/>
      <c r="R530" s="344"/>
      <c r="S530" s="474"/>
      <c r="T530" s="344"/>
      <c r="U530" s="475"/>
    </row>
    <row r="531" spans="2:21" ht="13.2" customHeight="1" x14ac:dyDescent="0.25">
      <c r="B531" s="375"/>
      <c r="C531" s="351" t="s">
        <v>64</v>
      </c>
      <c r="D531" s="352" t="str">
        <f>HLOOKUP(Deckblatt!$C$12,Language!$C$1:$D$730,660,FALSE)</f>
        <v>Wassermonitoring /-management</v>
      </c>
      <c r="E531" s="353"/>
      <c r="F531" s="363"/>
      <c r="G531" s="113"/>
      <c r="H531" s="21">
        <v>10</v>
      </c>
      <c r="I531" s="379"/>
      <c r="J531" s="340"/>
      <c r="K531" s="341"/>
      <c r="L531" s="341"/>
      <c r="M531" s="341"/>
      <c r="N531" s="342"/>
      <c r="P531" s="18">
        <f t="shared" si="8"/>
        <v>0</v>
      </c>
      <c r="Q531" s="338"/>
      <c r="R531" s="344"/>
      <c r="S531" s="474"/>
      <c r="T531" s="344"/>
      <c r="U531" s="475"/>
    </row>
    <row r="532" spans="2:21" ht="39.6" x14ac:dyDescent="0.25">
      <c r="B532" s="375"/>
      <c r="C532" s="351"/>
      <c r="D532" s="160" t="s">
        <v>66</v>
      </c>
      <c r="E532" s="134" t="str">
        <f>HLOOKUP(Deckblatt!$C$12,Language!$C$1:$D$730,661,FALSE)</f>
        <v xml:space="preserve">Wassermonitoring
</v>
      </c>
      <c r="F532" s="363"/>
      <c r="G532" s="69">
        <v>10</v>
      </c>
      <c r="H532" s="18">
        <v>10</v>
      </c>
      <c r="I532" s="379"/>
      <c r="J532" s="340" t="s">
        <v>1837</v>
      </c>
      <c r="K532" s="341"/>
      <c r="L532" s="341"/>
      <c r="M532" s="341"/>
      <c r="N532" s="342"/>
      <c r="P532" s="18">
        <f t="shared" si="8"/>
        <v>10</v>
      </c>
      <c r="Q532" s="338"/>
      <c r="R532" s="344"/>
      <c r="S532" s="474"/>
      <c r="T532" s="344"/>
      <c r="U532" s="475"/>
    </row>
    <row r="533" spans="2:21" ht="13.2" customHeight="1" x14ac:dyDescent="0.25">
      <c r="B533" s="375"/>
      <c r="C533" s="351" t="s">
        <v>67</v>
      </c>
      <c r="D533" s="352" t="str">
        <f>HLOOKUP(Deckblatt!$C$12,Language!$C$1:$D$730,664,FALSE)</f>
        <v>Umsetzung von Gestaltungszielen</v>
      </c>
      <c r="E533" s="353"/>
      <c r="F533" s="363"/>
      <c r="G533" s="113"/>
      <c r="H533" s="21">
        <v>20</v>
      </c>
      <c r="I533" s="379"/>
      <c r="J533" s="340"/>
      <c r="K533" s="341"/>
      <c r="L533" s="341"/>
      <c r="M533" s="341"/>
      <c r="N533" s="342"/>
      <c r="P533" s="18">
        <f t="shared" si="8"/>
        <v>0</v>
      </c>
      <c r="Q533" s="338"/>
      <c r="R533" s="344"/>
      <c r="S533" s="474"/>
      <c r="T533" s="344"/>
      <c r="U533" s="475"/>
    </row>
    <row r="534" spans="2:21" ht="79.2" x14ac:dyDescent="0.25">
      <c r="B534" s="375"/>
      <c r="C534" s="351"/>
      <c r="D534" s="160" t="s">
        <v>69</v>
      </c>
      <c r="E534" s="134" t="str">
        <f>HLOOKUP(Deckblatt!$C$12,Language!$C$1:$D$730,665,FALSE)</f>
        <v xml:space="preserve">Prozessmethodik
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v>
      </c>
      <c r="F534" s="363"/>
      <c r="G534" s="69">
        <v>10</v>
      </c>
      <c r="H534" s="18">
        <v>10</v>
      </c>
      <c r="I534" s="379"/>
      <c r="J534" s="340"/>
      <c r="K534" s="341"/>
      <c r="L534" s="341"/>
      <c r="M534" s="341"/>
      <c r="N534" s="342"/>
      <c r="P534" s="18">
        <f t="shared" si="8"/>
        <v>10</v>
      </c>
      <c r="Q534" s="338"/>
      <c r="R534" s="344"/>
      <c r="S534" s="474"/>
      <c r="T534" s="344"/>
      <c r="U534" s="475"/>
    </row>
    <row r="535" spans="2:21" ht="52.8" x14ac:dyDescent="0.25">
      <c r="B535" s="375"/>
      <c r="C535" s="351"/>
      <c r="D535" s="160" t="s">
        <v>78</v>
      </c>
      <c r="E535" s="134" t="str">
        <f>HLOOKUP(Deckblatt!$C$12,Language!$C$1:$D$730,666,FALSE)</f>
        <v xml:space="preserve">Gestalterische Vorgaben
Die gestalterischen Vorgaben werden zugleich formell gesichert (z. B. B-Plan, Gestaltungssatzung …).
</v>
      </c>
      <c r="F535" s="363"/>
      <c r="G535" s="69">
        <v>10</v>
      </c>
      <c r="H535" s="18">
        <v>10</v>
      </c>
      <c r="I535" s="379"/>
      <c r="J535" s="340"/>
      <c r="K535" s="341"/>
      <c r="L535" s="341"/>
      <c r="M535" s="341"/>
      <c r="N535" s="342"/>
      <c r="P535" s="18">
        <f t="shared" si="8"/>
        <v>10</v>
      </c>
      <c r="Q535" s="338"/>
      <c r="R535" s="344"/>
      <c r="S535" s="474"/>
      <c r="T535" s="344"/>
      <c r="U535" s="475"/>
    </row>
    <row r="536" spans="2:21" ht="13.2" customHeight="1" x14ac:dyDescent="0.25">
      <c r="B536" s="375"/>
      <c r="C536" s="351" t="s">
        <v>154</v>
      </c>
      <c r="D536" s="352" t="str">
        <f>HLOOKUP(Deckblatt!$C$12,Language!$C$1:$D$730,667,FALSE)</f>
        <v>Datenmodelle</v>
      </c>
      <c r="E536" s="353"/>
      <c r="F536" s="363"/>
      <c r="G536" s="113"/>
      <c r="H536" s="21">
        <v>10</v>
      </c>
      <c r="I536" s="379"/>
      <c r="J536" s="340"/>
      <c r="K536" s="341"/>
      <c r="L536" s="341"/>
      <c r="M536" s="341"/>
      <c r="N536" s="342"/>
      <c r="P536" s="18">
        <f t="shared" si="8"/>
        <v>0</v>
      </c>
      <c r="Q536" s="338"/>
      <c r="R536" s="344"/>
      <c r="S536" s="474"/>
      <c r="T536" s="344"/>
      <c r="U536" s="475"/>
    </row>
    <row r="537" spans="2:21" ht="53.4" thickBot="1" x14ac:dyDescent="0.3">
      <c r="B537" s="377"/>
      <c r="C537" s="389"/>
      <c r="D537" s="165" t="s">
        <v>156</v>
      </c>
      <c r="E537" s="242" t="str">
        <f>HLOOKUP(Deckblatt!$C$12,Language!$C$1:$D$730,668,FALSE)</f>
        <v xml:space="preserve">3-D-Datenmodelle
Es gibt eine weiterführende Zusammenarbeit auf der Basis von 3-D-Datenmodellen (GIS, CIM, BIM).
</v>
      </c>
      <c r="F537" s="378"/>
      <c r="G537" s="70">
        <v>10</v>
      </c>
      <c r="H537" s="59">
        <v>10</v>
      </c>
      <c r="I537" s="380"/>
      <c r="J537" s="381" t="s">
        <v>1846</v>
      </c>
      <c r="K537" s="382"/>
      <c r="L537" s="382"/>
      <c r="M537" s="382"/>
      <c r="N537" s="383"/>
      <c r="P537" s="18">
        <f t="shared" si="8"/>
        <v>10</v>
      </c>
      <c r="Q537" s="339"/>
      <c r="R537" s="365"/>
      <c r="S537" s="474"/>
      <c r="T537" s="365"/>
      <c r="U537" s="476"/>
    </row>
  </sheetData>
  <mergeCells count="1071">
    <mergeCell ref="B154:B158"/>
    <mergeCell ref="D158:E158"/>
    <mergeCell ref="F154:F158"/>
    <mergeCell ref="I154:I158"/>
    <mergeCell ref="J158:N158"/>
    <mergeCell ref="Q153:Q158"/>
    <mergeCell ref="R153:R158"/>
    <mergeCell ref="S87:S158"/>
    <mergeCell ref="T87:T158"/>
    <mergeCell ref="B332:B347"/>
    <mergeCell ref="J346:N346"/>
    <mergeCell ref="J347:N347"/>
    <mergeCell ref="J365:N365"/>
    <mergeCell ref="C358:C363"/>
    <mergeCell ref="J441:N441"/>
    <mergeCell ref="J366:N366"/>
    <mergeCell ref="J353:N353"/>
    <mergeCell ref="J359:N359"/>
    <mergeCell ref="J351:N351"/>
    <mergeCell ref="B349:B366"/>
    <mergeCell ref="F349:F366"/>
    <mergeCell ref="B368:B379"/>
    <mergeCell ref="F368:F379"/>
    <mergeCell ref="I368:I379"/>
    <mergeCell ref="J367:N367"/>
    <mergeCell ref="J368:N368"/>
    <mergeCell ref="J369:N369"/>
    <mergeCell ref="F332:F347"/>
    <mergeCell ref="I332:I347"/>
    <mergeCell ref="C410:C411"/>
    <mergeCell ref="D349:E349"/>
    <mergeCell ref="C352:C354"/>
    <mergeCell ref="Q313:Q330"/>
    <mergeCell ref="J233:N233"/>
    <mergeCell ref="J303:N303"/>
    <mergeCell ref="J306:N306"/>
    <mergeCell ref="J307:N307"/>
    <mergeCell ref="J318:N318"/>
    <mergeCell ref="J324:N324"/>
    <mergeCell ref="J188:N188"/>
    <mergeCell ref="J241:N241"/>
    <mergeCell ref="J257:N257"/>
    <mergeCell ref="J276:N276"/>
    <mergeCell ref="J277:N277"/>
    <mergeCell ref="J278:N278"/>
    <mergeCell ref="J279:N279"/>
    <mergeCell ref="J280:N280"/>
    <mergeCell ref="G201:G203"/>
    <mergeCell ref="C202:C207"/>
    <mergeCell ref="C216:C221"/>
    <mergeCell ref="J220:N220"/>
    <mergeCell ref="J247:N247"/>
    <mergeCell ref="J222:N222"/>
    <mergeCell ref="J223:N223"/>
    <mergeCell ref="J224:N224"/>
    <mergeCell ref="D197:E197"/>
    <mergeCell ref="J197:N197"/>
    <mergeCell ref="C197:C198"/>
    <mergeCell ref="J198:N198"/>
    <mergeCell ref="J232:N232"/>
    <mergeCell ref="G225:G226"/>
    <mergeCell ref="J225:N225"/>
    <mergeCell ref="J226:N226"/>
    <mergeCell ref="J227:N227"/>
    <mergeCell ref="C171:C183"/>
    <mergeCell ref="D172:D174"/>
    <mergeCell ref="D175:D177"/>
    <mergeCell ref="J185:N185"/>
    <mergeCell ref="D216:E216"/>
    <mergeCell ref="D217:D221"/>
    <mergeCell ref="D352:E352"/>
    <mergeCell ref="C355:C357"/>
    <mergeCell ref="D355:E355"/>
    <mergeCell ref="D375:E375"/>
    <mergeCell ref="C377:C379"/>
    <mergeCell ref="D377:E377"/>
    <mergeCell ref="C367:E367"/>
    <mergeCell ref="C368:C369"/>
    <mergeCell ref="D368:E368"/>
    <mergeCell ref="J201:N201"/>
    <mergeCell ref="J202:N202"/>
    <mergeCell ref="J203:N203"/>
    <mergeCell ref="J204:N204"/>
    <mergeCell ref="J205:N205"/>
    <mergeCell ref="J206:N206"/>
    <mergeCell ref="J207:N207"/>
    <mergeCell ref="J208:N208"/>
    <mergeCell ref="J209:N209"/>
    <mergeCell ref="J210:N210"/>
    <mergeCell ref="J211:N211"/>
    <mergeCell ref="C225:C233"/>
    <mergeCell ref="D225:E225"/>
    <mergeCell ref="D226:D233"/>
    <mergeCell ref="J221:N221"/>
    <mergeCell ref="G216:G217"/>
    <mergeCell ref="C214:C215"/>
    <mergeCell ref="D195:E195"/>
    <mergeCell ref="J163:N163"/>
    <mergeCell ref="J164:N164"/>
    <mergeCell ref="J116:N116"/>
    <mergeCell ref="J117:N117"/>
    <mergeCell ref="C137:C138"/>
    <mergeCell ref="D137:E137"/>
    <mergeCell ref="J137:N137"/>
    <mergeCell ref="J138:N138"/>
    <mergeCell ref="D139:E139"/>
    <mergeCell ref="C144:C149"/>
    <mergeCell ref="C153:E153"/>
    <mergeCell ref="J153:N153"/>
    <mergeCell ref="J154:N154"/>
    <mergeCell ref="D160:E160"/>
    <mergeCell ref="J134:N134"/>
    <mergeCell ref="C168:C169"/>
    <mergeCell ref="C160:C165"/>
    <mergeCell ref="J159:N159"/>
    <mergeCell ref="J160:N160"/>
    <mergeCell ref="J161:N161"/>
    <mergeCell ref="J166:N166"/>
    <mergeCell ref="J167:N167"/>
    <mergeCell ref="J168:N168"/>
    <mergeCell ref="G132:G133"/>
    <mergeCell ref="J132:N132"/>
    <mergeCell ref="J133:N133"/>
    <mergeCell ref="C133:C134"/>
    <mergeCell ref="D133:E133"/>
    <mergeCell ref="F160:F169"/>
    <mergeCell ref="G159:G160"/>
    <mergeCell ref="C166:C167"/>
    <mergeCell ref="J230:N230"/>
    <mergeCell ref="J231:N231"/>
    <mergeCell ref="J254:N254"/>
    <mergeCell ref="B160:B169"/>
    <mergeCell ref="R201:R221"/>
    <mergeCell ref="B202:B221"/>
    <mergeCell ref="D178:D180"/>
    <mergeCell ref="D181:D183"/>
    <mergeCell ref="D184:E184"/>
    <mergeCell ref="J174:N174"/>
    <mergeCell ref="C193:C194"/>
    <mergeCell ref="C195:C196"/>
    <mergeCell ref="G170:G172"/>
    <mergeCell ref="J193:N193"/>
    <mergeCell ref="J187:N187"/>
    <mergeCell ref="J191:N191"/>
    <mergeCell ref="J180:N180"/>
    <mergeCell ref="D203:D204"/>
    <mergeCell ref="J214:N214"/>
    <mergeCell ref="J215:N215"/>
    <mergeCell ref="J216:N216"/>
    <mergeCell ref="J217:N217"/>
    <mergeCell ref="J218:N218"/>
    <mergeCell ref="J219:N219"/>
    <mergeCell ref="D193:E193"/>
    <mergeCell ref="D212:E212"/>
    <mergeCell ref="D171:E171"/>
    <mergeCell ref="J212:N212"/>
    <mergeCell ref="J213:N213"/>
    <mergeCell ref="D214:E214"/>
    <mergeCell ref="C210:C211"/>
    <mergeCell ref="J171:N171"/>
    <mergeCell ref="J275:N275"/>
    <mergeCell ref="C234:C246"/>
    <mergeCell ref="D234:E234"/>
    <mergeCell ref="D235:D246"/>
    <mergeCell ref="C247:C256"/>
    <mergeCell ref="D247:E247"/>
    <mergeCell ref="D248:D256"/>
    <mergeCell ref="C257:C263"/>
    <mergeCell ref="D257:E257"/>
    <mergeCell ref="D258:D263"/>
    <mergeCell ref="D269:E269"/>
    <mergeCell ref="D265:D268"/>
    <mergeCell ref="D270:D272"/>
    <mergeCell ref="J258:N258"/>
    <mergeCell ref="J259:N259"/>
    <mergeCell ref="J242:N242"/>
    <mergeCell ref="J243:N243"/>
    <mergeCell ref="J244:N244"/>
    <mergeCell ref="J245:N245"/>
    <mergeCell ref="I274:I296"/>
    <mergeCell ref="J289:N289"/>
    <mergeCell ref="C273:E273"/>
    <mergeCell ref="T12:T86"/>
    <mergeCell ref="Q222:Q272"/>
    <mergeCell ref="R222:R272"/>
    <mergeCell ref="Q380:Q406"/>
    <mergeCell ref="R380:R406"/>
    <mergeCell ref="Q407:Q423"/>
    <mergeCell ref="R348:R366"/>
    <mergeCell ref="R407:R423"/>
    <mergeCell ref="T331:T423"/>
    <mergeCell ref="T424:T537"/>
    <mergeCell ref="Q273:Q296"/>
    <mergeCell ref="Q424:Q443"/>
    <mergeCell ref="Q521:Q537"/>
    <mergeCell ref="Q367:Q379"/>
    <mergeCell ref="R367:R379"/>
    <mergeCell ref="Q506:Q520"/>
    <mergeCell ref="Q471:Q492"/>
    <mergeCell ref="R471:R492"/>
    <mergeCell ref="Q493:Q505"/>
    <mergeCell ref="R493:R505"/>
    <mergeCell ref="R424:R443"/>
    <mergeCell ref="Q444:Q470"/>
    <mergeCell ref="Q100:Q126"/>
    <mergeCell ref="R100:R126"/>
    <mergeCell ref="R297:R312"/>
    <mergeCell ref="R159:R169"/>
    <mergeCell ref="Q12:Q27"/>
    <mergeCell ref="T159:T330"/>
    <mergeCell ref="Q201:Q221"/>
    <mergeCell ref="R313:R330"/>
    <mergeCell ref="Q348:Q366"/>
    <mergeCell ref="S159:S330"/>
    <mergeCell ref="R273:R296"/>
    <mergeCell ref="Q297:Q312"/>
    <mergeCell ref="J175:N175"/>
    <mergeCell ref="J176:N176"/>
    <mergeCell ref="J177:N177"/>
    <mergeCell ref="J178:N178"/>
    <mergeCell ref="J179:N179"/>
    <mergeCell ref="J194:N194"/>
    <mergeCell ref="J195:N195"/>
    <mergeCell ref="J196:N196"/>
    <mergeCell ref="J151:N151"/>
    <mergeCell ref="Q28:Q38"/>
    <mergeCell ref="Q127:Q131"/>
    <mergeCell ref="R127:R131"/>
    <mergeCell ref="J139:N139"/>
    <mergeCell ref="J140:N140"/>
    <mergeCell ref="J141:N141"/>
    <mergeCell ref="J142:N142"/>
    <mergeCell ref="J143:N143"/>
    <mergeCell ref="J144:N144"/>
    <mergeCell ref="J101:N101"/>
    <mergeCell ref="J102:N102"/>
    <mergeCell ref="J103:N103"/>
    <mergeCell ref="J104:N104"/>
    <mergeCell ref="J105:N105"/>
    <mergeCell ref="J186:N186"/>
    <mergeCell ref="J183:N183"/>
    <mergeCell ref="J184:N184"/>
    <mergeCell ref="Q132:Q152"/>
    <mergeCell ref="R132:R152"/>
    <mergeCell ref="R28:R38"/>
    <mergeCell ref="J165:N165"/>
    <mergeCell ref="S331:S423"/>
    <mergeCell ref="S424:S537"/>
    <mergeCell ref="R521:R537"/>
    <mergeCell ref="D469:E469"/>
    <mergeCell ref="J466:N466"/>
    <mergeCell ref="G331:G332"/>
    <mergeCell ref="D346:D347"/>
    <mergeCell ref="C344:C347"/>
    <mergeCell ref="J352:N352"/>
    <mergeCell ref="J354:N354"/>
    <mergeCell ref="J355:N355"/>
    <mergeCell ref="J356:N356"/>
    <mergeCell ref="J357:N357"/>
    <mergeCell ref="J358:N358"/>
    <mergeCell ref="J360:N360"/>
    <mergeCell ref="J361:N361"/>
    <mergeCell ref="J362:N362"/>
    <mergeCell ref="J363:N363"/>
    <mergeCell ref="J364:N364"/>
    <mergeCell ref="R444:R470"/>
    <mergeCell ref="J469:N469"/>
    <mergeCell ref="J470:N470"/>
    <mergeCell ref="G444:G445"/>
    <mergeCell ref="Q331:Q347"/>
    <mergeCell ref="R331:R347"/>
    <mergeCell ref="I349:I366"/>
    <mergeCell ref="J348:N348"/>
    <mergeCell ref="J349:N349"/>
    <mergeCell ref="G370:G371"/>
    <mergeCell ref="G367:G368"/>
    <mergeCell ref="G348:G349"/>
    <mergeCell ref="C348:E348"/>
    <mergeCell ref="C450:C454"/>
    <mergeCell ref="J458:N458"/>
    <mergeCell ref="J459:N459"/>
    <mergeCell ref="J460:N460"/>
    <mergeCell ref="J461:N461"/>
    <mergeCell ref="J462:N462"/>
    <mergeCell ref="J463:N463"/>
    <mergeCell ref="D202:E202"/>
    <mergeCell ref="D210:E210"/>
    <mergeCell ref="C320:C328"/>
    <mergeCell ref="C184:C192"/>
    <mergeCell ref="J192:N192"/>
    <mergeCell ref="I202:I221"/>
    <mergeCell ref="C293:C296"/>
    <mergeCell ref="C287:C292"/>
    <mergeCell ref="C201:E201"/>
    <mergeCell ref="D205:D207"/>
    <mergeCell ref="C208:C209"/>
    <mergeCell ref="D208:E208"/>
    <mergeCell ref="F202:F221"/>
    <mergeCell ref="J240:N240"/>
    <mergeCell ref="J316:N316"/>
    <mergeCell ref="C329:C330"/>
    <mergeCell ref="J325:N325"/>
    <mergeCell ref="J284:N284"/>
    <mergeCell ref="J285:N285"/>
    <mergeCell ref="J286:N286"/>
    <mergeCell ref="J287:N287"/>
    <mergeCell ref="J288:N288"/>
    <mergeCell ref="J228:N228"/>
    <mergeCell ref="J229:N229"/>
    <mergeCell ref="J273:N273"/>
    <mergeCell ref="J106:N106"/>
    <mergeCell ref="J107:N107"/>
    <mergeCell ref="J100:N100"/>
    <mergeCell ref="D119:D120"/>
    <mergeCell ref="J135:N135"/>
    <mergeCell ref="J136:N136"/>
    <mergeCell ref="J149:N149"/>
    <mergeCell ref="J173:N173"/>
    <mergeCell ref="J189:N189"/>
    <mergeCell ref="J190:N190"/>
    <mergeCell ref="J181:N181"/>
    <mergeCell ref="J182:N182"/>
    <mergeCell ref="J157:N157"/>
    <mergeCell ref="J155:N155"/>
    <mergeCell ref="J150:N150"/>
    <mergeCell ref="D135:E135"/>
    <mergeCell ref="J170:N170"/>
    <mergeCell ref="C170:E170"/>
    <mergeCell ref="J156:N156"/>
    <mergeCell ref="D166:E166"/>
    <mergeCell ref="D168:E168"/>
    <mergeCell ref="J172:N172"/>
    <mergeCell ref="J146:N146"/>
    <mergeCell ref="J147:N147"/>
    <mergeCell ref="J148:N148"/>
    <mergeCell ref="C159:E159"/>
    <mergeCell ref="C130:C131"/>
    <mergeCell ref="C110:C120"/>
    <mergeCell ref="D110:E110"/>
    <mergeCell ref="D114:D117"/>
    <mergeCell ref="J114:N114"/>
    <mergeCell ref="J115:N115"/>
    <mergeCell ref="B101:B126"/>
    <mergeCell ref="B133:B152"/>
    <mergeCell ref="J130:N130"/>
    <mergeCell ref="J131:N131"/>
    <mergeCell ref="J152:N152"/>
    <mergeCell ref="J145:N145"/>
    <mergeCell ref="C135:C136"/>
    <mergeCell ref="C139:C143"/>
    <mergeCell ref="J122:N122"/>
    <mergeCell ref="J123:N123"/>
    <mergeCell ref="J124:N124"/>
    <mergeCell ref="J109:N109"/>
    <mergeCell ref="J110:N110"/>
    <mergeCell ref="D130:E130"/>
    <mergeCell ref="J111:N111"/>
    <mergeCell ref="J112:N112"/>
    <mergeCell ref="J113:N113"/>
    <mergeCell ref="J118:N118"/>
    <mergeCell ref="D107:E107"/>
    <mergeCell ref="G100:G102"/>
    <mergeCell ref="F133:F152"/>
    <mergeCell ref="I133:I152"/>
    <mergeCell ref="C132:E132"/>
    <mergeCell ref="D144:E144"/>
    <mergeCell ref="C150:C152"/>
    <mergeCell ref="D150:E150"/>
    <mergeCell ref="I128:I131"/>
    <mergeCell ref="J128:N128"/>
    <mergeCell ref="J129:N129"/>
    <mergeCell ref="D121:E121"/>
    <mergeCell ref="D122:D125"/>
    <mergeCell ref="G121:G122"/>
    <mergeCell ref="B71:B86"/>
    <mergeCell ref="G87:G89"/>
    <mergeCell ref="G92:G93"/>
    <mergeCell ref="C87:E87"/>
    <mergeCell ref="C88:C91"/>
    <mergeCell ref="D88:E88"/>
    <mergeCell ref="J90:N90"/>
    <mergeCell ref="J91:N91"/>
    <mergeCell ref="C84:C86"/>
    <mergeCell ref="D84:E84"/>
    <mergeCell ref="D79:D81"/>
    <mergeCell ref="C78:C81"/>
    <mergeCell ref="D78:E78"/>
    <mergeCell ref="C82:C83"/>
    <mergeCell ref="D82:E82"/>
    <mergeCell ref="J83:N83"/>
    <mergeCell ref="J84:N84"/>
    <mergeCell ref="J85:N85"/>
    <mergeCell ref="J86:N86"/>
    <mergeCell ref="J74:N74"/>
    <mergeCell ref="J75:N75"/>
    <mergeCell ref="D97:E97"/>
    <mergeCell ref="J125:N125"/>
    <mergeCell ref="C100:E100"/>
    <mergeCell ref="F101:F126"/>
    <mergeCell ref="I101:I126"/>
    <mergeCell ref="J126:N126"/>
    <mergeCell ref="C121:C126"/>
    <mergeCell ref="B128:B131"/>
    <mergeCell ref="F128:F131"/>
    <mergeCell ref="C127:E127"/>
    <mergeCell ref="C128:C129"/>
    <mergeCell ref="D128:E128"/>
    <mergeCell ref="G127:G128"/>
    <mergeCell ref="J127:N127"/>
    <mergeCell ref="C75:C77"/>
    <mergeCell ref="D75:E75"/>
    <mergeCell ref="J60:N60"/>
    <mergeCell ref="J61:N61"/>
    <mergeCell ref="J62:N62"/>
    <mergeCell ref="J63:N63"/>
    <mergeCell ref="C64:C66"/>
    <mergeCell ref="D93:D94"/>
    <mergeCell ref="D89:D91"/>
    <mergeCell ref="D60:E60"/>
    <mergeCell ref="C101:C106"/>
    <mergeCell ref="D101:E101"/>
    <mergeCell ref="D102:D105"/>
    <mergeCell ref="C107:C109"/>
    <mergeCell ref="J119:N119"/>
    <mergeCell ref="J120:N120"/>
    <mergeCell ref="J121:N121"/>
    <mergeCell ref="J108:N108"/>
    <mergeCell ref="J98:N98"/>
    <mergeCell ref="J99:N99"/>
    <mergeCell ref="C92:C96"/>
    <mergeCell ref="D92:E92"/>
    <mergeCell ref="C97:C99"/>
    <mergeCell ref="J92:N92"/>
    <mergeCell ref="F71:F86"/>
    <mergeCell ref="I71:I86"/>
    <mergeCell ref="G70:G71"/>
    <mergeCell ref="G78:G79"/>
    <mergeCell ref="J77:N77"/>
    <mergeCell ref="J78:N78"/>
    <mergeCell ref="J79:N79"/>
    <mergeCell ref="J82:N82"/>
    <mergeCell ref="C60:C61"/>
    <mergeCell ref="C62:C63"/>
    <mergeCell ref="C68:C69"/>
    <mergeCell ref="G59:G60"/>
    <mergeCell ref="J64:N64"/>
    <mergeCell ref="J66:N66"/>
    <mergeCell ref="C59:E59"/>
    <mergeCell ref="J70:N70"/>
    <mergeCell ref="J71:N71"/>
    <mergeCell ref="J72:N72"/>
    <mergeCell ref="J73:N73"/>
    <mergeCell ref="C70:E70"/>
    <mergeCell ref="C71:C72"/>
    <mergeCell ref="D71:E71"/>
    <mergeCell ref="C73:C74"/>
    <mergeCell ref="D73:E73"/>
    <mergeCell ref="J67:N67"/>
    <mergeCell ref="D65:D66"/>
    <mergeCell ref="B60:B69"/>
    <mergeCell ref="J47:N47"/>
    <mergeCell ref="J48:N48"/>
    <mergeCell ref="J49:N49"/>
    <mergeCell ref="J50:N50"/>
    <mergeCell ref="J40:N40"/>
    <mergeCell ref="J41:N41"/>
    <mergeCell ref="J42:N42"/>
    <mergeCell ref="J43:N43"/>
    <mergeCell ref="J44:N44"/>
    <mergeCell ref="G52:G53"/>
    <mergeCell ref="J53:N53"/>
    <mergeCell ref="J54:N54"/>
    <mergeCell ref="J55:N55"/>
    <mergeCell ref="J65:N65"/>
    <mergeCell ref="G56:G57"/>
    <mergeCell ref="D42:D46"/>
    <mergeCell ref="D47:D49"/>
    <mergeCell ref="D50:E50"/>
    <mergeCell ref="D52:E52"/>
    <mergeCell ref="D53:D55"/>
    <mergeCell ref="D56:E56"/>
    <mergeCell ref="J51:N51"/>
    <mergeCell ref="J52:N52"/>
    <mergeCell ref="F60:F69"/>
    <mergeCell ref="I60:I69"/>
    <mergeCell ref="J59:N59"/>
    <mergeCell ref="J45:N45"/>
    <mergeCell ref="J46:N46"/>
    <mergeCell ref="J56:N56"/>
    <mergeCell ref="J57:N57"/>
    <mergeCell ref="J58:N58"/>
    <mergeCell ref="C37:C38"/>
    <mergeCell ref="F29:F38"/>
    <mergeCell ref="I29:I38"/>
    <mergeCell ref="J32:N32"/>
    <mergeCell ref="J33:N33"/>
    <mergeCell ref="J34:N34"/>
    <mergeCell ref="C50:C51"/>
    <mergeCell ref="J36:N36"/>
    <mergeCell ref="J37:N37"/>
    <mergeCell ref="J38:N38"/>
    <mergeCell ref="R10:R11"/>
    <mergeCell ref="C40:C49"/>
    <mergeCell ref="Q39:Q58"/>
    <mergeCell ref="R39:R58"/>
    <mergeCell ref="R12:R27"/>
    <mergeCell ref="J26:N26"/>
    <mergeCell ref="D23:D26"/>
    <mergeCell ref="T10:T11"/>
    <mergeCell ref="U10:U11"/>
    <mergeCell ref="J35:N35"/>
    <mergeCell ref="C28:E28"/>
    <mergeCell ref="D31:E31"/>
    <mergeCell ref="D34:E34"/>
    <mergeCell ref="D37:E37"/>
    <mergeCell ref="C39:E39"/>
    <mergeCell ref="D40:E40"/>
    <mergeCell ref="S10:S11"/>
    <mergeCell ref="S12:S86"/>
    <mergeCell ref="U12:U537"/>
    <mergeCell ref="Q59:Q69"/>
    <mergeCell ref="R59:R69"/>
    <mergeCell ref="Q70:Q86"/>
    <mergeCell ref="R70:R86"/>
    <mergeCell ref="J255:N255"/>
    <mergeCell ref="C223:C224"/>
    <mergeCell ref="D223:E223"/>
    <mergeCell ref="C52:C55"/>
    <mergeCell ref="C56:C58"/>
    <mergeCell ref="C34:C36"/>
    <mergeCell ref="J234:N234"/>
    <mergeCell ref="J235:N235"/>
    <mergeCell ref="J236:N236"/>
    <mergeCell ref="J237:N237"/>
    <mergeCell ref="J238:N238"/>
    <mergeCell ref="J248:N248"/>
    <mergeCell ref="J246:N246"/>
    <mergeCell ref="J256:N256"/>
    <mergeCell ref="I223:I272"/>
    <mergeCell ref="J239:N239"/>
    <mergeCell ref="P2:U4"/>
    <mergeCell ref="G28:G29"/>
    <mergeCell ref="B6:D6"/>
    <mergeCell ref="J30:N30"/>
    <mergeCell ref="J31:N31"/>
    <mergeCell ref="Q10:Q11"/>
    <mergeCell ref="G12:G14"/>
    <mergeCell ref="J12:N12"/>
    <mergeCell ref="J13:N13"/>
    <mergeCell ref="J14:N14"/>
    <mergeCell ref="J28:N28"/>
    <mergeCell ref="J29:N29"/>
    <mergeCell ref="J24:N24"/>
    <mergeCell ref="J25:N25"/>
    <mergeCell ref="J27:N27"/>
    <mergeCell ref="C12:E12"/>
    <mergeCell ref="D13:E13"/>
    <mergeCell ref="D29:E29"/>
    <mergeCell ref="P10:P11"/>
    <mergeCell ref="D14:D16"/>
    <mergeCell ref="C13:C16"/>
    <mergeCell ref="C31:C33"/>
    <mergeCell ref="D17:E17"/>
    <mergeCell ref="I10:I11"/>
    <mergeCell ref="M2:M4"/>
    <mergeCell ref="J2:L4"/>
    <mergeCell ref="J10:N11"/>
    <mergeCell ref="H6:I6"/>
    <mergeCell ref="J6:M6"/>
    <mergeCell ref="F10:H10"/>
    <mergeCell ref="B2:D2"/>
    <mergeCell ref="B3:D3"/>
    <mergeCell ref="B4:D4"/>
    <mergeCell ref="B10:B11"/>
    <mergeCell ref="C10:D11"/>
    <mergeCell ref="E10:E11"/>
    <mergeCell ref="F6:G6"/>
    <mergeCell ref="J15:N15"/>
    <mergeCell ref="J16:N16"/>
    <mergeCell ref="J17:N17"/>
    <mergeCell ref="J19:N19"/>
    <mergeCell ref="J20:N20"/>
    <mergeCell ref="J21:N21"/>
    <mergeCell ref="J22:N22"/>
    <mergeCell ref="J23:N23"/>
    <mergeCell ref="D20:E20"/>
    <mergeCell ref="D22:E22"/>
    <mergeCell ref="C22:C27"/>
    <mergeCell ref="G22:G23"/>
    <mergeCell ref="D18:D19"/>
    <mergeCell ref="J18:N18"/>
    <mergeCell ref="C17:C19"/>
    <mergeCell ref="C20:C21"/>
    <mergeCell ref="I13:I27"/>
    <mergeCell ref="F13:F27"/>
    <mergeCell ref="B13:B27"/>
    <mergeCell ref="B8:N8"/>
    <mergeCell ref="B29:B38"/>
    <mergeCell ref="C29:C30"/>
    <mergeCell ref="J249:N249"/>
    <mergeCell ref="J250:N250"/>
    <mergeCell ref="J269:N269"/>
    <mergeCell ref="J270:N270"/>
    <mergeCell ref="J271:N271"/>
    <mergeCell ref="J272:N272"/>
    <mergeCell ref="G269:G270"/>
    <mergeCell ref="G264:G265"/>
    <mergeCell ref="G257:G258"/>
    <mergeCell ref="G247:G248"/>
    <mergeCell ref="G234:G235"/>
    <mergeCell ref="J260:N260"/>
    <mergeCell ref="J261:N261"/>
    <mergeCell ref="J262:N262"/>
    <mergeCell ref="J263:N263"/>
    <mergeCell ref="J264:N264"/>
    <mergeCell ref="J265:N265"/>
    <mergeCell ref="J266:N266"/>
    <mergeCell ref="J267:N267"/>
    <mergeCell ref="J268:N268"/>
    <mergeCell ref="J251:N251"/>
    <mergeCell ref="J252:N252"/>
    <mergeCell ref="J253:N253"/>
    <mergeCell ref="B223:B272"/>
    <mergeCell ref="F223:F272"/>
    <mergeCell ref="C264:C268"/>
    <mergeCell ref="D264:E264"/>
    <mergeCell ref="C269:C272"/>
    <mergeCell ref="G222:G223"/>
    <mergeCell ref="C222:E222"/>
    <mergeCell ref="B298:B312"/>
    <mergeCell ref="J297:N297"/>
    <mergeCell ref="J298:N298"/>
    <mergeCell ref="J299:N299"/>
    <mergeCell ref="J300:N300"/>
    <mergeCell ref="J301:N301"/>
    <mergeCell ref="J302:N302"/>
    <mergeCell ref="J304:N304"/>
    <mergeCell ref="J305:N305"/>
    <mergeCell ref="J308:N308"/>
    <mergeCell ref="J309:N309"/>
    <mergeCell ref="J310:N310"/>
    <mergeCell ref="D284:D286"/>
    <mergeCell ref="D287:E287"/>
    <mergeCell ref="D293:E293"/>
    <mergeCell ref="J293:N293"/>
    <mergeCell ref="J295:N295"/>
    <mergeCell ref="J294:N294"/>
    <mergeCell ref="J290:N290"/>
    <mergeCell ref="C274:C286"/>
    <mergeCell ref="D274:E274"/>
    <mergeCell ref="D275:D277"/>
    <mergeCell ref="D278:D280"/>
    <mergeCell ref="D281:D283"/>
    <mergeCell ref="J292:N292"/>
    <mergeCell ref="J296:N296"/>
    <mergeCell ref="F274:F296"/>
    <mergeCell ref="B274:B296"/>
    <mergeCell ref="J281:N281"/>
    <mergeCell ref="J282:N282"/>
    <mergeCell ref="J283:N283"/>
    <mergeCell ref="J274:N274"/>
    <mergeCell ref="J313:N313"/>
    <mergeCell ref="J314:N314"/>
    <mergeCell ref="J317:N317"/>
    <mergeCell ref="J319:N319"/>
    <mergeCell ref="J320:N320"/>
    <mergeCell ref="J321:N321"/>
    <mergeCell ref="J322:N322"/>
    <mergeCell ref="C314:C319"/>
    <mergeCell ref="D314:E314"/>
    <mergeCell ref="D320:E320"/>
    <mergeCell ref="D329:E329"/>
    <mergeCell ref="G297:G298"/>
    <mergeCell ref="G313:G314"/>
    <mergeCell ref="C313:E313"/>
    <mergeCell ref="J311:N311"/>
    <mergeCell ref="J312:N312"/>
    <mergeCell ref="F298:F312"/>
    <mergeCell ref="I298:I312"/>
    <mergeCell ref="C297:E297"/>
    <mergeCell ref="C298:C300"/>
    <mergeCell ref="D298:E298"/>
    <mergeCell ref="C301:C307"/>
    <mergeCell ref="D301:E301"/>
    <mergeCell ref="C308:C312"/>
    <mergeCell ref="D308:E308"/>
    <mergeCell ref="D310:D312"/>
    <mergeCell ref="J327:N327"/>
    <mergeCell ref="J315:N315"/>
    <mergeCell ref="B314:B330"/>
    <mergeCell ref="F314:F330"/>
    <mergeCell ref="I314:I330"/>
    <mergeCell ref="J331:N331"/>
    <mergeCell ref="J332:N332"/>
    <mergeCell ref="J333:N333"/>
    <mergeCell ref="J334:N334"/>
    <mergeCell ref="J335:N335"/>
    <mergeCell ref="J336:N336"/>
    <mergeCell ref="J337:N337"/>
    <mergeCell ref="J344:N344"/>
    <mergeCell ref="J345:N345"/>
    <mergeCell ref="C331:E331"/>
    <mergeCell ref="C332:C337"/>
    <mergeCell ref="D332:E332"/>
    <mergeCell ref="C338:C339"/>
    <mergeCell ref="D338:E338"/>
    <mergeCell ref="C340:C343"/>
    <mergeCell ref="D340:E340"/>
    <mergeCell ref="D344:E344"/>
    <mergeCell ref="J338:N338"/>
    <mergeCell ref="J339:N339"/>
    <mergeCell ref="J340:N340"/>
    <mergeCell ref="J341:N341"/>
    <mergeCell ref="J342:N342"/>
    <mergeCell ref="J343:N343"/>
    <mergeCell ref="J330:N330"/>
    <mergeCell ref="D342:D343"/>
    <mergeCell ref="J323:N323"/>
    <mergeCell ref="J326:N326"/>
    <mergeCell ref="J329:N329"/>
    <mergeCell ref="J328:N328"/>
    <mergeCell ref="C349:C351"/>
    <mergeCell ref="C370:C374"/>
    <mergeCell ref="D370:E370"/>
    <mergeCell ref="D371:D372"/>
    <mergeCell ref="C364:C366"/>
    <mergeCell ref="D364:E364"/>
    <mergeCell ref="C465:C468"/>
    <mergeCell ref="D465:E465"/>
    <mergeCell ref="C469:C470"/>
    <mergeCell ref="B425:B443"/>
    <mergeCell ref="F425:F443"/>
    <mergeCell ref="I425:I443"/>
    <mergeCell ref="J424:N424"/>
    <mergeCell ref="J425:N425"/>
    <mergeCell ref="J426:N426"/>
    <mergeCell ref="J427:N427"/>
    <mergeCell ref="J428:N428"/>
    <mergeCell ref="J429:N429"/>
    <mergeCell ref="J430:N430"/>
    <mergeCell ref="J431:N431"/>
    <mergeCell ref="J432:N432"/>
    <mergeCell ref="J433:N433"/>
    <mergeCell ref="J434:N434"/>
    <mergeCell ref="J435:N435"/>
    <mergeCell ref="J436:N436"/>
    <mergeCell ref="J437:N437"/>
    <mergeCell ref="J438:N438"/>
    <mergeCell ref="J439:N439"/>
    <mergeCell ref="D404:E404"/>
    <mergeCell ref="J406:N406"/>
    <mergeCell ref="J417:N417"/>
    <mergeCell ref="C399:C400"/>
    <mergeCell ref="J370:N370"/>
    <mergeCell ref="J371:N371"/>
    <mergeCell ref="J372:N372"/>
    <mergeCell ref="B445:B470"/>
    <mergeCell ref="F445:F470"/>
    <mergeCell ref="D436:E436"/>
    <mergeCell ref="D439:D443"/>
    <mergeCell ref="J402:N402"/>
    <mergeCell ref="J403:N403"/>
    <mergeCell ref="J404:N404"/>
    <mergeCell ref="J405:N405"/>
    <mergeCell ref="J399:N399"/>
    <mergeCell ref="J418:N418"/>
    <mergeCell ref="J419:N419"/>
    <mergeCell ref="C408:C409"/>
    <mergeCell ref="D408:E408"/>
    <mergeCell ref="D410:E410"/>
    <mergeCell ref="C412:C413"/>
    <mergeCell ref="J456:N456"/>
    <mergeCell ref="J457:N457"/>
    <mergeCell ref="J467:N467"/>
    <mergeCell ref="C414:C415"/>
    <mergeCell ref="C416:C417"/>
    <mergeCell ref="C418:C419"/>
    <mergeCell ref="C420:C423"/>
    <mergeCell ref="J468:N468"/>
    <mergeCell ref="J464:N464"/>
    <mergeCell ref="C381:C382"/>
    <mergeCell ref="J387:N387"/>
    <mergeCell ref="J388:N388"/>
    <mergeCell ref="J389:N389"/>
    <mergeCell ref="J390:N390"/>
    <mergeCell ref="J391:N391"/>
    <mergeCell ref="J392:N392"/>
    <mergeCell ref="J393:N393"/>
    <mergeCell ref="J394:N394"/>
    <mergeCell ref="J395:N395"/>
    <mergeCell ref="I381:I406"/>
    <mergeCell ref="J396:N396"/>
    <mergeCell ref="J397:N397"/>
    <mergeCell ref="J398:N398"/>
    <mergeCell ref="J400:N400"/>
    <mergeCell ref="J401:N401"/>
    <mergeCell ref="J440:N440"/>
    <mergeCell ref="I507:I520"/>
    <mergeCell ref="J511:N511"/>
    <mergeCell ref="J512:N512"/>
    <mergeCell ref="J498:N498"/>
    <mergeCell ref="J499:N499"/>
    <mergeCell ref="J493:N493"/>
    <mergeCell ref="J423:N423"/>
    <mergeCell ref="I445:I470"/>
    <mergeCell ref="J444:N444"/>
    <mergeCell ref="J445:N445"/>
    <mergeCell ref="J446:N446"/>
    <mergeCell ref="J447:N447"/>
    <mergeCell ref="J448:N448"/>
    <mergeCell ref="J449:N449"/>
    <mergeCell ref="J450:N450"/>
    <mergeCell ref="J451:N451"/>
    <mergeCell ref="J452:N452"/>
    <mergeCell ref="J453:N453"/>
    <mergeCell ref="J454:N454"/>
    <mergeCell ref="J455:N455"/>
    <mergeCell ref="C383:C385"/>
    <mergeCell ref="D383:E383"/>
    <mergeCell ref="C386:C389"/>
    <mergeCell ref="J442:N442"/>
    <mergeCell ref="J443:N443"/>
    <mergeCell ref="G424:G426"/>
    <mergeCell ref="C424:E424"/>
    <mergeCell ref="C425:C428"/>
    <mergeCell ref="D455:E455"/>
    <mergeCell ref="B472:B492"/>
    <mergeCell ref="F472:F492"/>
    <mergeCell ref="I472:I492"/>
    <mergeCell ref="G487:G488"/>
    <mergeCell ref="G478:G479"/>
    <mergeCell ref="G474:G475"/>
    <mergeCell ref="G471:G472"/>
    <mergeCell ref="J471:N471"/>
    <mergeCell ref="J472:N472"/>
    <mergeCell ref="J473:N473"/>
    <mergeCell ref="J474:N474"/>
    <mergeCell ref="J475:N475"/>
    <mergeCell ref="J476:N476"/>
    <mergeCell ref="J477:N477"/>
    <mergeCell ref="J478:N478"/>
    <mergeCell ref="C471:E471"/>
    <mergeCell ref="C472:C473"/>
    <mergeCell ref="D472:E472"/>
    <mergeCell ref="C390:C391"/>
    <mergeCell ref="D390:E390"/>
    <mergeCell ref="C392:C394"/>
    <mergeCell ref="D392:E392"/>
    <mergeCell ref="C395:C396"/>
    <mergeCell ref="B494:B505"/>
    <mergeCell ref="F494:F505"/>
    <mergeCell ref="I494:I505"/>
    <mergeCell ref="B507:B520"/>
    <mergeCell ref="C513:C514"/>
    <mergeCell ref="D513:E513"/>
    <mergeCell ref="C515:C517"/>
    <mergeCell ref="D515:E515"/>
    <mergeCell ref="D518:E518"/>
    <mergeCell ref="J506:N506"/>
    <mergeCell ref="J507:N507"/>
    <mergeCell ref="J513:N513"/>
    <mergeCell ref="J514:N514"/>
    <mergeCell ref="J515:N515"/>
    <mergeCell ref="J494:N494"/>
    <mergeCell ref="J495:N495"/>
    <mergeCell ref="J496:N496"/>
    <mergeCell ref="C506:E506"/>
    <mergeCell ref="D507:E507"/>
    <mergeCell ref="C510:C512"/>
    <mergeCell ref="D510:E510"/>
    <mergeCell ref="G506:G507"/>
    <mergeCell ref="J503:N503"/>
    <mergeCell ref="J504:N504"/>
    <mergeCell ref="J505:N505"/>
    <mergeCell ref="C507:C509"/>
    <mergeCell ref="J509:N509"/>
    <mergeCell ref="D500:E500"/>
    <mergeCell ref="C503:C505"/>
    <mergeCell ref="D503:E503"/>
    <mergeCell ref="D536:E536"/>
    <mergeCell ref="D479:D484"/>
    <mergeCell ref="D475:D477"/>
    <mergeCell ref="J487:N487"/>
    <mergeCell ref="J488:N488"/>
    <mergeCell ref="J489:N489"/>
    <mergeCell ref="J490:N490"/>
    <mergeCell ref="J491:N491"/>
    <mergeCell ref="J492:N492"/>
    <mergeCell ref="C487:C492"/>
    <mergeCell ref="J497:N497"/>
    <mergeCell ref="C474:C477"/>
    <mergeCell ref="D474:E474"/>
    <mergeCell ref="C478:C484"/>
    <mergeCell ref="D478:E478"/>
    <mergeCell ref="C485:C486"/>
    <mergeCell ref="C493:E493"/>
    <mergeCell ref="C494:C499"/>
    <mergeCell ref="D494:E494"/>
    <mergeCell ref="C500:C502"/>
    <mergeCell ref="J516:N516"/>
    <mergeCell ref="J517:N517"/>
    <mergeCell ref="J518:N518"/>
    <mergeCell ref="J519:N519"/>
    <mergeCell ref="C518:C520"/>
    <mergeCell ref="J520:N520"/>
    <mergeCell ref="F507:F520"/>
    <mergeCell ref="J508:N508"/>
    <mergeCell ref="J510:N510"/>
    <mergeCell ref="J500:N500"/>
    <mergeCell ref="J501:N501"/>
    <mergeCell ref="J502:N502"/>
    <mergeCell ref="B522:B537"/>
    <mergeCell ref="F522:F537"/>
    <mergeCell ref="I522:I537"/>
    <mergeCell ref="G527:G528"/>
    <mergeCell ref="G521:G522"/>
    <mergeCell ref="J521:N521"/>
    <mergeCell ref="J522:N522"/>
    <mergeCell ref="J523:N523"/>
    <mergeCell ref="J524:N524"/>
    <mergeCell ref="J525:N525"/>
    <mergeCell ref="J526:N526"/>
    <mergeCell ref="J527:N527"/>
    <mergeCell ref="J528:N528"/>
    <mergeCell ref="J529:N529"/>
    <mergeCell ref="J530:N530"/>
    <mergeCell ref="J531:N531"/>
    <mergeCell ref="J532:N532"/>
    <mergeCell ref="J533:N533"/>
    <mergeCell ref="J535:N535"/>
    <mergeCell ref="J536:N536"/>
    <mergeCell ref="J537:N537"/>
    <mergeCell ref="C521:E521"/>
    <mergeCell ref="C522:C526"/>
    <mergeCell ref="D522:E522"/>
    <mergeCell ref="D527:E527"/>
    <mergeCell ref="C527:C530"/>
    <mergeCell ref="D533:E533"/>
    <mergeCell ref="D528:D530"/>
    <mergeCell ref="C531:C532"/>
    <mergeCell ref="D531:E531"/>
    <mergeCell ref="C533:C535"/>
    <mergeCell ref="C536:C537"/>
    <mergeCell ref="D412:E412"/>
    <mergeCell ref="D414:E414"/>
    <mergeCell ref="D421:D423"/>
    <mergeCell ref="D416:E416"/>
    <mergeCell ref="D418:E418"/>
    <mergeCell ref="D420:E420"/>
    <mergeCell ref="J422:N422"/>
    <mergeCell ref="D425:E425"/>
    <mergeCell ref="D426:D428"/>
    <mergeCell ref="D429:E429"/>
    <mergeCell ref="D487:E487"/>
    <mergeCell ref="D488:D492"/>
    <mergeCell ref="J479:N479"/>
    <mergeCell ref="J480:N480"/>
    <mergeCell ref="J481:N481"/>
    <mergeCell ref="J482:N482"/>
    <mergeCell ref="J483:N483"/>
    <mergeCell ref="J484:N484"/>
    <mergeCell ref="J485:N485"/>
    <mergeCell ref="J486:N486"/>
    <mergeCell ref="D432:D435"/>
    <mergeCell ref="C444:E444"/>
    <mergeCell ref="C445:C449"/>
    <mergeCell ref="C429:C435"/>
    <mergeCell ref="C436:C443"/>
    <mergeCell ref="D485:E485"/>
    <mergeCell ref="D460:E460"/>
    <mergeCell ref="C455:C459"/>
    <mergeCell ref="C460:C464"/>
    <mergeCell ref="J465:N465"/>
    <mergeCell ref="D445:E445"/>
    <mergeCell ref="D450:E450"/>
    <mergeCell ref="R506:R520"/>
    <mergeCell ref="J534:N534"/>
    <mergeCell ref="I160:I169"/>
    <mergeCell ref="D199:E199"/>
    <mergeCell ref="J199:N199"/>
    <mergeCell ref="J200:N200"/>
    <mergeCell ref="C199:C200"/>
    <mergeCell ref="B171:B200"/>
    <mergeCell ref="F171:F200"/>
    <mergeCell ref="I171:I200"/>
    <mergeCell ref="Q170:Q200"/>
    <mergeCell ref="R170:R200"/>
    <mergeCell ref="G273:G275"/>
    <mergeCell ref="D399:E399"/>
    <mergeCell ref="C401:C403"/>
    <mergeCell ref="D401:E401"/>
    <mergeCell ref="C404:C406"/>
    <mergeCell ref="B381:B406"/>
    <mergeCell ref="G420:G421"/>
    <mergeCell ref="G407:G408"/>
    <mergeCell ref="C407:E407"/>
    <mergeCell ref="J407:N407"/>
    <mergeCell ref="J408:N408"/>
    <mergeCell ref="J409:N409"/>
    <mergeCell ref="J410:N410"/>
    <mergeCell ref="J411:N411"/>
    <mergeCell ref="J412:N412"/>
    <mergeCell ref="J413:N413"/>
    <mergeCell ref="J414:N414"/>
    <mergeCell ref="J415:N415"/>
    <mergeCell ref="J416:N416"/>
    <mergeCell ref="D395:E395"/>
    <mergeCell ref="B40:B58"/>
    <mergeCell ref="F40:F58"/>
    <mergeCell ref="I40:I58"/>
    <mergeCell ref="B88:B99"/>
    <mergeCell ref="F88:F99"/>
    <mergeCell ref="I88:I99"/>
    <mergeCell ref="C397:C398"/>
    <mergeCell ref="D397:E397"/>
    <mergeCell ref="J381:N381"/>
    <mergeCell ref="C212:C213"/>
    <mergeCell ref="J291:N291"/>
    <mergeCell ref="D62:E62"/>
    <mergeCell ref="D64:E64"/>
    <mergeCell ref="D68:E68"/>
    <mergeCell ref="D57:D58"/>
    <mergeCell ref="G39:G40"/>
    <mergeCell ref="J39:N39"/>
    <mergeCell ref="J68:N68"/>
    <mergeCell ref="J69:N69"/>
    <mergeCell ref="J169:N169"/>
    <mergeCell ref="J162:N162"/>
    <mergeCell ref="F381:F406"/>
    <mergeCell ref="D381:E381"/>
    <mergeCell ref="D387:D388"/>
    <mergeCell ref="G380:G381"/>
    <mergeCell ref="D358:E358"/>
    <mergeCell ref="D360:D362"/>
    <mergeCell ref="J373:N373"/>
    <mergeCell ref="J374:N374"/>
    <mergeCell ref="J375:N375"/>
    <mergeCell ref="J376:N376"/>
    <mergeCell ref="J377:N377"/>
    <mergeCell ref="Q159:Q169"/>
    <mergeCell ref="J96:N96"/>
    <mergeCell ref="J97:N97"/>
    <mergeCell ref="Q87:Q99"/>
    <mergeCell ref="R87:R99"/>
    <mergeCell ref="J93:N93"/>
    <mergeCell ref="J94:N94"/>
    <mergeCell ref="J95:N95"/>
    <mergeCell ref="J80:N80"/>
    <mergeCell ref="J81:N81"/>
    <mergeCell ref="J87:N87"/>
    <mergeCell ref="J88:N88"/>
    <mergeCell ref="J89:N89"/>
    <mergeCell ref="J76:N76"/>
    <mergeCell ref="B408:B423"/>
    <mergeCell ref="F408:F423"/>
    <mergeCell ref="I408:I423"/>
    <mergeCell ref="J420:N420"/>
    <mergeCell ref="J421:N421"/>
    <mergeCell ref="J378:N378"/>
    <mergeCell ref="J379:N379"/>
    <mergeCell ref="C375:C376"/>
    <mergeCell ref="J350:N350"/>
    <mergeCell ref="J380:N380"/>
    <mergeCell ref="D386:E386"/>
    <mergeCell ref="J383:N383"/>
    <mergeCell ref="J384:N384"/>
    <mergeCell ref="J385:N385"/>
    <mergeCell ref="J386:N386"/>
    <mergeCell ref="J382:N382"/>
    <mergeCell ref="C380:E380"/>
    <mergeCell ref="G386:G387"/>
  </mergeCells>
  <phoneticPr fontId="20" type="noConversion"/>
  <dataValidations count="1">
    <dataValidation type="decimal" operator="lessThanOrEqual" allowBlank="1" showInputMessage="1" showErrorMessage="1" sqref="G12:G537" xr:uid="{8DABBFCD-7104-49D7-B9F6-6F3A9F3C07DC}">
      <formula1>H12</formula1>
    </dataValidation>
  </dataValidations>
  <pageMargins left="0.7" right="0.7" top="0.78740157499999996" bottom="0.78740157499999996" header="0.3" footer="0.3"/>
  <pageSetup paperSize="8" scale="64"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112427AC-A34E-430A-8D1B-D738B02AE888}">
          <x14:formula1>
            <xm:f>IF(Deckblatt!$C$12=Language!$C$1,Language!$C$171:$C$181,IF(Deckblatt!$C$12=Language!$D$1,Language!$D$171:$D$181))</xm:f>
          </x14:formula1>
          <xm:sqref>E154:E156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51D63-05FF-494B-9B90-D74B2C8C037B}">
  <sheetPr codeName="Sheet3">
    <tabColor rgb="FF4DAA50"/>
  </sheetPr>
  <dimension ref="B1:V540"/>
  <sheetViews>
    <sheetView zoomScaleNormal="100" workbookViewId="0">
      <selection activeCell="H14" sqref="H14"/>
    </sheetView>
  </sheetViews>
  <sheetFormatPr defaultColWidth="11.44140625" defaultRowHeight="13.2" outlineLevelCol="1" x14ac:dyDescent="0.25"/>
  <cols>
    <col min="1" max="1" width="1.6640625" style="17" customWidth="1"/>
    <col min="2" max="2" width="8.6640625" style="17" customWidth="1"/>
    <col min="3" max="3" width="6.6640625" style="17" customWidth="1"/>
    <col min="4" max="4" width="8.6640625" style="17" customWidth="1"/>
    <col min="5" max="5" width="63.10937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73.88671875" style="184" customWidth="1" collapsed="1"/>
    <col min="23" max="16384" width="11.44140625" style="17"/>
  </cols>
  <sheetData>
    <row r="1" spans="2:21" ht="13.8" thickBot="1" x14ac:dyDescent="0.3"/>
    <row r="2" spans="2:21" ht="26.1" customHeight="1" thickBot="1" x14ac:dyDescent="0.3">
      <c r="B2" s="467" t="str">
        <f>Deckblatt!B6</f>
        <v>Vertragsnummer</v>
      </c>
      <c r="C2" s="457"/>
      <c r="D2" s="457"/>
      <c r="E2" s="35">
        <f>Deckblatt!C6</f>
        <v>0</v>
      </c>
      <c r="F2" s="250" t="str">
        <f>Deckblatt!C15</f>
        <v>Ökologische Qualität</v>
      </c>
      <c r="G2" s="118">
        <f>ROUNDDOWN(T12,3)</f>
        <v>0</v>
      </c>
      <c r="H2" s="250" t="str">
        <f>Deckblatt!C18</f>
        <v>Technische Qualität</v>
      </c>
      <c r="I2" s="37">
        <f>ROUNDDOWN(T320,3)</f>
        <v>0</v>
      </c>
      <c r="J2" s="447" t="str">
        <f>Deckblatt!C21</f>
        <v>Gesamterfüllungsgrad</v>
      </c>
      <c r="K2" s="448"/>
      <c r="L2" s="508"/>
      <c r="M2" s="511">
        <f>ROUNDDOWN(U12,3)</f>
        <v>0</v>
      </c>
      <c r="P2" s="420" t="s">
        <v>43</v>
      </c>
      <c r="Q2" s="421"/>
      <c r="R2" s="421"/>
      <c r="S2" s="421"/>
      <c r="T2" s="421"/>
      <c r="U2" s="422"/>
    </row>
    <row r="3" spans="2:21" ht="26.1" customHeight="1" thickBot="1" x14ac:dyDescent="0.3">
      <c r="B3" s="468" t="str">
        <f>Deckblatt!B7</f>
        <v>Bauvorhaben</v>
      </c>
      <c r="C3" s="469"/>
      <c r="D3" s="469"/>
      <c r="E3" s="38" t="str">
        <f>Deckblatt!C7</f>
        <v>Superquartier</v>
      </c>
      <c r="F3" s="250" t="str">
        <f>Deckblatt!C16</f>
        <v>Ökonomische Qualität</v>
      </c>
      <c r="G3" s="119">
        <f>ROUNDDOWN(T87,3)</f>
        <v>0</v>
      </c>
      <c r="H3" s="250" t="str">
        <f>Deckblatt!C19</f>
        <v>Prozessqualität</v>
      </c>
      <c r="I3" s="41">
        <f>ROUNDDOWN(T426,3)</f>
        <v>0</v>
      </c>
      <c r="J3" s="450"/>
      <c r="K3" s="451"/>
      <c r="L3" s="509"/>
      <c r="M3" s="512"/>
      <c r="P3" s="423"/>
      <c r="Q3" s="424"/>
      <c r="R3" s="424"/>
      <c r="S3" s="424"/>
      <c r="T3" s="424"/>
      <c r="U3" s="425"/>
    </row>
    <row r="4" spans="2:21" ht="26.1" customHeight="1" thickBot="1" x14ac:dyDescent="0.3">
      <c r="B4" s="402" t="str">
        <f>Deckblatt!B9</f>
        <v>DGNB Auditor</v>
      </c>
      <c r="C4" s="403"/>
      <c r="D4" s="403"/>
      <c r="E4" s="42">
        <f>Deckblatt!C9</f>
        <v>0</v>
      </c>
      <c r="F4" s="250" t="str">
        <f>Deckblatt!C17</f>
        <v>Soziokulturelle und Funktionale Qualität</v>
      </c>
      <c r="G4" s="120">
        <f>ROUNDDOWN(T153,3)</f>
        <v>0</v>
      </c>
      <c r="H4" s="44"/>
      <c r="I4" s="34"/>
      <c r="J4" s="453"/>
      <c r="K4" s="454"/>
      <c r="L4" s="510"/>
      <c r="M4" s="513"/>
      <c r="P4" s="426"/>
      <c r="Q4" s="427"/>
      <c r="R4" s="427"/>
      <c r="S4" s="427"/>
      <c r="T4" s="427"/>
      <c r="U4" s="428"/>
    </row>
    <row r="5" spans="2:21" ht="13.8" thickBot="1" x14ac:dyDescent="0.3"/>
    <row r="6" spans="2:21" ht="13.8" thickBot="1" x14ac:dyDescent="0.3">
      <c r="B6" s="429" t="str">
        <f>HLOOKUP(Deckblatt!$C$12,Language!G1:H102,41,FALSE)</f>
        <v>Legende:</v>
      </c>
      <c r="C6" s="430"/>
      <c r="D6" s="431"/>
      <c r="E6" s="45" t="str">
        <f>HLOOKUP(Deckblatt!$C$12,Language!G1:H102,42,FALSE)</f>
        <v>ist einzutragen</v>
      </c>
      <c r="F6" s="410" t="str">
        <f>HLOOKUP(Deckblatt!$C$12,Language!G1:H102,43,FALSE)</f>
        <v>wird autom. berechnet</v>
      </c>
      <c r="G6" s="411"/>
      <c r="H6" s="429" t="str">
        <f>HLOOKUP(Deckblatt!$C$12,Language!G1:H102,44,FALSE)</f>
        <v>Systemvorgaben</v>
      </c>
      <c r="I6" s="462"/>
      <c r="J6" s="463" t="str">
        <f>HLOOKUP(Deckblatt!$C$12,Language!G1:H102,45,FALSE)</f>
        <v>Zelle ohne Inhalt</v>
      </c>
      <c r="K6" s="464"/>
      <c r="L6" s="464"/>
      <c r="M6" s="465"/>
      <c r="N6" s="130" t="s">
        <v>1007</v>
      </c>
    </row>
    <row r="7" spans="2:21" ht="4.5" customHeight="1" x14ac:dyDescent="0.25">
      <c r="J7" s="17"/>
      <c r="K7" s="17"/>
      <c r="L7" s="17"/>
      <c r="M7" s="17"/>
      <c r="N7" s="17"/>
    </row>
    <row r="8" spans="2:21" ht="13.2" customHeight="1" x14ac:dyDescent="0.25">
      <c r="B8" s="419" t="s">
        <v>1830</v>
      </c>
      <c r="C8" s="419"/>
      <c r="D8" s="419"/>
      <c r="E8" s="419"/>
      <c r="F8" s="419"/>
      <c r="G8" s="419"/>
      <c r="H8" s="419"/>
      <c r="I8" s="419"/>
      <c r="J8" s="419"/>
      <c r="K8" s="419"/>
      <c r="L8" s="419"/>
      <c r="M8" s="419"/>
      <c r="N8" s="419"/>
    </row>
    <row r="9" spans="2:21" ht="4.5" customHeight="1" thickBot="1" x14ac:dyDescent="0.3">
      <c r="B9" s="187"/>
      <c r="C9" s="187"/>
      <c r="D9" s="187"/>
      <c r="E9" s="187"/>
      <c r="F9" s="187"/>
      <c r="G9" s="187"/>
      <c r="H9" s="187"/>
      <c r="I9" s="187"/>
      <c r="J9" s="187"/>
      <c r="K9" s="187"/>
      <c r="L9" s="187"/>
      <c r="M9" s="187"/>
      <c r="N9" s="187"/>
    </row>
    <row r="10" spans="2:21" ht="48" customHeight="1" x14ac:dyDescent="0.25">
      <c r="B10" s="404" t="str">
        <f>HLOOKUP(Deckblatt!$C$12,Language!G1:H102,47,FALSE)</f>
        <v>Nr</v>
      </c>
      <c r="C10" s="406" t="str">
        <f>HLOOKUP(Deckblatt!$C$12,Language!G1:H102,48,FALSE)</f>
        <v>Kriterium</v>
      </c>
      <c r="D10" s="406"/>
      <c r="E10" s="408" t="str">
        <f>HLOOKUP(Deckblatt!$C$12,Language!G1:H102,49,FALSE)</f>
        <v>Indikator</v>
      </c>
      <c r="F10" s="466" t="str">
        <f>HLOOKUP(Deckblatt!$C$12,Language!G1:H102,50,FALSE)</f>
        <v>Punkte
(Auditor)</v>
      </c>
      <c r="G10" s="406"/>
      <c r="H10" s="406"/>
      <c r="I10" s="442" t="str">
        <f>HLOOKUP(Deckblatt!$C$12,Language!G1:H102,54,FALSE)</f>
        <v>spezifischer
Bedeutungsfaktor</v>
      </c>
      <c r="J10" s="456" t="str">
        <f>HLOOKUP(Deckblatt!$C$12,Language!G1:H102,55,FALSE)</f>
        <v>Kommentar / Bemerkung
AUDITOR</v>
      </c>
      <c r="K10" s="457"/>
      <c r="L10" s="457"/>
      <c r="M10" s="457"/>
      <c r="N10" s="458"/>
      <c r="P10" s="440" t="s">
        <v>80</v>
      </c>
      <c r="Q10" s="432" t="s">
        <v>597</v>
      </c>
      <c r="R10" s="432" t="s">
        <v>45</v>
      </c>
      <c r="S10" s="432" t="s">
        <v>44</v>
      </c>
      <c r="T10" s="432" t="s">
        <v>46</v>
      </c>
      <c r="U10" s="470" t="s">
        <v>29</v>
      </c>
    </row>
    <row r="11" spans="2:21" ht="48" customHeight="1" thickBot="1" x14ac:dyDescent="0.3">
      <c r="B11" s="405"/>
      <c r="C11" s="407"/>
      <c r="D11" s="407"/>
      <c r="E11" s="409"/>
      <c r="F11" s="47" t="str">
        <f>HLOOKUP(Deckblatt!$C$12,Language!G1:H102,51,FALSE)</f>
        <v>IST-Punkte (Kriterium)</v>
      </c>
      <c r="G11" s="48" t="str">
        <f>HLOOKUP(Deckblatt!$C$12,Language!G1:H102,52,FALSE)</f>
        <v>IST-Punkte (Indikator)</v>
      </c>
      <c r="H11" s="48" t="str">
        <f>HLOOKUP(Deckblatt!$C$12,Language!G1:H102,53,FALSE)</f>
        <v>Max. Punkte</v>
      </c>
      <c r="I11" s="443"/>
      <c r="J11" s="459"/>
      <c r="K11" s="460"/>
      <c r="L11" s="460"/>
      <c r="M11" s="460"/>
      <c r="N11" s="461"/>
      <c r="P11" s="441"/>
      <c r="Q11" s="433"/>
      <c r="R11" s="433"/>
      <c r="S11" s="433"/>
      <c r="T11" s="433"/>
      <c r="U11" s="471"/>
    </row>
    <row r="12" spans="2:21" x14ac:dyDescent="0.25">
      <c r="B12" s="49" t="s">
        <v>52</v>
      </c>
      <c r="C12" s="438" t="str">
        <f>HLOOKUP(Deckblatt!$C$12,Language!$C$1:$D$730,2,FALSE)</f>
        <v>Ökobilanz</v>
      </c>
      <c r="D12" s="438"/>
      <c r="E12" s="439"/>
      <c r="F12" s="50">
        <f>Q12</f>
        <v>0</v>
      </c>
      <c r="G12" s="434"/>
      <c r="H12" s="51">
        <v>150</v>
      </c>
      <c r="I12" s="136">
        <v>8</v>
      </c>
      <c r="J12" s="435"/>
      <c r="K12" s="436"/>
      <c r="L12" s="436"/>
      <c r="M12" s="436"/>
      <c r="N12" s="437"/>
      <c r="P12" s="18">
        <f>IF(G12&gt;H12,H12,G12)</f>
        <v>0</v>
      </c>
      <c r="Q12" s="493">
        <f>IF(SUM(IF(P15+P16&gt;10,10,P15+P16),P19,P21)&gt;100,100+P24+P25+P26+P27,SUM(IF(P15+P16&gt;10,10,P15+P16),P19,P21,P24,P25,P26,P27))</f>
        <v>0</v>
      </c>
      <c r="R12" s="474">
        <f>Q12/100</f>
        <v>0</v>
      </c>
      <c r="S12" s="474">
        <v>0.2</v>
      </c>
      <c r="T12" s="343">
        <f>IF((R12*I12+R28*I28+R39*I39+R59*I59+R70*I70)/(I12+I28+I39+I59+I70)&gt;1,1,(R12*I12+R28*I28+R39*I39+R59*I59+R70*I70)/(I12+I28+I39+I59+I70))</f>
        <v>0</v>
      </c>
      <c r="U12" s="343">
        <f>(1/5*T12+1/5*T87+1/5*T153+1/5*T320+1/5*T426)</f>
        <v>0</v>
      </c>
    </row>
    <row r="13" spans="2:21" x14ac:dyDescent="0.25">
      <c r="B13" s="375"/>
      <c r="C13" s="351" t="s">
        <v>54</v>
      </c>
      <c r="D13" s="352" t="str">
        <f>HLOOKUP(Deckblatt!$C$12,Language!$C$1:$D$730,3,FALSE)</f>
        <v>Ökobilanz in der Planung</v>
      </c>
      <c r="E13" s="353"/>
      <c r="F13" s="514"/>
      <c r="G13" s="356"/>
      <c r="H13" s="21">
        <v>10</v>
      </c>
      <c r="I13" s="478"/>
      <c r="J13" s="340"/>
      <c r="K13" s="341"/>
      <c r="L13" s="341"/>
      <c r="M13" s="341"/>
      <c r="N13" s="342"/>
      <c r="P13" s="18">
        <f t="shared" ref="P13:P74" si="0">IF(G13&gt;H13,H13,G13)</f>
        <v>0</v>
      </c>
      <c r="Q13" s="493"/>
      <c r="R13" s="474"/>
      <c r="S13" s="474"/>
      <c r="T13" s="344"/>
      <c r="U13" s="475"/>
    </row>
    <row r="14" spans="2:21" x14ac:dyDescent="0.25">
      <c r="B14" s="375"/>
      <c r="C14" s="351"/>
      <c r="D14" s="361" t="s">
        <v>58</v>
      </c>
      <c r="E14" s="150" t="str">
        <f>HLOOKUP(Deckblatt!$C$12,Language!$C$1:$D$730,4,FALSE)</f>
        <v>Integration von Ökobilanzen in den Planungsprozess</v>
      </c>
      <c r="F14" s="514"/>
      <c r="G14" s="356"/>
      <c r="H14" s="21">
        <v>10</v>
      </c>
      <c r="I14" s="478"/>
      <c r="J14" s="340"/>
      <c r="K14" s="341"/>
      <c r="L14" s="341"/>
      <c r="M14" s="341"/>
      <c r="N14" s="342"/>
      <c r="P14" s="18">
        <f t="shared" si="0"/>
        <v>0</v>
      </c>
      <c r="Q14" s="493"/>
      <c r="R14" s="474"/>
      <c r="S14" s="474"/>
      <c r="T14" s="344"/>
      <c r="U14" s="475"/>
    </row>
    <row r="15" spans="2:21" ht="39.6" x14ac:dyDescent="0.25">
      <c r="B15" s="375"/>
      <c r="C15" s="351"/>
      <c r="D15" s="361"/>
      <c r="E15" s="188" t="str">
        <f>HLOOKUP(Deckblatt!$C$12,Language!$C$1:$D$730,5,FALSE)</f>
        <v xml:space="preserve">In der frühen Planungsphase: Pro analysiertem Handlungsfeld können 2 Punkte vergeben werden.
</v>
      </c>
      <c r="F15" s="514"/>
      <c r="G15" s="69"/>
      <c r="H15" s="18">
        <v>6</v>
      </c>
      <c r="I15" s="478"/>
      <c r="J15" s="340"/>
      <c r="K15" s="341"/>
      <c r="L15" s="341"/>
      <c r="M15" s="341"/>
      <c r="N15" s="342"/>
      <c r="P15" s="18">
        <f t="shared" si="0"/>
        <v>0</v>
      </c>
      <c r="Q15" s="493"/>
      <c r="R15" s="474"/>
      <c r="S15" s="474"/>
      <c r="T15" s="344"/>
      <c r="U15" s="475"/>
    </row>
    <row r="16" spans="2:21" ht="39.6" x14ac:dyDescent="0.25">
      <c r="B16" s="375"/>
      <c r="C16" s="351"/>
      <c r="D16" s="361"/>
      <c r="E16" s="188" t="str">
        <f>HLOOKUP(Deckblatt!$C$12,Language!$C$1:$D$730,6,FALSE)</f>
        <v xml:space="preserve">Ökobilanziellen Auswirkungen von Planungsänderungen planungsbegleitend
</v>
      </c>
      <c r="F16" s="514"/>
      <c r="G16" s="69"/>
      <c r="H16" s="18">
        <v>4</v>
      </c>
      <c r="I16" s="478"/>
      <c r="J16" s="340"/>
      <c r="K16" s="341"/>
      <c r="L16" s="341"/>
      <c r="M16" s="341"/>
      <c r="N16" s="342"/>
      <c r="P16" s="18">
        <f t="shared" si="0"/>
        <v>0</v>
      </c>
      <c r="Q16" s="493"/>
      <c r="R16" s="474"/>
      <c r="S16" s="474"/>
      <c r="T16" s="344"/>
      <c r="U16" s="475"/>
    </row>
    <row r="17" spans="2:21" x14ac:dyDescent="0.25">
      <c r="B17" s="375"/>
      <c r="C17" s="359" t="s">
        <v>61</v>
      </c>
      <c r="D17" s="352" t="str">
        <f>HLOOKUP(Deckblatt!$C$12,Language!$C$1:$D$730,7,FALSE)</f>
        <v>Ökobilanz-Optimierung</v>
      </c>
      <c r="E17" s="353"/>
      <c r="F17" s="514"/>
      <c r="G17" s="113"/>
      <c r="H17" s="21">
        <v>10</v>
      </c>
      <c r="I17" s="478"/>
      <c r="J17" s="340"/>
      <c r="K17" s="341"/>
      <c r="L17" s="341"/>
      <c r="M17" s="341"/>
      <c r="N17" s="342"/>
      <c r="P17" s="18">
        <f t="shared" si="0"/>
        <v>0</v>
      </c>
      <c r="Q17" s="493"/>
      <c r="R17" s="474"/>
      <c r="S17" s="474"/>
      <c r="T17" s="344"/>
      <c r="U17" s="475"/>
    </row>
    <row r="18" spans="2:21" x14ac:dyDescent="0.25">
      <c r="B18" s="375"/>
      <c r="C18" s="390"/>
      <c r="D18" s="398" t="s">
        <v>63</v>
      </c>
      <c r="E18" s="150" t="str">
        <f>HLOOKUP(Deckblatt!$C$12,Language!$C$1:$D$730,8,FALSE)</f>
        <v>Planungsbegleitende Ökobilanz-Optimierung</v>
      </c>
      <c r="F18" s="514"/>
      <c r="G18" s="113"/>
      <c r="H18" s="21">
        <v>10</v>
      </c>
      <c r="I18" s="478"/>
      <c r="J18" s="340"/>
      <c r="K18" s="341"/>
      <c r="L18" s="341"/>
      <c r="M18" s="341"/>
      <c r="N18" s="342"/>
      <c r="P18" s="18">
        <f t="shared" si="0"/>
        <v>0</v>
      </c>
      <c r="Q18" s="493"/>
      <c r="R18" s="474"/>
      <c r="S18" s="474"/>
      <c r="T18" s="344"/>
      <c r="U18" s="475"/>
    </row>
    <row r="19" spans="2:21" ht="39.6" x14ac:dyDescent="0.25">
      <c r="B19" s="375"/>
      <c r="C19" s="390"/>
      <c r="D19" s="414"/>
      <c r="E19" s="188" t="str">
        <f>HLOOKUP(Deckblatt!$C$12,Language!$C$1:$D$730,9,FALSE)</f>
        <v>- Umfassende Betrachtung  (10 Punkte)
ODER
- Teilbetrachtung (5 Punkte)</v>
      </c>
      <c r="F19" s="514"/>
      <c r="G19" s="69"/>
      <c r="H19" s="18">
        <v>10</v>
      </c>
      <c r="I19" s="478"/>
      <c r="J19" s="340"/>
      <c r="K19" s="341"/>
      <c r="L19" s="341"/>
      <c r="M19" s="341"/>
      <c r="N19" s="342"/>
      <c r="P19" s="18">
        <f t="shared" si="0"/>
        <v>0</v>
      </c>
      <c r="Q19" s="493"/>
      <c r="R19" s="474"/>
      <c r="S19" s="474"/>
      <c r="T19" s="344"/>
      <c r="U19" s="475"/>
    </row>
    <row r="20" spans="2:21" x14ac:dyDescent="0.25">
      <c r="B20" s="375"/>
      <c r="C20" s="359" t="s">
        <v>64</v>
      </c>
      <c r="D20" s="352" t="str">
        <f>HLOOKUP(Deckblatt!$C$12,Language!$C$1:$D$730,10,FALSE)</f>
        <v>Ökobilanz Vergleichsrechnung</v>
      </c>
      <c r="E20" s="353"/>
      <c r="F20" s="514"/>
      <c r="G20" s="113"/>
      <c r="H20" s="21">
        <v>100</v>
      </c>
      <c r="I20" s="478"/>
      <c r="J20" s="340"/>
      <c r="K20" s="341"/>
      <c r="L20" s="341"/>
      <c r="M20" s="341"/>
      <c r="N20" s="342"/>
      <c r="P20" s="18">
        <f t="shared" si="0"/>
        <v>0</v>
      </c>
      <c r="Q20" s="493"/>
      <c r="R20" s="474"/>
      <c r="S20" s="474"/>
      <c r="T20" s="344"/>
      <c r="U20" s="475"/>
    </row>
    <row r="21" spans="2:21" ht="31.5" customHeight="1" x14ac:dyDescent="0.25">
      <c r="B21" s="375"/>
      <c r="C21" s="390"/>
      <c r="D21" s="71" t="s">
        <v>66</v>
      </c>
      <c r="E21" s="150" t="str">
        <f>HLOOKUP(Deckblatt!$C$12,Language!$C$1:$D$730,11,FALSE)</f>
        <v xml:space="preserve">Gewichtete Umweltwirkungen: gesamtes Quartier
</v>
      </c>
      <c r="F21" s="514"/>
      <c r="G21" s="69"/>
      <c r="H21" s="18">
        <v>100</v>
      </c>
      <c r="I21" s="478"/>
      <c r="J21" s="340"/>
      <c r="K21" s="341"/>
      <c r="L21" s="341"/>
      <c r="M21" s="341"/>
      <c r="N21" s="342"/>
      <c r="P21" s="18">
        <f t="shared" si="0"/>
        <v>0</v>
      </c>
      <c r="Q21" s="493"/>
      <c r="R21" s="474"/>
      <c r="S21" s="474"/>
      <c r="T21" s="344"/>
      <c r="U21" s="475"/>
    </row>
    <row r="22" spans="2:21" x14ac:dyDescent="0.25">
      <c r="B22" s="375"/>
      <c r="C22" s="351" t="s">
        <v>67</v>
      </c>
      <c r="D22" s="412" t="str">
        <f>HLOOKUP(Deckblatt!$C$12,Language!$C$1:$D$730,14,FALSE)</f>
        <v>AGENDA 2030 BONUS - KLIMASCHUTZZIELE</v>
      </c>
      <c r="E22" s="413"/>
      <c r="F22" s="514"/>
      <c r="G22" s="356"/>
      <c r="H22" s="21">
        <v>50</v>
      </c>
      <c r="I22" s="478"/>
      <c r="J22" s="340"/>
      <c r="K22" s="341"/>
      <c r="L22" s="341"/>
      <c r="M22" s="341"/>
      <c r="N22" s="342"/>
      <c r="P22" s="18">
        <f t="shared" si="0"/>
        <v>0</v>
      </c>
      <c r="Q22" s="493"/>
      <c r="R22" s="474"/>
      <c r="S22" s="474"/>
      <c r="T22" s="344"/>
      <c r="U22" s="475"/>
    </row>
    <row r="23" spans="2:21" x14ac:dyDescent="0.25">
      <c r="B23" s="375"/>
      <c r="C23" s="351"/>
      <c r="D23" s="398" t="s">
        <v>69</v>
      </c>
      <c r="E23" s="53" t="str">
        <f>HLOOKUP(Deckblatt!$C$12,Language!$C$1:$D$730,15,FALSE)</f>
        <v>Ambitionen zum Erreichen von Klimaneutralität</v>
      </c>
      <c r="F23" s="514"/>
      <c r="G23" s="356"/>
      <c r="H23" s="21">
        <v>48</v>
      </c>
      <c r="I23" s="478"/>
      <c r="J23" s="340"/>
      <c r="K23" s="341"/>
      <c r="L23" s="341"/>
      <c r="M23" s="341"/>
      <c r="N23" s="342"/>
      <c r="P23" s="18">
        <f t="shared" si="0"/>
        <v>0</v>
      </c>
      <c r="Q23" s="493"/>
      <c r="R23" s="474"/>
      <c r="S23" s="474"/>
      <c r="T23" s="344"/>
      <c r="U23" s="475"/>
    </row>
    <row r="24" spans="2:21" ht="26.4" x14ac:dyDescent="0.25">
      <c r="B24" s="375"/>
      <c r="C24" s="351"/>
      <c r="D24" s="414"/>
      <c r="E24" s="134" t="str">
        <f>HLOOKUP(Deckblatt!$C$12,Language!$C$1:$D$730,16,FALSE)</f>
        <v xml:space="preserve">Klimaneutraler Energiebedarf
</v>
      </c>
      <c r="F24" s="514"/>
      <c r="G24" s="69"/>
      <c r="H24" s="18">
        <v>24</v>
      </c>
      <c r="I24" s="478"/>
      <c r="J24" s="340"/>
      <c r="K24" s="341"/>
      <c r="L24" s="341"/>
      <c r="M24" s="341"/>
      <c r="N24" s="342"/>
      <c r="P24" s="18">
        <f t="shared" si="0"/>
        <v>0</v>
      </c>
      <c r="Q24" s="493"/>
      <c r="R24" s="474"/>
      <c r="S24" s="474"/>
      <c r="T24" s="344"/>
      <c r="U24" s="475"/>
    </row>
    <row r="25" spans="2:21" ht="26.4" x14ac:dyDescent="0.25">
      <c r="B25" s="375"/>
      <c r="C25" s="351"/>
      <c r="D25" s="414"/>
      <c r="E25" s="134" t="str">
        <f>HLOOKUP(Deckblatt!$C$12,Language!$C$1:$D$730,17,FALSE)</f>
        <v xml:space="preserve">Klimaneutraler Energiebedarf Nutzer
</v>
      </c>
      <c r="F25" s="514"/>
      <c r="G25" s="69"/>
      <c r="H25" s="18">
        <v>14</v>
      </c>
      <c r="I25" s="478"/>
      <c r="J25" s="340"/>
      <c r="K25" s="341"/>
      <c r="L25" s="341"/>
      <c r="M25" s="341"/>
      <c r="N25" s="342"/>
      <c r="P25" s="18">
        <f t="shared" si="0"/>
        <v>0</v>
      </c>
      <c r="Q25" s="493"/>
      <c r="R25" s="474"/>
      <c r="S25" s="474"/>
      <c r="T25" s="344"/>
      <c r="U25" s="475"/>
    </row>
    <row r="26" spans="2:21" x14ac:dyDescent="0.25">
      <c r="B26" s="375"/>
      <c r="C26" s="351"/>
      <c r="D26" s="399"/>
      <c r="E26" s="134" t="str">
        <f>HLOOKUP(Deckblatt!$C$12,Language!$E$1:$F$730,17,FALSE)</f>
        <v>Klimaneutraler Energiebedarf Mobilität MIV (Motorisierter Individualverkehr)</v>
      </c>
      <c r="F26" s="514"/>
      <c r="G26" s="69"/>
      <c r="H26" s="18">
        <v>10</v>
      </c>
      <c r="I26" s="478"/>
      <c r="J26" s="340"/>
      <c r="K26" s="341"/>
      <c r="L26" s="341"/>
      <c r="M26" s="341"/>
      <c r="N26" s="342"/>
      <c r="P26" s="18">
        <f t="shared" si="0"/>
        <v>0</v>
      </c>
      <c r="Q26" s="493"/>
      <c r="R26" s="474"/>
      <c r="S26" s="474"/>
      <c r="T26" s="344"/>
      <c r="U26" s="475"/>
    </row>
    <row r="27" spans="2:21" ht="36" customHeight="1" x14ac:dyDescent="0.25">
      <c r="B27" s="375"/>
      <c r="C27" s="351"/>
      <c r="D27" s="71" t="s">
        <v>78</v>
      </c>
      <c r="E27" s="54" t="str">
        <f>HLOOKUP(Deckblatt!$C$12,Language!$C$1:$D$730,18,FALSE)</f>
        <v xml:space="preserve">Halogenierte Kohlenwasserstoffe in Kältemitteln
Keine Nutzung von Kältemitteln mit einem GWP-Faktor ≥ 150 kg CO2-Äq.
</v>
      </c>
      <c r="F27" s="514"/>
      <c r="G27" s="69"/>
      <c r="H27" s="18">
        <v>2</v>
      </c>
      <c r="I27" s="478"/>
      <c r="J27" s="340"/>
      <c r="K27" s="341"/>
      <c r="L27" s="341"/>
      <c r="M27" s="341"/>
      <c r="N27" s="342"/>
      <c r="P27" s="18">
        <f t="shared" si="0"/>
        <v>0</v>
      </c>
      <c r="Q27" s="493"/>
      <c r="R27" s="474"/>
      <c r="S27" s="474"/>
      <c r="T27" s="344"/>
      <c r="U27" s="475"/>
    </row>
    <row r="28" spans="2:21" x14ac:dyDescent="0.25">
      <c r="B28" s="55" t="s">
        <v>81</v>
      </c>
      <c r="C28" s="354" t="str">
        <f>HLOOKUP(Deckblatt!$C$12,Language!$C$1:$D$730,33,FALSE)</f>
        <v>Stadtklima – Mesoklima</v>
      </c>
      <c r="D28" s="354"/>
      <c r="E28" s="355"/>
      <c r="F28" s="56">
        <f>Q28</f>
        <v>0</v>
      </c>
      <c r="G28" s="356"/>
      <c r="H28" s="21">
        <v>120</v>
      </c>
      <c r="I28" s="177">
        <v>5</v>
      </c>
      <c r="J28" s="340"/>
      <c r="K28" s="341"/>
      <c r="L28" s="341"/>
      <c r="M28" s="341"/>
      <c r="N28" s="342"/>
      <c r="P28" s="18">
        <f t="shared" si="0"/>
        <v>0</v>
      </c>
      <c r="Q28" s="337">
        <f>SUM(P30,IF(P32+P33&gt;40,40,P32+P33),P35,P36,P38)</f>
        <v>0</v>
      </c>
      <c r="R28" s="474">
        <f>Q28/100</f>
        <v>0</v>
      </c>
      <c r="S28" s="474"/>
      <c r="T28" s="344"/>
      <c r="U28" s="475"/>
    </row>
    <row r="29" spans="2:21" x14ac:dyDescent="0.25">
      <c r="B29" s="375"/>
      <c r="C29" s="351" t="s">
        <v>54</v>
      </c>
      <c r="D29" s="352" t="str">
        <f>HLOOKUP(Deckblatt!$C$12,Language!$C$1:$D$730,34,FALSE)</f>
        <v>Stadtklimatische Analyse des Quartiers</v>
      </c>
      <c r="E29" s="353"/>
      <c r="F29" s="477"/>
      <c r="G29" s="356"/>
      <c r="H29" s="21">
        <v>30</v>
      </c>
      <c r="I29" s="478"/>
      <c r="J29" s="340"/>
      <c r="K29" s="341"/>
      <c r="L29" s="341"/>
      <c r="M29" s="341"/>
      <c r="N29" s="342"/>
      <c r="P29" s="18">
        <f t="shared" si="0"/>
        <v>0</v>
      </c>
      <c r="Q29" s="338"/>
      <c r="R29" s="474"/>
      <c r="S29" s="474"/>
      <c r="T29" s="344"/>
      <c r="U29" s="475"/>
    </row>
    <row r="30" spans="2:21" ht="105.6" x14ac:dyDescent="0.25">
      <c r="B30" s="375"/>
      <c r="C30" s="351"/>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77"/>
      <c r="G30" s="69"/>
      <c r="H30" s="18">
        <v>30</v>
      </c>
      <c r="I30" s="478"/>
      <c r="J30" s="340"/>
      <c r="K30" s="341"/>
      <c r="L30" s="341"/>
      <c r="M30" s="341"/>
      <c r="N30" s="342"/>
      <c r="P30" s="18">
        <f t="shared" si="0"/>
        <v>0</v>
      </c>
      <c r="Q30" s="338"/>
      <c r="R30" s="474"/>
      <c r="S30" s="474"/>
      <c r="T30" s="344"/>
      <c r="U30" s="475"/>
    </row>
    <row r="31" spans="2:21" x14ac:dyDescent="0.25">
      <c r="B31" s="375"/>
      <c r="C31" s="351" t="s">
        <v>61</v>
      </c>
      <c r="D31" s="352" t="str">
        <f>HLOOKUP(Deckblatt!$C$12,Language!$C$1:$D$730,36,FALSE)</f>
        <v>Thermische Qualität der Quartiersoberflächen / Werksoberflächen</v>
      </c>
      <c r="E31" s="353"/>
      <c r="F31" s="477"/>
      <c r="G31" s="117"/>
      <c r="H31" s="21">
        <v>40</v>
      </c>
      <c r="I31" s="478"/>
      <c r="J31" s="340"/>
      <c r="K31" s="341"/>
      <c r="L31" s="341"/>
      <c r="M31" s="341"/>
      <c r="N31" s="342"/>
      <c r="P31" s="18">
        <f t="shared" si="0"/>
        <v>0</v>
      </c>
      <c r="Q31" s="338"/>
      <c r="R31" s="474"/>
      <c r="S31" s="474"/>
      <c r="T31" s="344"/>
      <c r="U31" s="475"/>
    </row>
    <row r="32" spans="2:21" ht="26.4" x14ac:dyDescent="0.25">
      <c r="B32" s="375"/>
      <c r="C32" s="351"/>
      <c r="D32" s="71" t="s">
        <v>63</v>
      </c>
      <c r="E32" s="150" t="str">
        <f>HLOOKUP(Deckblatt!$C$12,Language!$C$1:$D$730,37,FALSE)</f>
        <v xml:space="preserve">Stadtklimafaktor Stadtquartiere
</v>
      </c>
      <c r="F32" s="477"/>
      <c r="G32" s="69"/>
      <c r="H32" s="18">
        <v>40</v>
      </c>
      <c r="I32" s="478"/>
      <c r="J32" s="340"/>
      <c r="K32" s="341"/>
      <c r="L32" s="341"/>
      <c r="M32" s="341"/>
      <c r="N32" s="342"/>
      <c r="P32" s="18">
        <f t="shared" si="0"/>
        <v>0</v>
      </c>
      <c r="Q32" s="338"/>
      <c r="R32" s="474"/>
      <c r="S32" s="474"/>
      <c r="T32" s="344"/>
      <c r="U32" s="475"/>
    </row>
    <row r="33" spans="2:21" ht="39.6" x14ac:dyDescent="0.25">
      <c r="B33" s="375"/>
      <c r="C33" s="351"/>
      <c r="D33" s="71" t="s">
        <v>173</v>
      </c>
      <c r="E33" s="134" t="str">
        <f>HLOOKUP(Deckblatt!$C$12,Language!$C$1:$D$730,38,FALSE)</f>
        <v xml:space="preserve">ALTERNATIVE zu 2.1.: Es kann ein Gutachten mit Modellierung der mittleren  Strahlungstemperatur eingesetzt werden.
</v>
      </c>
      <c r="F33" s="477"/>
      <c r="G33" s="69"/>
      <c r="H33" s="18">
        <v>40</v>
      </c>
      <c r="I33" s="478"/>
      <c r="J33" s="340"/>
      <c r="K33" s="341"/>
      <c r="L33" s="341"/>
      <c r="M33" s="341"/>
      <c r="N33" s="342"/>
      <c r="P33" s="18">
        <f t="shared" si="0"/>
        <v>0</v>
      </c>
      <c r="Q33" s="338"/>
      <c r="R33" s="474"/>
      <c r="S33" s="474"/>
      <c r="T33" s="344"/>
      <c r="U33" s="475"/>
    </row>
    <row r="34" spans="2:21" x14ac:dyDescent="0.25">
      <c r="B34" s="375"/>
      <c r="C34" s="351" t="s">
        <v>64</v>
      </c>
      <c r="D34" s="352" t="str">
        <f>HLOOKUP(Deckblatt!$C$12,Language!$C$1:$D$730,41,FALSE)</f>
        <v>Belüftung</v>
      </c>
      <c r="E34" s="353"/>
      <c r="F34" s="477"/>
      <c r="G34" s="117"/>
      <c r="H34" s="21">
        <v>30</v>
      </c>
      <c r="I34" s="478"/>
      <c r="J34" s="340"/>
      <c r="K34" s="341"/>
      <c r="L34" s="341"/>
      <c r="M34" s="341"/>
      <c r="N34" s="342"/>
      <c r="P34" s="18">
        <f t="shared" si="0"/>
        <v>0</v>
      </c>
      <c r="Q34" s="338"/>
      <c r="R34" s="474"/>
      <c r="S34" s="474"/>
      <c r="T34" s="344"/>
      <c r="U34" s="475"/>
    </row>
    <row r="35" spans="2:21" ht="26.4" x14ac:dyDescent="0.25">
      <c r="B35" s="375"/>
      <c r="C35" s="351"/>
      <c r="D35" s="57" t="s">
        <v>66</v>
      </c>
      <c r="E35" s="150" t="str">
        <f>HLOOKUP(Deckblatt!$C$12,Language!$C$1:$D$730,42,FALSE)</f>
        <v xml:space="preserve">Berücksichtigung des Belüftungspotentials
</v>
      </c>
      <c r="F35" s="477"/>
      <c r="G35" s="69"/>
      <c r="H35" s="18">
        <v>15</v>
      </c>
      <c r="I35" s="478"/>
      <c r="J35" s="340"/>
      <c r="K35" s="341"/>
      <c r="L35" s="341"/>
      <c r="M35" s="341"/>
      <c r="N35" s="342"/>
      <c r="P35" s="18">
        <f t="shared" si="0"/>
        <v>0</v>
      </c>
      <c r="Q35" s="338"/>
      <c r="R35" s="474"/>
      <c r="S35" s="474"/>
      <c r="T35" s="344"/>
      <c r="U35" s="475"/>
    </row>
    <row r="36" spans="2:21" ht="26.4" x14ac:dyDescent="0.25">
      <c r="B36" s="375"/>
      <c r="C36" s="351"/>
      <c r="D36" s="71" t="s">
        <v>188</v>
      </c>
      <c r="E36" s="150" t="str">
        <f>HLOOKUP(Deckblatt!$C$12,Language!$C$1:$D$730,43,FALSE)</f>
        <v xml:space="preserve">Gutachten zum Belüftungspotential
</v>
      </c>
      <c r="F36" s="477"/>
      <c r="G36" s="69"/>
      <c r="H36" s="18">
        <v>15</v>
      </c>
      <c r="I36" s="478"/>
      <c r="J36" s="340"/>
      <c r="K36" s="341"/>
      <c r="L36" s="341"/>
      <c r="M36" s="341"/>
      <c r="N36" s="342"/>
      <c r="P36" s="18">
        <f t="shared" si="0"/>
        <v>0</v>
      </c>
      <c r="Q36" s="338"/>
      <c r="R36" s="474"/>
      <c r="S36" s="474"/>
      <c r="T36" s="344"/>
      <c r="U36" s="475"/>
    </row>
    <row r="37" spans="2:21" ht="67.95" customHeight="1" x14ac:dyDescent="0.25">
      <c r="B37" s="375"/>
      <c r="C37" s="351" t="s">
        <v>67</v>
      </c>
      <c r="D37" s="472"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473"/>
      <c r="F37" s="477"/>
      <c r="G37" s="117"/>
      <c r="H37" s="21">
        <v>20</v>
      </c>
      <c r="I37" s="478"/>
      <c r="J37" s="340"/>
      <c r="K37" s="341"/>
      <c r="L37" s="341"/>
      <c r="M37" s="341"/>
      <c r="N37" s="342"/>
      <c r="P37" s="18">
        <f t="shared" si="0"/>
        <v>0</v>
      </c>
      <c r="Q37" s="338"/>
      <c r="R37" s="474"/>
      <c r="S37" s="474"/>
      <c r="T37" s="344"/>
      <c r="U37" s="475"/>
    </row>
    <row r="38" spans="2:21" ht="110.4" customHeight="1" x14ac:dyDescent="0.25">
      <c r="B38" s="375"/>
      <c r="C38" s="351"/>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77"/>
      <c r="G38" s="69"/>
      <c r="H38" s="18">
        <v>20</v>
      </c>
      <c r="I38" s="478"/>
      <c r="J38" s="340"/>
      <c r="K38" s="341"/>
      <c r="L38" s="341"/>
      <c r="M38" s="341"/>
      <c r="N38" s="342"/>
      <c r="P38" s="18">
        <f t="shared" si="0"/>
        <v>0</v>
      </c>
      <c r="Q38" s="339"/>
      <c r="R38" s="474"/>
      <c r="S38" s="474"/>
      <c r="T38" s="344"/>
      <c r="U38" s="475"/>
    </row>
    <row r="39" spans="2:21" x14ac:dyDescent="0.25">
      <c r="B39" s="55" t="s">
        <v>113</v>
      </c>
      <c r="C39" s="354" t="str">
        <f>HLOOKUP(Deckblatt!$C$12,Language!$C$1:$D$730,46,FALSE)</f>
        <v>Wasserkreislaufsysteme</v>
      </c>
      <c r="D39" s="354"/>
      <c r="E39" s="355"/>
      <c r="F39" s="56">
        <f>Q39</f>
        <v>0</v>
      </c>
      <c r="G39" s="362"/>
      <c r="H39" s="21">
        <v>110</v>
      </c>
      <c r="I39" s="176">
        <v>4</v>
      </c>
      <c r="J39" s="340"/>
      <c r="K39" s="341"/>
      <c r="L39" s="341"/>
      <c r="M39" s="341"/>
      <c r="N39" s="342"/>
      <c r="P39" s="18">
        <f t="shared" si="0"/>
        <v>0</v>
      </c>
      <c r="Q39" s="337">
        <f>SUM(P41,P43:P46,P48:P49,P51,IF(P54+P55&gt;20,20,P54+P55),P58)</f>
        <v>0</v>
      </c>
      <c r="R39" s="343">
        <f>Q39/100</f>
        <v>0</v>
      </c>
      <c r="S39" s="474"/>
      <c r="T39" s="344"/>
      <c r="U39" s="475"/>
    </row>
    <row r="40" spans="2:21" x14ac:dyDescent="0.25">
      <c r="B40" s="345"/>
      <c r="C40" s="369" t="s">
        <v>54</v>
      </c>
      <c r="D40" s="352" t="str">
        <f>HLOOKUP(Deckblatt!$C$12,Language!$C$1:$D$730,47,FALSE)</f>
        <v>Reduzierung des Trinkwasserverbrauchs</v>
      </c>
      <c r="E40" s="353"/>
      <c r="F40" s="347"/>
      <c r="G40" s="362"/>
      <c r="H40" s="21">
        <v>45</v>
      </c>
      <c r="I40" s="349"/>
      <c r="J40" s="340"/>
      <c r="K40" s="341"/>
      <c r="L40" s="341"/>
      <c r="M40" s="341"/>
      <c r="N40" s="342"/>
      <c r="P40" s="18">
        <f t="shared" si="0"/>
        <v>0</v>
      </c>
      <c r="Q40" s="338"/>
      <c r="R40" s="344"/>
      <c r="S40" s="474"/>
      <c r="T40" s="344"/>
      <c r="U40" s="475"/>
    </row>
    <row r="41" spans="2:21" ht="26.4" x14ac:dyDescent="0.25">
      <c r="B41" s="346"/>
      <c r="C41" s="480"/>
      <c r="D41" s="71" t="s">
        <v>58</v>
      </c>
      <c r="E41" s="150" t="str">
        <f>HLOOKUP(Deckblatt!$C$12,Language!$C$1:$D$730,48,FALSE)</f>
        <v xml:space="preserve">Wassernutzungskonzept
</v>
      </c>
      <c r="F41" s="348"/>
      <c r="G41" s="69"/>
      <c r="H41" s="18">
        <v>5</v>
      </c>
      <c r="I41" s="350"/>
      <c r="J41" s="340"/>
      <c r="K41" s="341"/>
      <c r="L41" s="341"/>
      <c r="M41" s="341"/>
      <c r="N41" s="342"/>
      <c r="P41" s="18">
        <f t="shared" si="0"/>
        <v>0</v>
      </c>
      <c r="Q41" s="338"/>
      <c r="R41" s="344"/>
      <c r="S41" s="474"/>
      <c r="T41" s="344"/>
      <c r="U41" s="475"/>
    </row>
    <row r="42" spans="2:21" x14ac:dyDescent="0.25">
      <c r="B42" s="346"/>
      <c r="C42" s="480"/>
      <c r="D42" s="481" t="s">
        <v>181</v>
      </c>
      <c r="E42" s="150" t="str">
        <f>HLOOKUP(Deckblatt!$C$12,Language!$C$1:$D$730,49,FALSE)</f>
        <v>Maßnahmen zur Reduktion des Trinkwasserverbrauchs</v>
      </c>
      <c r="F42" s="348"/>
      <c r="G42" s="117"/>
      <c r="H42" s="21">
        <v>30</v>
      </c>
      <c r="I42" s="350"/>
      <c r="J42" s="340"/>
      <c r="K42" s="341"/>
      <c r="L42" s="341"/>
      <c r="M42" s="341"/>
      <c r="N42" s="342"/>
      <c r="P42" s="18">
        <f t="shared" si="0"/>
        <v>0</v>
      </c>
      <c r="Q42" s="338"/>
      <c r="R42" s="344"/>
      <c r="S42" s="474"/>
      <c r="T42" s="344"/>
      <c r="U42" s="475"/>
    </row>
    <row r="43" spans="2:21" ht="52.8" x14ac:dyDescent="0.25">
      <c r="B43" s="346"/>
      <c r="C43" s="480"/>
      <c r="D43" s="481"/>
      <c r="E43" s="134" t="str">
        <f>HLOOKUP(Deckblatt!$C$12,Language!$C$1:$D$730,50,FALSE)</f>
        <v xml:space="preserve">Maßnahme die den Trinkwasserbedarf im Quartier (Gebäude + Freiraum) reduzieren sind umgesetzt und in einem übergeordneten Konzept dargestellt. 
</v>
      </c>
      <c r="F43" s="348"/>
      <c r="G43" s="69"/>
      <c r="H43" s="18">
        <v>5</v>
      </c>
      <c r="I43" s="350"/>
      <c r="J43" s="340"/>
      <c r="K43" s="341"/>
      <c r="L43" s="341"/>
      <c r="M43" s="341"/>
      <c r="N43" s="342"/>
      <c r="P43" s="18">
        <f t="shared" si="0"/>
        <v>0</v>
      </c>
      <c r="Q43" s="338"/>
      <c r="R43" s="344"/>
      <c r="S43" s="474"/>
      <c r="T43" s="344"/>
      <c r="U43" s="475"/>
    </row>
    <row r="44" spans="2:21" ht="26.4" x14ac:dyDescent="0.25">
      <c r="B44" s="346"/>
      <c r="C44" s="480"/>
      <c r="D44" s="481"/>
      <c r="E44" s="134" t="str">
        <f>HLOOKUP(Deckblatt!$C$12,Language!$C$1:$D$730,51,FALSE)</f>
        <v xml:space="preserve">Regelmäßige Information an die Nutzer des Quartiers
</v>
      </c>
      <c r="F44" s="348"/>
      <c r="G44" s="69"/>
      <c r="H44" s="18">
        <v>5</v>
      </c>
      <c r="I44" s="350"/>
      <c r="J44" s="340"/>
      <c r="K44" s="341"/>
      <c r="L44" s="341"/>
      <c r="M44" s="341"/>
      <c r="N44" s="342"/>
      <c r="P44" s="18">
        <f t="shared" si="0"/>
        <v>0</v>
      </c>
      <c r="Q44" s="338"/>
      <c r="R44" s="344"/>
      <c r="S44" s="474"/>
      <c r="T44" s="344"/>
      <c r="U44" s="475"/>
    </row>
    <row r="45" spans="2:21" ht="39.6" x14ac:dyDescent="0.25">
      <c r="B45" s="346"/>
      <c r="C45" s="480"/>
      <c r="D45" s="481"/>
      <c r="E45" s="134" t="str">
        <f>HLOOKUP(Deckblatt!$C$12,Language!$C$1:$D$730,52,FALSE)</f>
        <v xml:space="preserve">Max. 20% des Wasserbedarfs der WCs im Quartier werden über Trinkwasser versorgt. 
</v>
      </c>
      <c r="F45" s="348"/>
      <c r="G45" s="69"/>
      <c r="H45" s="18">
        <v>15</v>
      </c>
      <c r="I45" s="350"/>
      <c r="J45" s="340"/>
      <c r="K45" s="341"/>
      <c r="L45" s="341"/>
      <c r="M45" s="341"/>
      <c r="N45" s="342"/>
      <c r="P45" s="18">
        <f t="shared" si="0"/>
        <v>0</v>
      </c>
      <c r="Q45" s="338"/>
      <c r="R45" s="344"/>
      <c r="S45" s="474"/>
      <c r="T45" s="344"/>
      <c r="U45" s="475"/>
    </row>
    <row r="46" spans="2:21" ht="39.6" x14ac:dyDescent="0.25">
      <c r="B46" s="346"/>
      <c r="C46" s="480"/>
      <c r="D46" s="481"/>
      <c r="E46" s="134" t="str">
        <f>HLOOKUP(Deckblatt!$C$12,Language!$C$1:$D$730,53,FALSE)</f>
        <v xml:space="preserve">Nutzung von Regen- bzw. Betriebswasser* bei 100 % der öffentlichen Freiflächen 
</v>
      </c>
      <c r="F46" s="348"/>
      <c r="G46" s="69"/>
      <c r="H46" s="18">
        <v>5</v>
      </c>
      <c r="I46" s="350"/>
      <c r="J46" s="340"/>
      <c r="K46" s="341"/>
      <c r="L46" s="341"/>
      <c r="M46" s="341"/>
      <c r="N46" s="342"/>
      <c r="P46" s="18">
        <f t="shared" si="0"/>
        <v>0</v>
      </c>
      <c r="Q46" s="338"/>
      <c r="R46" s="344"/>
      <c r="S46" s="474"/>
      <c r="T46" s="344"/>
      <c r="U46" s="475"/>
    </row>
    <row r="47" spans="2:21" ht="39.6" x14ac:dyDescent="0.25">
      <c r="B47" s="346"/>
      <c r="C47" s="480"/>
      <c r="D47" s="361" t="s">
        <v>121</v>
      </c>
      <c r="E47" s="68" t="str">
        <f>HLOOKUP(Deckblatt!$C$12,Language!$C$1:$D$730,58,FALSE)</f>
        <v xml:space="preserve">CIRCULAR ECONOMY BONUS - WIEDERVERWENDUNG SCHWARZWASSER
</v>
      </c>
      <c r="F47" s="348"/>
      <c r="G47" s="117"/>
      <c r="H47" s="21">
        <v>10</v>
      </c>
      <c r="I47" s="350"/>
      <c r="J47" s="340"/>
      <c r="K47" s="341"/>
      <c r="L47" s="341"/>
      <c r="M47" s="341"/>
      <c r="N47" s="342"/>
      <c r="P47" s="18">
        <f t="shared" si="0"/>
        <v>0</v>
      </c>
      <c r="Q47" s="338"/>
      <c r="R47" s="344"/>
      <c r="S47" s="474"/>
      <c r="T47" s="344"/>
      <c r="U47" s="475"/>
    </row>
    <row r="48" spans="2:21" ht="26.4" x14ac:dyDescent="0.25">
      <c r="B48" s="346"/>
      <c r="C48" s="480"/>
      <c r="D48" s="361"/>
      <c r="E48" s="134" t="str">
        <f>HLOOKUP(Deckblatt!$C$12,Language!$C$1:$D$730,59,FALSE)</f>
        <v xml:space="preserve">Aufbereitung von Schwarzwasser für Bewässerung
</v>
      </c>
      <c r="F48" s="348"/>
      <c r="G48" s="69"/>
      <c r="H48" s="18">
        <v>5</v>
      </c>
      <c r="I48" s="350"/>
      <c r="J48" s="340"/>
      <c r="K48" s="341"/>
      <c r="L48" s="341"/>
      <c r="M48" s="341"/>
      <c r="N48" s="342"/>
      <c r="P48" s="18">
        <f t="shared" si="0"/>
        <v>0</v>
      </c>
      <c r="Q48" s="338"/>
      <c r="R48" s="344"/>
      <c r="S48" s="474"/>
      <c r="T48" s="344"/>
      <c r="U48" s="475"/>
    </row>
    <row r="49" spans="2:21" ht="39.6" x14ac:dyDescent="0.25">
      <c r="B49" s="346"/>
      <c r="C49" s="480"/>
      <c r="D49" s="361"/>
      <c r="E49" s="134" t="str">
        <f>HLOOKUP(Deckblatt!$C$12,Language!$C$1:$D$730,60,FALSE)</f>
        <v xml:space="preserve">Aufbereitung von Schwarzwasser für Nutzungen die über Bewässerung hinaus gehen
</v>
      </c>
      <c r="F49" s="348"/>
      <c r="G49" s="69"/>
      <c r="H49" s="18">
        <v>5</v>
      </c>
      <c r="I49" s="350"/>
      <c r="J49" s="340"/>
      <c r="K49" s="341"/>
      <c r="L49" s="341"/>
      <c r="M49" s="341"/>
      <c r="N49" s="342"/>
      <c r="P49" s="18">
        <f t="shared" si="0"/>
        <v>0</v>
      </c>
      <c r="Q49" s="338"/>
      <c r="R49" s="344"/>
      <c r="S49" s="474"/>
      <c r="T49" s="344"/>
      <c r="U49" s="475"/>
    </row>
    <row r="50" spans="2:21" x14ac:dyDescent="0.25">
      <c r="B50" s="346"/>
      <c r="C50" s="369" t="s">
        <v>61</v>
      </c>
      <c r="D50" s="352" t="str">
        <f>HLOOKUP(Deckblatt!$C$12,Language!$C$1:$D$730,61,FALSE)</f>
        <v>Quartierswasserbilanz</v>
      </c>
      <c r="E50" s="353"/>
      <c r="F50" s="348"/>
      <c r="G50" s="117"/>
      <c r="H50" s="21">
        <v>30</v>
      </c>
      <c r="I50" s="350"/>
      <c r="J50" s="340"/>
      <c r="K50" s="341"/>
      <c r="L50" s="341"/>
      <c r="M50" s="341"/>
      <c r="N50" s="342"/>
      <c r="P50" s="18">
        <f t="shared" si="0"/>
        <v>0</v>
      </c>
      <c r="Q50" s="338"/>
      <c r="R50" s="344"/>
      <c r="S50" s="474"/>
      <c r="T50" s="344"/>
      <c r="U50" s="475"/>
    </row>
    <row r="51" spans="2:21" ht="39.6" x14ac:dyDescent="0.25">
      <c r="B51" s="346"/>
      <c r="C51" s="479"/>
      <c r="D51" s="71" t="s">
        <v>63</v>
      </c>
      <c r="E51" s="150" t="str">
        <f>HLOOKUP(Deckblatt!$C$12,Language!$C$1:$D$730,62,FALSE)</f>
        <v xml:space="preserve">Prozentuale Anteil des Niederschlags am Abfluss (A) im Verhältnis zur Referenzfläche
</v>
      </c>
      <c r="F51" s="348"/>
      <c r="G51" s="69"/>
      <c r="H51" s="18">
        <v>30</v>
      </c>
      <c r="I51" s="350"/>
      <c r="J51" s="340"/>
      <c r="K51" s="341"/>
      <c r="L51" s="341"/>
      <c r="M51" s="341"/>
      <c r="N51" s="342"/>
      <c r="P51" s="18">
        <f t="shared" si="0"/>
        <v>0</v>
      </c>
      <c r="Q51" s="338"/>
      <c r="R51" s="344"/>
      <c r="S51" s="474"/>
      <c r="T51" s="344"/>
      <c r="U51" s="475"/>
    </row>
    <row r="52" spans="2:21" x14ac:dyDescent="0.25">
      <c r="B52" s="346"/>
      <c r="C52" s="392" t="s">
        <v>64</v>
      </c>
      <c r="D52" s="352" t="str">
        <f>HLOOKUP(Deckblatt!$C$12,Language!$C$1:$D$730,63,FALSE)</f>
        <v>Rückhaltung bzw. Drosselung von Regenwasser</v>
      </c>
      <c r="E52" s="353"/>
      <c r="F52" s="348"/>
      <c r="G52" s="362"/>
      <c r="H52" s="21">
        <v>20</v>
      </c>
      <c r="I52" s="350"/>
      <c r="J52" s="340"/>
      <c r="K52" s="341"/>
      <c r="L52" s="341"/>
      <c r="M52" s="341"/>
      <c r="N52" s="342"/>
      <c r="P52" s="18">
        <f t="shared" si="0"/>
        <v>0</v>
      </c>
      <c r="Q52" s="338"/>
      <c r="R52" s="344"/>
      <c r="S52" s="474"/>
      <c r="T52" s="344"/>
      <c r="U52" s="475"/>
    </row>
    <row r="53" spans="2:21" x14ac:dyDescent="0.25">
      <c r="B53" s="346"/>
      <c r="C53" s="392"/>
      <c r="D53" s="361" t="s">
        <v>66</v>
      </c>
      <c r="E53" s="150" t="str">
        <f>HLOOKUP(Deckblatt!$C$12,Language!$C$1:$D$730,64,FALSE)</f>
        <v>Rückhaltung Regenwasser</v>
      </c>
      <c r="F53" s="348"/>
      <c r="G53" s="362"/>
      <c r="H53" s="21">
        <v>20</v>
      </c>
      <c r="I53" s="350"/>
      <c r="J53" s="340"/>
      <c r="K53" s="341"/>
      <c r="L53" s="341"/>
      <c r="M53" s="341"/>
      <c r="N53" s="342"/>
      <c r="P53" s="18">
        <f t="shared" si="0"/>
        <v>0</v>
      </c>
      <c r="Q53" s="338"/>
      <c r="R53" s="344"/>
      <c r="S53" s="474"/>
      <c r="T53" s="344"/>
      <c r="U53" s="475"/>
    </row>
    <row r="54" spans="2:21" ht="39.6" x14ac:dyDescent="0.25">
      <c r="B54" s="346"/>
      <c r="C54" s="392"/>
      <c r="D54" s="361"/>
      <c r="E54" s="134" t="str">
        <f>HLOOKUP(Deckblatt!$C$12,Language!$C$1:$D$730,65,FALSE)</f>
        <v xml:space="preserve">Regenwasserretention im Quartier. (und ggf. durch Maßnahmen außerhalb des Quartiers ergänzt)
</v>
      </c>
      <c r="F54" s="348"/>
      <c r="G54" s="69"/>
      <c r="H54" s="18">
        <v>20</v>
      </c>
      <c r="I54" s="350"/>
      <c r="J54" s="340"/>
      <c r="K54" s="341"/>
      <c r="L54" s="341"/>
      <c r="M54" s="341"/>
      <c r="N54" s="342"/>
      <c r="P54" s="18">
        <f t="shared" si="0"/>
        <v>0</v>
      </c>
      <c r="Q54" s="338"/>
      <c r="R54" s="344"/>
      <c r="S54" s="474"/>
      <c r="T54" s="344"/>
      <c r="U54" s="475"/>
    </row>
    <row r="55" spans="2:21" ht="26.4" x14ac:dyDescent="0.25">
      <c r="B55" s="346"/>
      <c r="C55" s="392"/>
      <c r="D55" s="361"/>
      <c r="E55" s="134" t="str">
        <f>HLOOKUP(Deckblatt!$C$12,Language!$C$1:$D$730,66,FALSE)</f>
        <v xml:space="preserve">Regenwasserretention ausschließlich außerhalb des Quartiers
</v>
      </c>
      <c r="F55" s="348"/>
      <c r="G55" s="69"/>
      <c r="H55" s="18">
        <v>10</v>
      </c>
      <c r="I55" s="350"/>
      <c r="J55" s="340"/>
      <c r="K55" s="341"/>
      <c r="L55" s="341"/>
      <c r="M55" s="341"/>
      <c r="N55" s="342"/>
      <c r="P55" s="18">
        <f>IF(P54&gt;0,0,IF(G55&gt;H55,H55,G55))</f>
        <v>0</v>
      </c>
      <c r="Q55" s="338"/>
      <c r="R55" s="344"/>
      <c r="S55" s="474"/>
      <c r="T55" s="344"/>
      <c r="U55" s="475"/>
    </row>
    <row r="56" spans="2:21" x14ac:dyDescent="0.25">
      <c r="B56" s="346"/>
      <c r="C56" s="392" t="s">
        <v>67</v>
      </c>
      <c r="D56" s="352" t="str">
        <f>HLOOKUP(Deckblatt!$C$12,Language!$C$1:$D$730,67,FALSE)</f>
        <v>Gestalterische Integration der Wasserinfrastruktur in das Freiraumkonzept</v>
      </c>
      <c r="E56" s="353"/>
      <c r="F56" s="348"/>
      <c r="G56" s="362"/>
      <c r="H56" s="21">
        <v>15</v>
      </c>
      <c r="I56" s="350"/>
      <c r="J56" s="340"/>
      <c r="K56" s="341"/>
      <c r="L56" s="341"/>
      <c r="M56" s="341"/>
      <c r="N56" s="342"/>
      <c r="P56" s="18">
        <f t="shared" si="0"/>
        <v>0</v>
      </c>
      <c r="Q56" s="338"/>
      <c r="R56" s="344"/>
      <c r="S56" s="474"/>
      <c r="T56" s="344"/>
      <c r="U56" s="475"/>
    </row>
    <row r="57" spans="2:21" x14ac:dyDescent="0.25">
      <c r="B57" s="346"/>
      <c r="C57" s="392"/>
      <c r="D57" s="361" t="s">
        <v>98</v>
      </c>
      <c r="E57" s="150" t="str">
        <f>HLOOKUP(Deckblatt!$C$12,Language!$C$1:$D$730,68,FALSE)</f>
        <v>Gestalterische Integration</v>
      </c>
      <c r="F57" s="348"/>
      <c r="G57" s="362"/>
      <c r="H57" s="21">
        <v>15</v>
      </c>
      <c r="I57" s="350"/>
      <c r="J57" s="340"/>
      <c r="K57" s="341"/>
      <c r="L57" s="341"/>
      <c r="M57" s="341"/>
      <c r="N57" s="342"/>
      <c r="P57" s="18">
        <f t="shared" si="0"/>
        <v>0</v>
      </c>
      <c r="Q57" s="338"/>
      <c r="R57" s="344"/>
      <c r="S57" s="474"/>
      <c r="T57" s="344"/>
      <c r="U57" s="475"/>
    </row>
    <row r="58" spans="2:21" ht="26.4" x14ac:dyDescent="0.25">
      <c r="B58" s="346"/>
      <c r="C58" s="392"/>
      <c r="D58" s="361"/>
      <c r="E58" s="134" t="str">
        <f>HLOOKUP(Deckblatt!$C$12,Language!$C$1:$D$730,69,FALSE)</f>
        <v xml:space="preserve">Die Regenwasserinfrastruktur ist gestalterisch in das Freiraumkonzept integriert. </v>
      </c>
      <c r="F58" s="348"/>
      <c r="G58" s="69"/>
      <c r="H58" s="18">
        <v>15</v>
      </c>
      <c r="I58" s="350"/>
      <c r="J58" s="340"/>
      <c r="K58" s="341"/>
      <c r="L58" s="341"/>
      <c r="M58" s="341"/>
      <c r="N58" s="342"/>
      <c r="P58" s="18">
        <f t="shared" si="0"/>
        <v>0</v>
      </c>
      <c r="Q58" s="338"/>
      <c r="R58" s="344"/>
      <c r="S58" s="474"/>
      <c r="T58" s="344"/>
      <c r="U58" s="475"/>
    </row>
    <row r="59" spans="2:21" x14ac:dyDescent="0.25">
      <c r="B59" s="55" t="s">
        <v>134</v>
      </c>
      <c r="C59" s="354" t="str">
        <f>HLOOKUP(Deckblatt!$C$12,Language!$C$1:$D$730,70,FALSE)</f>
        <v>Flächeninanspruchnahme</v>
      </c>
      <c r="D59" s="354"/>
      <c r="E59" s="355"/>
      <c r="F59" s="56">
        <f>Q59</f>
        <v>0</v>
      </c>
      <c r="G59" s="356"/>
      <c r="H59" s="21">
        <v>100</v>
      </c>
      <c r="I59" s="176">
        <v>4</v>
      </c>
      <c r="J59" s="340"/>
      <c r="K59" s="341"/>
      <c r="L59" s="341"/>
      <c r="M59" s="341"/>
      <c r="N59" s="342"/>
      <c r="P59" s="18">
        <f t="shared" si="0"/>
        <v>0</v>
      </c>
      <c r="Q59" s="337">
        <f>IF(SUM(P61,P63,IF(P66+P67&gt;15,15,P66+P67),P69)&gt;100,100,SUM(P61,P63,IF(P66+P67&gt;15,15,P66+P67),P69))</f>
        <v>0</v>
      </c>
      <c r="R59" s="343">
        <f>Q59/100</f>
        <v>0</v>
      </c>
      <c r="S59" s="474"/>
      <c r="T59" s="344"/>
      <c r="U59" s="475"/>
    </row>
    <row r="60" spans="2:21" x14ac:dyDescent="0.25">
      <c r="B60" s="375"/>
      <c r="C60" s="392" t="s">
        <v>54</v>
      </c>
      <c r="D60" s="352" t="str">
        <f>HLOOKUP(Deckblatt!$C$12,Language!$C$1:$D$730,71,FALSE)</f>
        <v>Brachflächenanteil</v>
      </c>
      <c r="E60" s="353"/>
      <c r="F60" s="363"/>
      <c r="G60" s="356"/>
      <c r="H60" s="21">
        <v>40</v>
      </c>
      <c r="I60" s="379"/>
      <c r="J60" s="340"/>
      <c r="K60" s="341"/>
      <c r="L60" s="341"/>
      <c r="M60" s="341"/>
      <c r="N60" s="342"/>
      <c r="P60" s="18">
        <f t="shared" si="0"/>
        <v>0</v>
      </c>
      <c r="Q60" s="338"/>
      <c r="R60" s="344"/>
      <c r="S60" s="474"/>
      <c r="T60" s="344"/>
      <c r="U60" s="475"/>
    </row>
    <row r="61" spans="2:21" ht="26.4" x14ac:dyDescent="0.25">
      <c r="B61" s="375"/>
      <c r="C61" s="392"/>
      <c r="D61" s="71" t="s">
        <v>58</v>
      </c>
      <c r="E61" s="150" t="str">
        <f>HLOOKUP(Deckblatt!$C$12,Language!$C$1:$D$730,72,FALSE)</f>
        <v xml:space="preserve">Brachflächenanteil in Prozent
</v>
      </c>
      <c r="F61" s="363"/>
      <c r="G61" s="69"/>
      <c r="H61" s="18">
        <v>40</v>
      </c>
      <c r="I61" s="379"/>
      <c r="J61" s="340"/>
      <c r="K61" s="341"/>
      <c r="L61" s="341"/>
      <c r="M61" s="341"/>
      <c r="N61" s="342"/>
      <c r="P61" s="18">
        <f t="shared" si="0"/>
        <v>0</v>
      </c>
      <c r="Q61" s="338"/>
      <c r="R61" s="344"/>
      <c r="S61" s="474"/>
      <c r="T61" s="344"/>
      <c r="U61" s="475"/>
    </row>
    <row r="62" spans="2:21" x14ac:dyDescent="0.25">
      <c r="B62" s="375"/>
      <c r="C62" s="392" t="s">
        <v>61</v>
      </c>
      <c r="D62" s="352" t="str">
        <f>HLOOKUP(Deckblatt!$C$12,Language!$C$1:$D$730,73,FALSE)</f>
        <v>Flächeneinbindung</v>
      </c>
      <c r="E62" s="353"/>
      <c r="F62" s="363"/>
      <c r="G62" s="113"/>
      <c r="H62" s="21">
        <v>20</v>
      </c>
      <c r="I62" s="379"/>
      <c r="J62" s="340"/>
      <c r="K62" s="341"/>
      <c r="L62" s="341"/>
      <c r="M62" s="341"/>
      <c r="N62" s="342"/>
      <c r="P62" s="18">
        <f t="shared" si="0"/>
        <v>0</v>
      </c>
      <c r="Q62" s="338"/>
      <c r="R62" s="344"/>
      <c r="S62" s="474"/>
      <c r="T62" s="344"/>
      <c r="U62" s="475"/>
    </row>
    <row r="63" spans="2:21" ht="26.4" x14ac:dyDescent="0.25">
      <c r="B63" s="375"/>
      <c r="C63" s="392"/>
      <c r="D63" s="71" t="s">
        <v>63</v>
      </c>
      <c r="E63" s="150" t="str">
        <f>HLOOKUP(Deckblatt!$C$12,Language!$C$1:$D$730,74,FALSE)</f>
        <v xml:space="preserve">Flächeneinbindung in Prozent
</v>
      </c>
      <c r="F63" s="363"/>
      <c r="G63" s="69"/>
      <c r="H63" s="18">
        <v>20</v>
      </c>
      <c r="I63" s="379"/>
      <c r="J63" s="340"/>
      <c r="K63" s="341"/>
      <c r="L63" s="341"/>
      <c r="M63" s="341"/>
      <c r="N63" s="342"/>
      <c r="P63" s="18">
        <f t="shared" si="0"/>
        <v>0</v>
      </c>
      <c r="Q63" s="338"/>
      <c r="R63" s="344"/>
      <c r="S63" s="474"/>
      <c r="T63" s="344"/>
      <c r="U63" s="475"/>
    </row>
    <row r="64" spans="2:21" x14ac:dyDescent="0.25">
      <c r="B64" s="375"/>
      <c r="C64" s="369" t="s">
        <v>64</v>
      </c>
      <c r="D64" s="352" t="str">
        <f>HLOOKUP(Deckblatt!$C$12,Language!$C$1:$D$730,75,FALSE)</f>
        <v>Flächenbelastung</v>
      </c>
      <c r="E64" s="353"/>
      <c r="F64" s="363"/>
      <c r="G64" s="113"/>
      <c r="H64" s="21">
        <v>15</v>
      </c>
      <c r="I64" s="379"/>
      <c r="J64" s="340"/>
      <c r="K64" s="341"/>
      <c r="L64" s="341"/>
      <c r="M64" s="341"/>
      <c r="N64" s="342"/>
      <c r="P64" s="18">
        <f t="shared" si="0"/>
        <v>0</v>
      </c>
      <c r="Q64" s="338"/>
      <c r="R64" s="344"/>
      <c r="S64" s="474"/>
      <c r="T64" s="344"/>
      <c r="U64" s="475"/>
    </row>
    <row r="65" spans="2:21" x14ac:dyDescent="0.25">
      <c r="B65" s="375"/>
      <c r="C65" s="480"/>
      <c r="D65" s="398" t="s">
        <v>66</v>
      </c>
      <c r="E65" s="150" t="str">
        <f>HLOOKUP(Deckblatt!$C$12,Language!$C$1:$D$730,76,FALSE)</f>
        <v>Flächenbelastung durch Altlasten</v>
      </c>
      <c r="F65" s="363"/>
      <c r="G65" s="113"/>
      <c r="H65" s="21">
        <v>15</v>
      </c>
      <c r="I65" s="379"/>
      <c r="J65" s="340"/>
      <c r="K65" s="341"/>
      <c r="L65" s="341"/>
      <c r="M65" s="341"/>
      <c r="N65" s="342"/>
      <c r="P65" s="18">
        <f t="shared" si="0"/>
        <v>0</v>
      </c>
      <c r="Q65" s="338"/>
      <c r="R65" s="344"/>
      <c r="S65" s="474"/>
      <c r="T65" s="344"/>
      <c r="U65" s="475"/>
    </row>
    <row r="66" spans="2:21" ht="171.6" x14ac:dyDescent="0.25">
      <c r="B66" s="375"/>
      <c r="C66" s="480"/>
      <c r="D66" s="414"/>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63"/>
      <c r="G66" s="69"/>
      <c r="H66" s="18">
        <v>15</v>
      </c>
      <c r="I66" s="379"/>
      <c r="J66" s="340"/>
      <c r="K66" s="341"/>
      <c r="L66" s="341"/>
      <c r="M66" s="341"/>
      <c r="N66" s="342"/>
      <c r="P66" s="18">
        <f t="shared" si="0"/>
        <v>0</v>
      </c>
      <c r="Q66" s="338"/>
      <c r="R66" s="344"/>
      <c r="S66" s="474"/>
      <c r="T66" s="344"/>
      <c r="U66" s="475"/>
    </row>
    <row r="67" spans="2:21" ht="79.2" x14ac:dyDescent="0.25">
      <c r="B67" s="375"/>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63"/>
      <c r="G67" s="69"/>
      <c r="H67" s="18">
        <v>10</v>
      </c>
      <c r="I67" s="379"/>
      <c r="J67" s="340"/>
      <c r="K67" s="341"/>
      <c r="L67" s="341"/>
      <c r="M67" s="341"/>
      <c r="N67" s="342"/>
      <c r="P67" s="18">
        <f>IF(P66&gt;5,0,IF(G67&gt;H67,H67,G67))</f>
        <v>0</v>
      </c>
      <c r="Q67" s="338"/>
      <c r="R67" s="344"/>
      <c r="S67" s="474"/>
      <c r="T67" s="344"/>
      <c r="U67" s="475"/>
    </row>
    <row r="68" spans="2:21" x14ac:dyDescent="0.25">
      <c r="B68" s="375"/>
      <c r="C68" s="392" t="s">
        <v>67</v>
      </c>
      <c r="D68" s="352" t="str">
        <f>HLOOKUP(Deckblatt!$C$12,Language!$C$1:$D$730,79,FALSE)</f>
        <v>Versiegelungsgrad</v>
      </c>
      <c r="E68" s="353"/>
      <c r="F68" s="363"/>
      <c r="G68" s="113"/>
      <c r="H68" s="21">
        <v>35</v>
      </c>
      <c r="I68" s="379"/>
      <c r="J68" s="340"/>
      <c r="K68" s="341"/>
      <c r="L68" s="341"/>
      <c r="M68" s="341"/>
      <c r="N68" s="342"/>
      <c r="P68" s="18">
        <f t="shared" si="0"/>
        <v>0</v>
      </c>
      <c r="Q68" s="338"/>
      <c r="R68" s="344"/>
      <c r="S68" s="474"/>
      <c r="T68" s="344"/>
      <c r="U68" s="475"/>
    </row>
    <row r="69" spans="2:21" ht="26.4" x14ac:dyDescent="0.25">
      <c r="B69" s="375"/>
      <c r="C69" s="392"/>
      <c r="D69" s="71" t="s">
        <v>69</v>
      </c>
      <c r="E69" s="150" t="str">
        <f>HLOOKUP(Deckblatt!$C$12,Language!$C$1:$D$730,80,FALSE)</f>
        <v xml:space="preserve">Versiegelungsgrad
</v>
      </c>
      <c r="F69" s="363"/>
      <c r="G69" s="69"/>
      <c r="H69" s="18">
        <v>35</v>
      </c>
      <c r="I69" s="379"/>
      <c r="J69" s="340"/>
      <c r="K69" s="341"/>
      <c r="L69" s="341"/>
      <c r="M69" s="341"/>
      <c r="N69" s="342"/>
      <c r="P69" s="18">
        <f t="shared" si="0"/>
        <v>0</v>
      </c>
      <c r="Q69" s="339"/>
      <c r="R69" s="365"/>
      <c r="S69" s="474"/>
      <c r="T69" s="344"/>
      <c r="U69" s="475"/>
    </row>
    <row r="70" spans="2:21" x14ac:dyDescent="0.25">
      <c r="B70" s="55" t="s">
        <v>143</v>
      </c>
      <c r="C70" s="354" t="str">
        <f>HLOOKUP(Deckblatt!$C$12,Language!$C$1:$D$730,81,FALSE)</f>
        <v>Biodiversität</v>
      </c>
      <c r="D70" s="354"/>
      <c r="E70" s="355"/>
      <c r="F70" s="56">
        <f>Q70</f>
        <v>0</v>
      </c>
      <c r="G70" s="364"/>
      <c r="H70" s="21">
        <v>110</v>
      </c>
      <c r="I70" s="176">
        <v>4</v>
      </c>
      <c r="J70" s="340"/>
      <c r="K70" s="341"/>
      <c r="L70" s="341"/>
      <c r="M70" s="341"/>
      <c r="N70" s="342"/>
      <c r="P70" s="18">
        <f t="shared" si="0"/>
        <v>0</v>
      </c>
      <c r="Q70" s="337">
        <f>SUM(P72,P74,P76:P77,P80:P81,P83,P85:P86)</f>
        <v>0</v>
      </c>
      <c r="R70" s="343">
        <f>Q70/100</f>
        <v>0</v>
      </c>
      <c r="S70" s="474"/>
      <c r="T70" s="344"/>
      <c r="U70" s="475"/>
    </row>
    <row r="71" spans="2:21" x14ac:dyDescent="0.25">
      <c r="B71" s="375"/>
      <c r="C71" s="351" t="s">
        <v>54</v>
      </c>
      <c r="D71" s="352" t="str">
        <f>HLOOKUP(Deckblatt!$C$12,Language!$C$1:$D$730,82,FALSE)</f>
        <v>Biodiversitätsstategie</v>
      </c>
      <c r="E71" s="353"/>
      <c r="F71" s="363"/>
      <c r="G71" s="364"/>
      <c r="H71" s="21">
        <v>10</v>
      </c>
      <c r="I71" s="379"/>
      <c r="J71" s="340"/>
      <c r="K71" s="341"/>
      <c r="L71" s="341"/>
      <c r="M71" s="341"/>
      <c r="N71" s="342"/>
      <c r="P71" s="18">
        <f t="shared" si="0"/>
        <v>0</v>
      </c>
      <c r="Q71" s="338"/>
      <c r="R71" s="344"/>
      <c r="S71" s="474"/>
      <c r="T71" s="344"/>
      <c r="U71" s="475"/>
    </row>
    <row r="72" spans="2:21" ht="26.4" x14ac:dyDescent="0.25">
      <c r="B72" s="375"/>
      <c r="C72" s="351"/>
      <c r="D72" s="71" t="s">
        <v>58</v>
      </c>
      <c r="E72" s="150" t="str">
        <f>HLOOKUP(Deckblatt!$C$12,Language!$C$1:$D$730,83,FALSE)</f>
        <v xml:space="preserve">Erstellung und Umsetzung einer Biodiversitätsstrategie
</v>
      </c>
      <c r="F72" s="363"/>
      <c r="G72" s="69"/>
      <c r="H72" s="18">
        <v>10</v>
      </c>
      <c r="I72" s="379"/>
      <c r="J72" s="340"/>
      <c r="K72" s="341"/>
      <c r="L72" s="341"/>
      <c r="M72" s="341"/>
      <c r="N72" s="342"/>
      <c r="P72" s="18">
        <f t="shared" si="0"/>
        <v>0</v>
      </c>
      <c r="Q72" s="338"/>
      <c r="R72" s="344"/>
      <c r="S72" s="474"/>
      <c r="T72" s="344"/>
      <c r="U72" s="475"/>
    </row>
    <row r="73" spans="2:21" x14ac:dyDescent="0.25">
      <c r="B73" s="375"/>
      <c r="C73" s="351" t="s">
        <v>61</v>
      </c>
      <c r="D73" s="352" t="str">
        <f>HLOOKUP(Deckblatt!$C$12,Language!$C$1:$D$730,84,FALSE)</f>
        <v>Gezielte Maßnahmen zur aktiven Ansiedlung neuer und heimischer Tierarten</v>
      </c>
      <c r="E73" s="353"/>
      <c r="F73" s="363"/>
      <c r="G73" s="113"/>
      <c r="H73" s="21">
        <v>20</v>
      </c>
      <c r="I73" s="379"/>
      <c r="J73" s="340"/>
      <c r="K73" s="341"/>
      <c r="L73" s="341"/>
      <c r="M73" s="341"/>
      <c r="N73" s="342"/>
      <c r="P73" s="18">
        <f t="shared" si="0"/>
        <v>0</v>
      </c>
      <c r="Q73" s="338"/>
      <c r="R73" s="344"/>
      <c r="S73" s="474"/>
      <c r="T73" s="344"/>
      <c r="U73" s="475"/>
    </row>
    <row r="74" spans="2:21" ht="26.4" x14ac:dyDescent="0.25">
      <c r="B74" s="375"/>
      <c r="C74" s="351"/>
      <c r="D74" s="71" t="s">
        <v>63</v>
      </c>
      <c r="E74" s="150" t="str">
        <f>HLOOKUP(Deckblatt!$C$12,Language!$C$1:$D$730,85,FALSE)</f>
        <v xml:space="preserve">Aktive Ansiedlung neuer heimischer Arten
</v>
      </c>
      <c r="F74" s="363"/>
      <c r="G74" s="69"/>
      <c r="H74" s="18">
        <v>20</v>
      </c>
      <c r="I74" s="379"/>
      <c r="J74" s="340"/>
      <c r="K74" s="341"/>
      <c r="L74" s="341"/>
      <c r="M74" s="341"/>
      <c r="N74" s="342"/>
      <c r="P74" s="18">
        <f t="shared" si="0"/>
        <v>0</v>
      </c>
      <c r="Q74" s="338"/>
      <c r="R74" s="344"/>
      <c r="S74" s="474"/>
      <c r="T74" s="344"/>
      <c r="U74" s="475"/>
    </row>
    <row r="75" spans="2:21" x14ac:dyDescent="0.25">
      <c r="B75" s="375"/>
      <c r="C75" s="351" t="s">
        <v>64</v>
      </c>
      <c r="D75" s="352" t="str">
        <f>HLOOKUP(Deckblatt!$C$12,Language!$C$1:$D$730,86,FALSE)</f>
        <v>Biotopflächenfaktor</v>
      </c>
      <c r="E75" s="353"/>
      <c r="F75" s="363"/>
      <c r="G75" s="113"/>
      <c r="H75" s="21">
        <v>40</v>
      </c>
      <c r="I75" s="379"/>
      <c r="J75" s="340"/>
      <c r="K75" s="341"/>
      <c r="L75" s="341"/>
      <c r="M75" s="341"/>
      <c r="N75" s="342"/>
      <c r="P75" s="18">
        <f t="shared" ref="P75:P135" si="1">IF(G75&gt;H75,H75,G75)</f>
        <v>0</v>
      </c>
      <c r="Q75" s="338"/>
      <c r="R75" s="344"/>
      <c r="S75" s="474"/>
      <c r="T75" s="344"/>
      <c r="U75" s="475"/>
    </row>
    <row r="76" spans="2:21" ht="26.4" x14ac:dyDescent="0.25">
      <c r="B76" s="375"/>
      <c r="C76" s="351"/>
      <c r="D76" s="71" t="s">
        <v>66</v>
      </c>
      <c r="E76" s="150" t="str">
        <f>HLOOKUP(Deckblatt!$C$12,Language!$C$1:$D$730,87,FALSE)</f>
        <v xml:space="preserve">Biotopflächenfaktor Gesamt
</v>
      </c>
      <c r="F76" s="363"/>
      <c r="G76" s="69"/>
      <c r="H76" s="18">
        <v>30</v>
      </c>
      <c r="I76" s="379"/>
      <c r="J76" s="340"/>
      <c r="K76" s="341"/>
      <c r="L76" s="341"/>
      <c r="M76" s="341"/>
      <c r="N76" s="342"/>
      <c r="P76" s="18">
        <f t="shared" si="1"/>
        <v>0</v>
      </c>
      <c r="Q76" s="338"/>
      <c r="R76" s="344"/>
      <c r="S76" s="474"/>
      <c r="T76" s="344"/>
      <c r="U76" s="475"/>
    </row>
    <row r="77" spans="2:21" ht="66" x14ac:dyDescent="0.25">
      <c r="B77" s="375"/>
      <c r="C77" s="351"/>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63"/>
      <c r="G77" s="69"/>
      <c r="H77" s="18">
        <v>10</v>
      </c>
      <c r="I77" s="379"/>
      <c r="J77" s="340"/>
      <c r="K77" s="341"/>
      <c r="L77" s="341"/>
      <c r="M77" s="341"/>
      <c r="N77" s="342"/>
      <c r="P77" s="18">
        <f t="shared" si="1"/>
        <v>0</v>
      </c>
      <c r="Q77" s="338"/>
      <c r="R77" s="344"/>
      <c r="S77" s="474"/>
      <c r="T77" s="344"/>
      <c r="U77" s="475"/>
    </row>
    <row r="78" spans="2:21" x14ac:dyDescent="0.25">
      <c r="B78" s="375"/>
      <c r="C78" s="351" t="s">
        <v>67</v>
      </c>
      <c r="D78" s="352" t="str">
        <f>HLOOKUP(Deckblatt!$C$12,Language!$C$1:$D$730,89,FALSE)</f>
        <v>Vernetzung der Biotoptypen</v>
      </c>
      <c r="E78" s="353"/>
      <c r="F78" s="363"/>
      <c r="G78" s="356"/>
      <c r="H78" s="21">
        <v>20</v>
      </c>
      <c r="I78" s="379"/>
      <c r="J78" s="340"/>
      <c r="K78" s="341"/>
      <c r="L78" s="341"/>
      <c r="M78" s="341"/>
      <c r="N78" s="342"/>
      <c r="P78" s="18">
        <f t="shared" si="1"/>
        <v>0</v>
      </c>
      <c r="Q78" s="338"/>
      <c r="R78" s="344"/>
      <c r="S78" s="474"/>
      <c r="T78" s="344"/>
      <c r="U78" s="475"/>
    </row>
    <row r="79" spans="2:21" x14ac:dyDescent="0.25">
      <c r="B79" s="375"/>
      <c r="C79" s="351"/>
      <c r="D79" s="361" t="s">
        <v>69</v>
      </c>
      <c r="E79" s="150" t="str">
        <f>HLOOKUP(Deckblatt!$C$12,Language!$C$1:$D$730,90,FALSE)</f>
        <v>Vernetzung der Biotoptypen</v>
      </c>
      <c r="F79" s="363"/>
      <c r="G79" s="356"/>
      <c r="H79" s="21">
        <v>20</v>
      </c>
      <c r="I79" s="379"/>
      <c r="J79" s="340"/>
      <c r="K79" s="341"/>
      <c r="L79" s="341"/>
      <c r="M79" s="341"/>
      <c r="N79" s="342"/>
      <c r="P79" s="18">
        <f t="shared" si="1"/>
        <v>0</v>
      </c>
      <c r="Q79" s="338"/>
      <c r="R79" s="344"/>
      <c r="S79" s="474"/>
      <c r="T79" s="344"/>
      <c r="U79" s="475"/>
    </row>
    <row r="80" spans="2:21" ht="26.4" x14ac:dyDescent="0.25">
      <c r="B80" s="375"/>
      <c r="C80" s="351"/>
      <c r="D80" s="361"/>
      <c r="E80" s="134" t="str">
        <f>HLOOKUP(Deckblatt!$C$12,Language!$C$1:$D$730,91,FALSE)</f>
        <v xml:space="preserve">Vernetzung mit Umgebung
</v>
      </c>
      <c r="F80" s="363"/>
      <c r="G80" s="69"/>
      <c r="H80" s="18">
        <v>10</v>
      </c>
      <c r="I80" s="379"/>
      <c r="J80" s="340"/>
      <c r="K80" s="341"/>
      <c r="L80" s="341"/>
      <c r="M80" s="341"/>
      <c r="N80" s="342"/>
      <c r="P80" s="18">
        <f t="shared" si="1"/>
        <v>0</v>
      </c>
      <c r="Q80" s="338"/>
      <c r="R80" s="344"/>
      <c r="S80" s="474"/>
      <c r="T80" s="344"/>
      <c r="U80" s="475"/>
    </row>
    <row r="81" spans="2:21" ht="26.4" x14ac:dyDescent="0.25">
      <c r="B81" s="375"/>
      <c r="C81" s="351"/>
      <c r="D81" s="361"/>
      <c r="E81" s="134" t="str">
        <f>HLOOKUP(Deckblatt!$C$12,Language!$C$1:$D$730,92,FALSE)</f>
        <v xml:space="preserve">Interne Vernetzung
</v>
      </c>
      <c r="F81" s="363"/>
      <c r="G81" s="69"/>
      <c r="H81" s="18">
        <v>10</v>
      </c>
      <c r="I81" s="379"/>
      <c r="J81" s="340"/>
      <c r="K81" s="341"/>
      <c r="L81" s="341"/>
      <c r="M81" s="341"/>
      <c r="N81" s="342"/>
      <c r="P81" s="18">
        <f t="shared" si="1"/>
        <v>0</v>
      </c>
      <c r="Q81" s="338"/>
      <c r="R81" s="344"/>
      <c r="S81" s="474"/>
      <c r="T81" s="344"/>
      <c r="U81" s="475"/>
    </row>
    <row r="82" spans="2:21" x14ac:dyDescent="0.25">
      <c r="B82" s="375"/>
      <c r="C82" s="351" t="s">
        <v>154</v>
      </c>
      <c r="D82" s="352" t="str">
        <f>HLOOKUP(Deckblatt!$C$12,Language!$C$1:$D$730,93,FALSE)</f>
        <v>Vermeidung invasiver Pflanzenarten</v>
      </c>
      <c r="E82" s="353"/>
      <c r="F82" s="363"/>
      <c r="G82" s="113"/>
      <c r="H82" s="21">
        <v>10</v>
      </c>
      <c r="I82" s="379"/>
      <c r="J82" s="340"/>
      <c r="K82" s="341"/>
      <c r="L82" s="341"/>
      <c r="M82" s="341"/>
      <c r="N82" s="342"/>
      <c r="P82" s="18">
        <f t="shared" si="1"/>
        <v>0</v>
      </c>
      <c r="Q82" s="338"/>
      <c r="R82" s="344"/>
      <c r="S82" s="474"/>
      <c r="T82" s="344"/>
      <c r="U82" s="475"/>
    </row>
    <row r="83" spans="2:21" ht="26.4" x14ac:dyDescent="0.25">
      <c r="B83" s="375"/>
      <c r="C83" s="351"/>
      <c r="D83" s="71" t="s">
        <v>156</v>
      </c>
      <c r="E83" s="150" t="str">
        <f>HLOOKUP(Deckblatt!$C$12,Language!$C$1:$D$730,94,FALSE)</f>
        <v xml:space="preserve">Vermeidung invasiver Pflanzenarten
</v>
      </c>
      <c r="F83" s="363"/>
      <c r="G83" s="69"/>
      <c r="H83" s="18">
        <v>10</v>
      </c>
      <c r="I83" s="379"/>
      <c r="J83" s="340"/>
      <c r="K83" s="341"/>
      <c r="L83" s="341"/>
      <c r="M83" s="341"/>
      <c r="N83" s="342"/>
      <c r="P83" s="18">
        <f t="shared" si="1"/>
        <v>0</v>
      </c>
      <c r="Q83" s="338"/>
      <c r="R83" s="344"/>
      <c r="S83" s="474"/>
      <c r="T83" s="344"/>
      <c r="U83" s="475"/>
    </row>
    <row r="84" spans="2:21" x14ac:dyDescent="0.25">
      <c r="B84" s="375"/>
      <c r="C84" s="351" t="s">
        <v>157</v>
      </c>
      <c r="D84" s="352" t="str">
        <f>HLOOKUP(Deckblatt!$C$12,Language!$C$1:$D$730,95,FALSE)</f>
        <v>Entwicklungs- und Unterhaltungspflege</v>
      </c>
      <c r="E84" s="353"/>
      <c r="F84" s="363"/>
      <c r="G84" s="113"/>
      <c r="H84" s="21">
        <v>10</v>
      </c>
      <c r="I84" s="379"/>
      <c r="J84" s="340"/>
      <c r="K84" s="341"/>
      <c r="L84" s="341"/>
      <c r="M84" s="341"/>
      <c r="N84" s="342"/>
      <c r="P84" s="18">
        <f t="shared" si="1"/>
        <v>0</v>
      </c>
      <c r="Q84" s="338"/>
      <c r="R84" s="344"/>
      <c r="S84" s="474"/>
      <c r="T84" s="344"/>
      <c r="U84" s="475"/>
    </row>
    <row r="85" spans="2:21" ht="26.4" x14ac:dyDescent="0.25">
      <c r="B85" s="375"/>
      <c r="C85" s="351"/>
      <c r="D85" s="71" t="s">
        <v>159</v>
      </c>
      <c r="E85" s="150" t="str">
        <f>HLOOKUP(Deckblatt!$C$12,Language!$C$1:$D$730,96,FALSE)</f>
        <v xml:space="preserve">Entwicklungspflege-Vertrag
</v>
      </c>
      <c r="F85" s="363"/>
      <c r="G85" s="69"/>
      <c r="H85" s="18">
        <v>5</v>
      </c>
      <c r="I85" s="379"/>
      <c r="J85" s="340"/>
      <c r="K85" s="341"/>
      <c r="L85" s="341"/>
      <c r="M85" s="341"/>
      <c r="N85" s="342"/>
      <c r="P85" s="18">
        <f t="shared" si="1"/>
        <v>0</v>
      </c>
      <c r="Q85" s="338"/>
      <c r="R85" s="344"/>
      <c r="S85" s="474"/>
      <c r="T85" s="344"/>
      <c r="U85" s="475"/>
    </row>
    <row r="86" spans="2:21" ht="27" thickBot="1" x14ac:dyDescent="0.3">
      <c r="B86" s="377"/>
      <c r="C86" s="389"/>
      <c r="D86" s="121" t="s">
        <v>160</v>
      </c>
      <c r="E86" s="150" t="str">
        <f>HLOOKUP(Deckblatt!$C$12,Language!$C$1:$D$730,97,FALSE)</f>
        <v xml:space="preserve">Unterhaltungspflege-Vertrag
</v>
      </c>
      <c r="F86" s="378"/>
      <c r="G86" s="70"/>
      <c r="H86" s="59">
        <v>5</v>
      </c>
      <c r="I86" s="380"/>
      <c r="J86" s="340"/>
      <c r="K86" s="341"/>
      <c r="L86" s="341"/>
      <c r="M86" s="341"/>
      <c r="N86" s="342"/>
      <c r="P86" s="18">
        <f t="shared" si="1"/>
        <v>0</v>
      </c>
      <c r="Q86" s="339"/>
      <c r="R86" s="365"/>
      <c r="S86" s="474"/>
      <c r="T86" s="365"/>
      <c r="U86" s="475"/>
    </row>
    <row r="87" spans="2:21" x14ac:dyDescent="0.25">
      <c r="B87" s="49" t="s">
        <v>163</v>
      </c>
      <c r="C87" s="354" t="str">
        <f>HLOOKUP(Deckblatt!$C$12,Language!$C$1:$D$730,98,FALSE)</f>
        <v>Lebenszykluskosten</v>
      </c>
      <c r="D87" s="354"/>
      <c r="E87" s="355"/>
      <c r="F87" s="50">
        <f>Q87</f>
        <v>0</v>
      </c>
      <c r="G87" s="434"/>
      <c r="H87" s="136">
        <v>100</v>
      </c>
      <c r="I87" s="178">
        <v>4</v>
      </c>
      <c r="J87" s="340"/>
      <c r="K87" s="341"/>
      <c r="L87" s="341"/>
      <c r="M87" s="341"/>
      <c r="N87" s="342"/>
      <c r="P87" s="18">
        <f t="shared" si="1"/>
        <v>0</v>
      </c>
      <c r="Q87" s="337">
        <f>SUM(P90,P91,IF(P94+P95+P96&gt;10,10,P94+P95+P96),P98,P99)</f>
        <v>0</v>
      </c>
      <c r="R87" s="343">
        <f>Q87/100</f>
        <v>0</v>
      </c>
      <c r="S87" s="343">
        <v>0.2</v>
      </c>
      <c r="T87" s="343">
        <f>IF((R87*I87+R100*I100+R123*I123+R128*I128+R147*I147)/(I87+I100+I123+I128+I147)&gt;1,1,(R87*I87+R100*I100+R123*I123+R128*I128+R147*I147)/(I87+I100+I123+I128+I147))</f>
        <v>0</v>
      </c>
      <c r="U87" s="475"/>
    </row>
    <row r="88" spans="2:21" x14ac:dyDescent="0.25">
      <c r="B88" s="345"/>
      <c r="C88" s="351" t="s">
        <v>54</v>
      </c>
      <c r="D88" s="352" t="str">
        <f>HLOOKUP(Deckblatt!$C$12,Language!$C$1:$D$730,99,FALSE)</f>
        <v>Lebenszykluskostenrechnungen in der Planung</v>
      </c>
      <c r="E88" s="353"/>
      <c r="F88" s="347"/>
      <c r="G88" s="356"/>
      <c r="H88" s="21">
        <v>10</v>
      </c>
      <c r="I88" s="349"/>
      <c r="J88" s="340"/>
      <c r="K88" s="341"/>
      <c r="L88" s="341"/>
      <c r="M88" s="341"/>
      <c r="N88" s="342"/>
      <c r="P88" s="18">
        <f t="shared" si="1"/>
        <v>0</v>
      </c>
      <c r="Q88" s="338"/>
      <c r="R88" s="344"/>
      <c r="S88" s="344"/>
      <c r="T88" s="344"/>
      <c r="U88" s="475"/>
    </row>
    <row r="89" spans="2:21" ht="26.4" x14ac:dyDescent="0.25">
      <c r="B89" s="346"/>
      <c r="C89" s="351"/>
      <c r="D89" s="398" t="s">
        <v>58</v>
      </c>
      <c r="E89" s="150" t="str">
        <f>HLOOKUP(Deckblatt!$C$12,Language!$C$1:$D$730,100,FALSE)</f>
        <v>Integration von Lebenszykluskostenrechnungen in den Planungsprozess</v>
      </c>
      <c r="F89" s="348"/>
      <c r="G89" s="356"/>
      <c r="H89" s="21">
        <v>10</v>
      </c>
      <c r="I89" s="350"/>
      <c r="J89" s="340"/>
      <c r="K89" s="341"/>
      <c r="L89" s="341"/>
      <c r="M89" s="341"/>
      <c r="N89" s="342"/>
      <c r="P89" s="18">
        <f t="shared" si="1"/>
        <v>0</v>
      </c>
      <c r="Q89" s="338"/>
      <c r="R89" s="344"/>
      <c r="S89" s="344"/>
      <c r="T89" s="344"/>
      <c r="U89" s="475"/>
    </row>
    <row r="90" spans="2:21" ht="66" x14ac:dyDescent="0.25">
      <c r="B90" s="346"/>
      <c r="C90" s="351"/>
      <c r="D90" s="414"/>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348"/>
      <c r="G90" s="69"/>
      <c r="H90" s="18">
        <v>5</v>
      </c>
      <c r="I90" s="350"/>
      <c r="J90" s="340"/>
      <c r="K90" s="341"/>
      <c r="L90" s="341"/>
      <c r="M90" s="341"/>
      <c r="N90" s="342"/>
      <c r="P90" s="18">
        <f t="shared" si="1"/>
        <v>0</v>
      </c>
      <c r="Q90" s="338"/>
      <c r="R90" s="344"/>
      <c r="S90" s="344"/>
      <c r="T90" s="344"/>
      <c r="U90" s="475"/>
    </row>
    <row r="91" spans="2:21" ht="39.6" x14ac:dyDescent="0.25">
      <c r="B91" s="346"/>
      <c r="C91" s="351"/>
      <c r="D91" s="399"/>
      <c r="E91" s="134" t="str">
        <f>HLOOKUP(Deckblatt!$C$12,Language!$C$1:$D$730,102,FALSE)</f>
        <v xml:space="preserve">Maßnahmen mit Einfluss auf die Lebenszykluskosten werden planungsbegleitend regelmäßig (an den jeweiligen Planungsstand angepasst) ermittelt und im Planungsteam kommuniziert. </v>
      </c>
      <c r="F91" s="348"/>
      <c r="G91" s="69"/>
      <c r="H91" s="18">
        <v>5</v>
      </c>
      <c r="I91" s="350"/>
      <c r="J91" s="340"/>
      <c r="K91" s="341"/>
      <c r="L91" s="341"/>
      <c r="M91" s="341"/>
      <c r="N91" s="342"/>
      <c r="P91" s="18">
        <f t="shared" si="1"/>
        <v>0</v>
      </c>
      <c r="Q91" s="338"/>
      <c r="R91" s="344"/>
      <c r="S91" s="344"/>
      <c r="T91" s="344"/>
      <c r="U91" s="475"/>
    </row>
    <row r="92" spans="2:21" x14ac:dyDescent="0.25">
      <c r="B92" s="346"/>
      <c r="C92" s="351" t="s">
        <v>61</v>
      </c>
      <c r="D92" s="352" t="str">
        <f>HLOOKUP(Deckblatt!$C$12,Language!$C$1:$D$730,103,FALSE)</f>
        <v>Lebenszykluskostenoptimierung</v>
      </c>
      <c r="E92" s="353"/>
      <c r="F92" s="348"/>
      <c r="G92" s="356"/>
      <c r="H92" s="21">
        <v>10</v>
      </c>
      <c r="I92" s="350"/>
      <c r="J92" s="340"/>
      <c r="K92" s="341"/>
      <c r="L92" s="341"/>
      <c r="M92" s="341"/>
      <c r="N92" s="342"/>
      <c r="P92" s="18">
        <f t="shared" si="1"/>
        <v>0</v>
      </c>
      <c r="Q92" s="338"/>
      <c r="R92" s="344"/>
      <c r="S92" s="344"/>
      <c r="T92" s="344"/>
      <c r="U92" s="475"/>
    </row>
    <row r="93" spans="2:21" x14ac:dyDescent="0.25">
      <c r="B93" s="346"/>
      <c r="C93" s="351"/>
      <c r="D93" s="398" t="s">
        <v>63</v>
      </c>
      <c r="E93" s="150" t="str">
        <f>HLOOKUP(Deckblatt!$C$12,Language!$C$1:$D$730,104,FALSE)</f>
        <v>Planungsbegleitende Lebenszykluskostenoptimierung</v>
      </c>
      <c r="F93" s="348"/>
      <c r="G93" s="356"/>
      <c r="H93" s="21">
        <v>10</v>
      </c>
      <c r="I93" s="350"/>
      <c r="J93" s="340"/>
      <c r="K93" s="341"/>
      <c r="L93" s="341"/>
      <c r="M93" s="341"/>
      <c r="N93" s="342"/>
      <c r="P93" s="18">
        <f t="shared" si="1"/>
        <v>0</v>
      </c>
      <c r="Q93" s="338"/>
      <c r="R93" s="344"/>
      <c r="S93" s="344"/>
      <c r="T93" s="344"/>
      <c r="U93" s="475"/>
    </row>
    <row r="94" spans="2:21" ht="39.6" x14ac:dyDescent="0.25">
      <c r="B94" s="346"/>
      <c r="C94" s="351"/>
      <c r="D94" s="399"/>
      <c r="E94" s="134" t="str">
        <f>HLOOKUP(Deckblatt!$C$12,Language!$C$1:$D$730,105,FALSE)</f>
        <v>- Umfassende Betrachtung  (10 Punkte)
ODER
- Teilbetrachtung (5 Punkte)</v>
      </c>
      <c r="F94" s="348"/>
      <c r="G94" s="69"/>
      <c r="H94" s="18">
        <v>10</v>
      </c>
      <c r="I94" s="350"/>
      <c r="J94" s="340"/>
      <c r="K94" s="341"/>
      <c r="L94" s="341"/>
      <c r="M94" s="341"/>
      <c r="N94" s="342"/>
      <c r="P94" s="18">
        <f t="shared" si="1"/>
        <v>0</v>
      </c>
      <c r="Q94" s="338"/>
      <c r="R94" s="344"/>
      <c r="S94" s="344"/>
      <c r="T94" s="344"/>
      <c r="U94" s="475"/>
    </row>
    <row r="95" spans="2:21" ht="118.8" x14ac:dyDescent="0.25">
      <c r="B95" s="346"/>
      <c r="C95" s="351"/>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348"/>
      <c r="G95" s="69"/>
      <c r="H95" s="18">
        <v>10</v>
      </c>
      <c r="I95" s="350"/>
      <c r="J95" s="340"/>
      <c r="K95" s="341"/>
      <c r="L95" s="341"/>
      <c r="M95" s="341"/>
      <c r="N95" s="342"/>
      <c r="P95" s="18">
        <f t="shared" si="1"/>
        <v>0</v>
      </c>
      <c r="Q95" s="338"/>
      <c r="R95" s="344"/>
      <c r="S95" s="344"/>
      <c r="T95" s="344"/>
      <c r="U95" s="475"/>
    </row>
    <row r="96" spans="2:21" ht="108" customHeight="1" x14ac:dyDescent="0.25">
      <c r="B96" s="346"/>
      <c r="C96" s="351"/>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348"/>
      <c r="G96" s="69"/>
      <c r="H96" s="18">
        <v>10</v>
      </c>
      <c r="I96" s="350"/>
      <c r="J96" s="340"/>
      <c r="K96" s="341"/>
      <c r="L96" s="341"/>
      <c r="M96" s="341"/>
      <c r="N96" s="342"/>
      <c r="P96" s="18">
        <f t="shared" si="1"/>
        <v>0</v>
      </c>
      <c r="Q96" s="338"/>
      <c r="R96" s="344"/>
      <c r="S96" s="344"/>
      <c r="T96" s="344"/>
      <c r="U96" s="475"/>
    </row>
    <row r="97" spans="2:21" x14ac:dyDescent="0.25">
      <c r="B97" s="346"/>
      <c r="C97" s="351" t="s">
        <v>67</v>
      </c>
      <c r="D97" s="352" t="str">
        <f>HLOOKUP(Deckblatt!$C$12,Language!$C$1:$D$730,111,FALSE)</f>
        <v>Benchmarkberechnung</v>
      </c>
      <c r="E97" s="353"/>
      <c r="F97" s="348"/>
      <c r="G97" s="113"/>
      <c r="H97" s="21">
        <v>80</v>
      </c>
      <c r="I97" s="350"/>
      <c r="J97" s="340"/>
      <c r="K97" s="341"/>
      <c r="L97" s="341"/>
      <c r="M97" s="341"/>
      <c r="N97" s="342"/>
      <c r="P97" s="18">
        <f t="shared" si="1"/>
        <v>0</v>
      </c>
      <c r="Q97" s="338"/>
      <c r="R97" s="344"/>
      <c r="S97" s="344"/>
      <c r="T97" s="344"/>
      <c r="U97" s="475"/>
    </row>
    <row r="98" spans="2:21" ht="26.4" x14ac:dyDescent="0.25">
      <c r="B98" s="346"/>
      <c r="C98" s="351"/>
      <c r="D98" s="71" t="s">
        <v>69</v>
      </c>
      <c r="E98" s="150" t="str">
        <f>HLOOKUP(Deckblatt!$C$12,Language!$C$1:$D$730,112,FALSE)</f>
        <v xml:space="preserve">Öffentliche Flächen und Erschließung
</v>
      </c>
      <c r="F98" s="348"/>
      <c r="G98" s="69"/>
      <c r="H98" s="18">
        <v>48</v>
      </c>
      <c r="I98" s="350"/>
      <c r="J98" s="340"/>
      <c r="K98" s="341"/>
      <c r="L98" s="341"/>
      <c r="M98" s="341"/>
      <c r="N98" s="342"/>
      <c r="P98" s="18">
        <f t="shared" si="1"/>
        <v>0</v>
      </c>
      <c r="Q98" s="338"/>
      <c r="R98" s="344"/>
      <c r="S98" s="344"/>
      <c r="T98" s="344"/>
      <c r="U98" s="475"/>
    </row>
    <row r="99" spans="2:21" ht="26.4" x14ac:dyDescent="0.25">
      <c r="B99" s="346"/>
      <c r="C99" s="351"/>
      <c r="D99" s="71" t="s">
        <v>78</v>
      </c>
      <c r="E99" s="150" t="str">
        <f>HLOOKUP(Deckblatt!$C$12,Language!$C$1:$D$730,113,FALSE)</f>
        <v xml:space="preserve">Gebäude und private Freiflächen
</v>
      </c>
      <c r="F99" s="348"/>
      <c r="G99" s="69"/>
      <c r="H99" s="18">
        <v>32</v>
      </c>
      <c r="I99" s="350"/>
      <c r="J99" s="340"/>
      <c r="K99" s="341"/>
      <c r="L99" s="341"/>
      <c r="M99" s="341"/>
      <c r="N99" s="342"/>
      <c r="P99" s="18">
        <f t="shared" si="1"/>
        <v>0</v>
      </c>
      <c r="Q99" s="338"/>
      <c r="R99" s="344"/>
      <c r="S99" s="344"/>
      <c r="T99" s="344"/>
      <c r="U99" s="475"/>
    </row>
    <row r="100" spans="2:21" x14ac:dyDescent="0.25">
      <c r="B100" s="55" t="s">
        <v>178</v>
      </c>
      <c r="C100" s="354" t="str">
        <f>HLOOKUP(Deckblatt!$C$12,Language!$C$1:$D$730,114,FALSE)</f>
        <v>Resilienz und Wandlungsfähigkeit</v>
      </c>
      <c r="D100" s="354"/>
      <c r="E100" s="355"/>
      <c r="F100" s="56">
        <f>Q100</f>
        <v>0</v>
      </c>
      <c r="G100" s="364"/>
      <c r="H100" s="21">
        <v>110</v>
      </c>
      <c r="I100" s="176">
        <v>3</v>
      </c>
      <c r="J100" s="340"/>
      <c r="K100" s="341"/>
      <c r="L100" s="341"/>
      <c r="M100" s="341"/>
      <c r="N100" s="342"/>
      <c r="P100" s="18">
        <f t="shared" si="1"/>
        <v>0</v>
      </c>
      <c r="Q100" s="337">
        <f>SUM(P103:P106,P108:P109,P111:P114,P116,P119:P122)</f>
        <v>0</v>
      </c>
      <c r="R100" s="343">
        <f>Q100/100</f>
        <v>0</v>
      </c>
      <c r="S100" s="344"/>
      <c r="T100" s="344"/>
      <c r="U100" s="475"/>
    </row>
    <row r="101" spans="2:21" x14ac:dyDescent="0.25">
      <c r="B101" s="345"/>
      <c r="C101" s="351" t="s">
        <v>54</v>
      </c>
      <c r="D101" s="352" t="str">
        <f>HLOOKUP(Deckblatt!$C$12,Language!$C$1:$D$730,115,FALSE)</f>
        <v>Klima</v>
      </c>
      <c r="E101" s="353"/>
      <c r="F101" s="347"/>
      <c r="G101" s="364"/>
      <c r="H101" s="21">
        <v>25</v>
      </c>
      <c r="I101" s="349"/>
      <c r="J101" s="340"/>
      <c r="K101" s="341"/>
      <c r="L101" s="341"/>
      <c r="M101" s="341"/>
      <c r="N101" s="342"/>
      <c r="P101" s="18">
        <f t="shared" si="1"/>
        <v>0</v>
      </c>
      <c r="Q101" s="338"/>
      <c r="R101" s="344"/>
      <c r="S101" s="344"/>
      <c r="T101" s="344"/>
      <c r="U101" s="475"/>
    </row>
    <row r="102" spans="2:21" x14ac:dyDescent="0.25">
      <c r="B102" s="346"/>
      <c r="C102" s="351"/>
      <c r="D102" s="361" t="s">
        <v>58</v>
      </c>
      <c r="E102" s="150" t="str">
        <f>HLOOKUP(Deckblatt!$C$12,Language!$C$1:$D$730,116,FALSE)</f>
        <v>Klima</v>
      </c>
      <c r="F102" s="348"/>
      <c r="G102" s="364"/>
      <c r="H102" s="21">
        <v>19.5</v>
      </c>
      <c r="I102" s="350"/>
      <c r="J102" s="340"/>
      <c r="K102" s="341"/>
      <c r="L102" s="341"/>
      <c r="M102" s="341"/>
      <c r="N102" s="342"/>
      <c r="P102" s="18">
        <f t="shared" si="1"/>
        <v>0</v>
      </c>
      <c r="Q102" s="338"/>
      <c r="R102" s="344"/>
      <c r="S102" s="344"/>
      <c r="T102" s="344"/>
      <c r="U102" s="475"/>
    </row>
    <row r="103" spans="2:21" ht="26.4" x14ac:dyDescent="0.25">
      <c r="B103" s="346"/>
      <c r="C103" s="351"/>
      <c r="D103" s="361"/>
      <c r="E103" s="134" t="str">
        <f>HLOOKUP(Deckblatt!$C$12,Language!$C$1:$D$730,117,FALSE)</f>
        <v xml:space="preserve">Stadtklima (PUNKTE aus ENV1.5/100) * 6,5
</v>
      </c>
      <c r="F103" s="348"/>
      <c r="G103" s="69"/>
      <c r="H103" s="18">
        <v>6.5</v>
      </c>
      <c r="I103" s="350"/>
      <c r="J103" s="340"/>
      <c r="K103" s="341"/>
      <c r="L103" s="341"/>
      <c r="M103" s="341"/>
      <c r="N103" s="342"/>
      <c r="P103" s="18">
        <f t="shared" si="1"/>
        <v>0</v>
      </c>
      <c r="Q103" s="338"/>
      <c r="R103" s="344"/>
      <c r="S103" s="344"/>
      <c r="T103" s="344"/>
      <c r="U103" s="475"/>
    </row>
    <row r="104" spans="2:21" ht="26.4" x14ac:dyDescent="0.25">
      <c r="B104" s="346"/>
      <c r="C104" s="351"/>
      <c r="D104" s="361"/>
      <c r="E104" s="134" t="str">
        <f>HLOOKUP(Deckblatt!$C$12,Language!$C$1:$D$730,118,FALSE)</f>
        <v xml:space="preserve">Wasserkreislaufsysteme (PUNKTE aus ENV2.2/100) * 6,5
</v>
      </c>
      <c r="F104" s="348"/>
      <c r="G104" s="69"/>
      <c r="H104" s="18">
        <v>6.5</v>
      </c>
      <c r="I104" s="350"/>
      <c r="J104" s="340"/>
      <c r="K104" s="341"/>
      <c r="L104" s="341"/>
      <c r="M104" s="341"/>
      <c r="N104" s="342"/>
      <c r="P104" s="18">
        <f t="shared" si="1"/>
        <v>0</v>
      </c>
      <c r="Q104" s="338"/>
      <c r="R104" s="344"/>
      <c r="S104" s="344"/>
      <c r="T104" s="344"/>
      <c r="U104" s="475"/>
    </row>
    <row r="105" spans="2:21" ht="26.4" x14ac:dyDescent="0.25">
      <c r="B105" s="346"/>
      <c r="C105" s="351"/>
      <c r="D105" s="361"/>
      <c r="E105" s="134" t="str">
        <f>HLOOKUP(Deckblatt!$C$12,Language!$C$1:$D$730,119,FALSE)</f>
        <v xml:space="preserve">Umweltrisiken (PUNKTE aus ECO2.5/100) * 6,5
</v>
      </c>
      <c r="F105" s="348"/>
      <c r="G105" s="69"/>
      <c r="H105" s="18">
        <v>6.5</v>
      </c>
      <c r="I105" s="350"/>
      <c r="J105" s="340"/>
      <c r="K105" s="341"/>
      <c r="L105" s="341"/>
      <c r="M105" s="341"/>
      <c r="N105" s="342"/>
      <c r="P105" s="18">
        <f t="shared" si="1"/>
        <v>0</v>
      </c>
      <c r="Q105" s="338"/>
      <c r="R105" s="344"/>
      <c r="S105" s="344"/>
      <c r="T105" s="344"/>
      <c r="U105" s="475"/>
    </row>
    <row r="106" spans="2:21" ht="39.6" x14ac:dyDescent="0.25">
      <c r="B106" s="346"/>
      <c r="C106" s="351"/>
      <c r="D106" s="71" t="s">
        <v>181</v>
      </c>
      <c r="E106" s="150" t="str">
        <f>HLOOKUP(Deckblatt!$C$12,Language!$C$1:$D$730,120,FALSE)</f>
        <v xml:space="preserve">Klimaanpassungsplan
Die Kommune hat einen Klimaanpassungsplan
</v>
      </c>
      <c r="F106" s="348"/>
      <c r="G106" s="69"/>
      <c r="H106" s="18">
        <v>5.5</v>
      </c>
      <c r="I106" s="350"/>
      <c r="J106" s="340"/>
      <c r="K106" s="341"/>
      <c r="L106" s="341"/>
      <c r="M106" s="341"/>
      <c r="N106" s="342"/>
      <c r="P106" s="18">
        <f t="shared" si="1"/>
        <v>0</v>
      </c>
      <c r="Q106" s="338"/>
      <c r="R106" s="344"/>
      <c r="S106" s="344"/>
      <c r="T106" s="344"/>
      <c r="U106" s="475"/>
    </row>
    <row r="107" spans="2:21" x14ac:dyDescent="0.25">
      <c r="B107" s="346"/>
      <c r="C107" s="351" t="s">
        <v>61</v>
      </c>
      <c r="D107" s="352" t="str">
        <f>HLOOKUP(Deckblatt!$C$12,Language!$C$1:$D$730,121,FALSE)</f>
        <v>Anpassungsfähigkeit</v>
      </c>
      <c r="E107" s="353"/>
      <c r="F107" s="348"/>
      <c r="G107" s="113"/>
      <c r="H107" s="21">
        <v>20</v>
      </c>
      <c r="I107" s="350"/>
      <c r="J107" s="340"/>
      <c r="K107" s="341"/>
      <c r="L107" s="341"/>
      <c r="M107" s="341"/>
      <c r="N107" s="342"/>
      <c r="P107" s="18">
        <f t="shared" si="1"/>
        <v>0</v>
      </c>
      <c r="Q107" s="338"/>
      <c r="R107" s="344"/>
      <c r="S107" s="344"/>
      <c r="T107" s="344"/>
      <c r="U107" s="475"/>
    </row>
    <row r="108" spans="2:21" ht="52.8" x14ac:dyDescent="0.25">
      <c r="B108" s="346"/>
      <c r="C108" s="351"/>
      <c r="D108" s="71" t="s">
        <v>63</v>
      </c>
      <c r="E108" s="150" t="str">
        <f>HLOOKUP(Deckblatt!$C$12,Language!$C$1:$D$730,122,FALSE)</f>
        <v xml:space="preserve">Trendforschung
Bei der Planung wurde ein Trendbarometer für die Region/Stadt berücksichtigt. 
</v>
      </c>
      <c r="F108" s="348"/>
      <c r="G108" s="69"/>
      <c r="H108" s="18">
        <v>10</v>
      </c>
      <c r="I108" s="350"/>
      <c r="J108" s="340"/>
      <c r="K108" s="341"/>
      <c r="L108" s="341"/>
      <c r="M108" s="341"/>
      <c r="N108" s="342"/>
      <c r="P108" s="18">
        <f t="shared" si="1"/>
        <v>0</v>
      </c>
      <c r="Q108" s="338"/>
      <c r="R108" s="344"/>
      <c r="S108" s="344"/>
      <c r="T108" s="344"/>
      <c r="U108" s="475"/>
    </row>
    <row r="109" spans="2:21" ht="66" x14ac:dyDescent="0.25">
      <c r="B109" s="346"/>
      <c r="C109" s="351"/>
      <c r="D109" s="71" t="s">
        <v>186</v>
      </c>
      <c r="E109" s="150" t="str">
        <f>HLOOKUP(Deckblatt!$C$12,Language!$C$1:$D$730,123,FALSE)</f>
        <v xml:space="preserve">Innovationsmanagement
Bei der Planung des Quartiers wurde darauf geachtet, dass zukünftige technische und soziale Innovationen intergiert werden können. 
</v>
      </c>
      <c r="F109" s="348"/>
      <c r="G109" s="69"/>
      <c r="H109" s="18">
        <v>10</v>
      </c>
      <c r="I109" s="350"/>
      <c r="J109" s="340"/>
      <c r="K109" s="341"/>
      <c r="L109" s="341"/>
      <c r="M109" s="341"/>
      <c r="N109" s="342"/>
      <c r="P109" s="18">
        <f t="shared" si="1"/>
        <v>0</v>
      </c>
      <c r="Q109" s="338"/>
      <c r="R109" s="344"/>
      <c r="S109" s="344"/>
      <c r="T109" s="344"/>
      <c r="U109" s="475"/>
    </row>
    <row r="110" spans="2:21" x14ac:dyDescent="0.25">
      <c r="B110" s="346"/>
      <c r="C110" s="351" t="s">
        <v>64</v>
      </c>
      <c r="D110" s="352" t="str">
        <f>HLOOKUP(Deckblatt!$C$12,Language!$C$1:$D$730,124,FALSE)</f>
        <v>Versorgung und Erschließung</v>
      </c>
      <c r="E110" s="353"/>
      <c r="F110" s="348"/>
      <c r="G110" s="113"/>
      <c r="H110" s="21">
        <v>47</v>
      </c>
      <c r="I110" s="350"/>
      <c r="J110" s="340"/>
      <c r="K110" s="341"/>
      <c r="L110" s="341"/>
      <c r="M110" s="341"/>
      <c r="N110" s="342"/>
      <c r="P110" s="18">
        <f t="shared" si="1"/>
        <v>0</v>
      </c>
      <c r="Q110" s="338"/>
      <c r="R110" s="344"/>
      <c r="S110" s="344"/>
      <c r="T110" s="344"/>
      <c r="U110" s="475"/>
    </row>
    <row r="111" spans="2:21" ht="26.4" x14ac:dyDescent="0.25">
      <c r="B111" s="346"/>
      <c r="C111" s="351"/>
      <c r="D111" s="71" t="s">
        <v>66</v>
      </c>
      <c r="E111" s="150" t="str">
        <f>HLOOKUP(Deckblatt!$C$12,Language!$C$1:$D$730,125,FALSE)</f>
        <v xml:space="preserve">Versorgungssicherheit Trinkwasser
</v>
      </c>
      <c r="F111" s="348"/>
      <c r="G111" s="69"/>
      <c r="H111" s="18">
        <v>10</v>
      </c>
      <c r="I111" s="350"/>
      <c r="J111" s="340"/>
      <c r="K111" s="341"/>
      <c r="L111" s="341"/>
      <c r="M111" s="341"/>
      <c r="N111" s="342"/>
      <c r="P111" s="18">
        <f t="shared" si="1"/>
        <v>0</v>
      </c>
      <c r="Q111" s="338"/>
      <c r="R111" s="344"/>
      <c r="S111" s="344"/>
      <c r="T111" s="344"/>
      <c r="U111" s="475"/>
    </row>
    <row r="112" spans="2:21" ht="26.4" x14ac:dyDescent="0.25">
      <c r="B112" s="346"/>
      <c r="C112" s="351"/>
      <c r="D112" s="71" t="s">
        <v>188</v>
      </c>
      <c r="E112" s="150" t="str">
        <f>HLOOKUP(Deckblatt!$C$12,Language!$C$1:$D$730,126,FALSE)</f>
        <v xml:space="preserve">Versorgungssicherheit Abwasser
</v>
      </c>
      <c r="F112" s="348"/>
      <c r="G112" s="69"/>
      <c r="H112" s="18">
        <v>5</v>
      </c>
      <c r="I112" s="350"/>
      <c r="J112" s="340"/>
      <c r="K112" s="341"/>
      <c r="L112" s="341"/>
      <c r="M112" s="341"/>
      <c r="N112" s="342"/>
      <c r="P112" s="18">
        <f t="shared" si="1"/>
        <v>0</v>
      </c>
      <c r="Q112" s="338"/>
      <c r="R112" s="344"/>
      <c r="S112" s="344"/>
      <c r="T112" s="344"/>
      <c r="U112" s="475"/>
    </row>
    <row r="113" spans="2:21" ht="105.6" x14ac:dyDescent="0.25">
      <c r="B113" s="346"/>
      <c r="C113" s="351"/>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348"/>
      <c r="G113" s="69"/>
      <c r="H113" s="18">
        <v>15</v>
      </c>
      <c r="I113" s="350"/>
      <c r="J113" s="340"/>
      <c r="K113" s="341"/>
      <c r="L113" s="341"/>
      <c r="M113" s="341"/>
      <c r="N113" s="342"/>
      <c r="P113" s="18">
        <f t="shared" si="1"/>
        <v>0</v>
      </c>
      <c r="Q113" s="338"/>
      <c r="R113" s="344"/>
      <c r="S113" s="344"/>
      <c r="T113" s="344"/>
      <c r="U113" s="475"/>
    </row>
    <row r="114" spans="2:21" ht="39.6" x14ac:dyDescent="0.25">
      <c r="B114" s="346"/>
      <c r="C114" s="351"/>
      <c r="D114" s="71" t="s">
        <v>189</v>
      </c>
      <c r="E114" s="134" t="str">
        <f>HLOOKUP(Deckblatt!$C$12,Language!$C$1:$D$730,132,FALSE)</f>
        <v xml:space="preserve">Flexibilität und Ausbaureserven der  technischen Quartiersinfrastruktur / Gebäude
</v>
      </c>
      <c r="F114" s="348"/>
      <c r="G114" s="69"/>
      <c r="H114" s="18">
        <v>12</v>
      </c>
      <c r="I114" s="350"/>
      <c r="J114" s="340"/>
      <c r="K114" s="341"/>
      <c r="L114" s="341"/>
      <c r="M114" s="341"/>
      <c r="N114" s="342"/>
      <c r="P114" s="18">
        <f t="shared" si="1"/>
        <v>0</v>
      </c>
      <c r="Q114" s="338"/>
      <c r="R114" s="344"/>
      <c r="S114" s="344"/>
      <c r="T114" s="344"/>
      <c r="U114" s="475"/>
    </row>
    <row r="115" spans="2:21" x14ac:dyDescent="0.25">
      <c r="B115" s="346"/>
      <c r="C115" s="351"/>
      <c r="D115" s="361" t="s">
        <v>190</v>
      </c>
      <c r="E115" s="150" t="str">
        <f>HLOOKUP(Deckblatt!$C$12,Language!$C$1:$D$730,133,FALSE)</f>
        <v>Redundanz und Resilienz der Verkehrssysteme</v>
      </c>
      <c r="F115" s="348"/>
      <c r="G115" s="113"/>
      <c r="H115" s="21">
        <v>5</v>
      </c>
      <c r="I115" s="350"/>
      <c r="J115" s="340"/>
      <c r="K115" s="341"/>
      <c r="L115" s="341"/>
      <c r="M115" s="341"/>
      <c r="N115" s="342"/>
      <c r="P115" s="18">
        <f t="shared" si="1"/>
        <v>0</v>
      </c>
      <c r="Q115" s="338"/>
      <c r="R115" s="344"/>
      <c r="S115" s="344"/>
      <c r="T115" s="344"/>
      <c r="U115" s="475"/>
    </row>
    <row r="116" spans="2:21" ht="66" x14ac:dyDescent="0.25">
      <c r="B116" s="346"/>
      <c r="C116" s="351"/>
      <c r="D116" s="361"/>
      <c r="E116"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6" s="348"/>
      <c r="G116" s="69"/>
      <c r="H116" s="18">
        <v>5</v>
      </c>
      <c r="I116" s="350"/>
      <c r="J116" s="340"/>
      <c r="K116" s="341"/>
      <c r="L116" s="341"/>
      <c r="M116" s="341"/>
      <c r="N116" s="342"/>
      <c r="P116" s="18">
        <f t="shared" si="1"/>
        <v>0</v>
      </c>
      <c r="Q116" s="338"/>
      <c r="R116" s="344"/>
      <c r="S116" s="344"/>
      <c r="T116" s="344"/>
      <c r="U116" s="475"/>
    </row>
    <row r="117" spans="2:21" x14ac:dyDescent="0.25">
      <c r="B117" s="346"/>
      <c r="C117" s="359" t="s">
        <v>67</v>
      </c>
      <c r="D117" s="352" t="str">
        <f>HLOOKUP(Deckblatt!$C$12,Language!$C$1:$D$730,135,FALSE)</f>
        <v>Städtebau und Architektur</v>
      </c>
      <c r="E117" s="353"/>
      <c r="F117" s="348"/>
      <c r="G117" s="356"/>
      <c r="H117" s="21">
        <v>8</v>
      </c>
      <c r="I117" s="350"/>
      <c r="J117" s="340"/>
      <c r="K117" s="341"/>
      <c r="L117" s="341"/>
      <c r="M117" s="341"/>
      <c r="N117" s="342"/>
      <c r="P117" s="18">
        <f t="shared" si="1"/>
        <v>0</v>
      </c>
      <c r="Q117" s="338"/>
      <c r="R117" s="344"/>
      <c r="S117" s="344"/>
      <c r="T117" s="344"/>
      <c r="U117" s="475"/>
    </row>
    <row r="118" spans="2:21" x14ac:dyDescent="0.25">
      <c r="B118" s="346"/>
      <c r="C118" s="390"/>
      <c r="D118" s="361" t="s">
        <v>69</v>
      </c>
      <c r="E118" s="150" t="str">
        <f>HLOOKUP(Deckblatt!$C$12,Language!$C$1:$D$730,136,FALSE)</f>
        <v>Städtebau</v>
      </c>
      <c r="F118" s="348"/>
      <c r="G118" s="356"/>
      <c r="H118" s="21">
        <v>8</v>
      </c>
      <c r="I118" s="350"/>
      <c r="J118" s="340"/>
      <c r="K118" s="341"/>
      <c r="L118" s="341"/>
      <c r="M118" s="341"/>
      <c r="N118" s="342"/>
      <c r="P118" s="18">
        <f t="shared" si="1"/>
        <v>0</v>
      </c>
      <c r="Q118" s="338"/>
      <c r="R118" s="344"/>
      <c r="S118" s="344"/>
      <c r="T118" s="344"/>
      <c r="U118" s="475"/>
    </row>
    <row r="119" spans="2:21" ht="66" x14ac:dyDescent="0.25">
      <c r="B119" s="346"/>
      <c r="C119" s="390"/>
      <c r="D119" s="361"/>
      <c r="E119"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19" s="348"/>
      <c r="G119" s="69"/>
      <c r="H119" s="18">
        <v>4</v>
      </c>
      <c r="I119" s="350"/>
      <c r="J119" s="340"/>
      <c r="K119" s="341"/>
      <c r="L119" s="341"/>
      <c r="M119" s="341"/>
      <c r="N119" s="342"/>
      <c r="P119" s="18">
        <f t="shared" si="1"/>
        <v>0</v>
      </c>
      <c r="Q119" s="338"/>
      <c r="R119" s="344"/>
      <c r="S119" s="344"/>
      <c r="T119" s="344"/>
      <c r="U119" s="475"/>
    </row>
    <row r="120" spans="2:21" ht="52.8" x14ac:dyDescent="0.25">
      <c r="B120" s="346"/>
      <c r="C120" s="390"/>
      <c r="D120" s="361"/>
      <c r="E120" s="134" t="str">
        <f>HLOOKUP(Deckblatt!$C$12,Language!$C$1:$D$730,138,FALSE)</f>
        <v xml:space="preserve">Die Planungen und Festsetzungen lassen unterschiedliche Bauweisen, Gebäudetypologien und/oder Trauf- und Geschosshöhen auf den Baufeldern zu.
</v>
      </c>
      <c r="F120" s="348"/>
      <c r="G120" s="69"/>
      <c r="H120" s="18">
        <v>2</v>
      </c>
      <c r="I120" s="350"/>
      <c r="J120" s="340"/>
      <c r="K120" s="341"/>
      <c r="L120" s="341"/>
      <c r="M120" s="341"/>
      <c r="N120" s="342"/>
      <c r="P120" s="18">
        <f t="shared" si="1"/>
        <v>0</v>
      </c>
      <c r="Q120" s="338"/>
      <c r="R120" s="344"/>
      <c r="S120" s="344"/>
      <c r="T120" s="344"/>
      <c r="U120" s="475"/>
    </row>
    <row r="121" spans="2:21" ht="39.6" x14ac:dyDescent="0.25">
      <c r="B121" s="346"/>
      <c r="C121" s="390"/>
      <c r="D121" s="361"/>
      <c r="E121" s="134" t="str">
        <f>HLOOKUP(Deckblatt!$C$12,Language!$C$1:$D$730,139,FALSE)</f>
        <v xml:space="preserve">Die Gestaltung des öffentlichen Raums lässt zukünftige Anpassungen der Straßenbreite zu.
</v>
      </c>
      <c r="F121" s="348"/>
      <c r="G121" s="69"/>
      <c r="H121" s="18">
        <v>2</v>
      </c>
      <c r="I121" s="350"/>
      <c r="J121" s="340"/>
      <c r="K121" s="341"/>
      <c r="L121" s="341"/>
      <c r="M121" s="341"/>
      <c r="N121" s="342"/>
      <c r="P121" s="18">
        <f t="shared" si="1"/>
        <v>0</v>
      </c>
      <c r="Q121" s="338"/>
      <c r="R121" s="344"/>
      <c r="S121" s="344"/>
      <c r="T121" s="344"/>
      <c r="U121" s="475"/>
    </row>
    <row r="122" spans="2:21" ht="105.6" x14ac:dyDescent="0.25">
      <c r="B122" s="370"/>
      <c r="C122" s="360"/>
      <c r="D122" s="71" t="s">
        <v>78</v>
      </c>
      <c r="E122" s="68" t="str">
        <f>HLOOKUP(Deckblatt!$C$12,Language!$C$1:$D$730,140,FALSE)</f>
        <v xml:space="preserve">CIRCULAR ECONOMY BONUS – RÜCKBAUFREUNDLICHE BAUKONSTRUKTION
Es gibt quartiersübergreifende Rückbaukonzepte für Gebäude und / oder Infrastruktur
Gebäude: 5 Punkte
Infrastruktur: 5 Punkte
</v>
      </c>
      <c r="F122" s="371"/>
      <c r="G122" s="69"/>
      <c r="H122" s="18">
        <v>10</v>
      </c>
      <c r="I122" s="366"/>
      <c r="J122" s="340"/>
      <c r="K122" s="341"/>
      <c r="L122" s="341"/>
      <c r="M122" s="341"/>
      <c r="N122" s="342"/>
      <c r="P122" s="18">
        <f t="shared" si="1"/>
        <v>0</v>
      </c>
      <c r="Q122" s="339"/>
      <c r="R122" s="365"/>
      <c r="S122" s="344"/>
      <c r="T122" s="344"/>
      <c r="U122" s="475"/>
    </row>
    <row r="123" spans="2:21" x14ac:dyDescent="0.25">
      <c r="B123" s="55" t="s">
        <v>201</v>
      </c>
      <c r="C123" s="354" t="str">
        <f>HLOOKUP(Deckblatt!$C$12,Language!$C$1:$D$730,141,FALSE)</f>
        <v>Flächeneffizienz</v>
      </c>
      <c r="D123" s="354"/>
      <c r="E123" s="355"/>
      <c r="F123" s="56">
        <f>Q123</f>
        <v>0</v>
      </c>
      <c r="G123" s="364"/>
      <c r="H123" s="21">
        <v>100</v>
      </c>
      <c r="I123" s="176">
        <v>3</v>
      </c>
      <c r="J123" s="340"/>
      <c r="K123" s="341"/>
      <c r="L123" s="341"/>
      <c r="M123" s="341"/>
      <c r="N123" s="342"/>
      <c r="P123" s="18">
        <f t="shared" si="1"/>
        <v>0</v>
      </c>
      <c r="Q123" s="337">
        <f>P125+P127</f>
        <v>0</v>
      </c>
      <c r="R123" s="343">
        <f>Q123/100</f>
        <v>0</v>
      </c>
      <c r="S123" s="344"/>
      <c r="T123" s="344"/>
      <c r="U123" s="475"/>
    </row>
    <row r="124" spans="2:21" x14ac:dyDescent="0.25">
      <c r="B124" s="375"/>
      <c r="C124" s="351" t="s">
        <v>54</v>
      </c>
      <c r="D124" s="352" t="str">
        <f>HLOOKUP(Deckblatt!$C$12,Language!$C$1:$D$730,142,FALSE)</f>
        <v>Erschließungseffizienz des Quartiers</v>
      </c>
      <c r="E124" s="353"/>
      <c r="F124" s="363"/>
      <c r="G124" s="364"/>
      <c r="H124" s="21">
        <v>40</v>
      </c>
      <c r="I124" s="379"/>
      <c r="J124" s="340"/>
      <c r="K124" s="341"/>
      <c r="L124" s="341"/>
      <c r="M124" s="341"/>
      <c r="N124" s="342"/>
      <c r="P124" s="18">
        <f t="shared" si="1"/>
        <v>0</v>
      </c>
      <c r="Q124" s="338"/>
      <c r="R124" s="344"/>
      <c r="S124" s="344"/>
      <c r="T124" s="344"/>
      <c r="U124" s="475"/>
    </row>
    <row r="125" spans="2:21" ht="26.4" x14ac:dyDescent="0.25">
      <c r="B125" s="375"/>
      <c r="C125" s="351"/>
      <c r="D125" s="71" t="s">
        <v>58</v>
      </c>
      <c r="E125" s="150" t="str">
        <f>HLOOKUP(Deckblatt!$C$12,Language!$C$1:$D$730,143,FALSE)</f>
        <v xml:space="preserve">Erschließungseffizienzzahl (EEZ)
</v>
      </c>
      <c r="F125" s="363"/>
      <c r="G125" s="69"/>
      <c r="H125" s="18">
        <v>40</v>
      </c>
      <c r="I125" s="379"/>
      <c r="J125" s="340"/>
      <c r="K125" s="341"/>
      <c r="L125" s="341"/>
      <c r="M125" s="341"/>
      <c r="N125" s="342"/>
      <c r="P125" s="18">
        <f t="shared" si="1"/>
        <v>0</v>
      </c>
      <c r="Q125" s="338"/>
      <c r="R125" s="344"/>
      <c r="S125" s="344"/>
      <c r="T125" s="344"/>
      <c r="U125" s="475"/>
    </row>
    <row r="126" spans="2:21" x14ac:dyDescent="0.25">
      <c r="B126" s="375"/>
      <c r="C126" s="351" t="s">
        <v>61</v>
      </c>
      <c r="D126" s="352" t="str">
        <f>HLOOKUP(Deckblatt!$C$12,Language!$C$1:$D$730,145,FALSE)</f>
        <v>Baudichte</v>
      </c>
      <c r="E126" s="353"/>
      <c r="F126" s="363"/>
      <c r="G126" s="113"/>
      <c r="H126" s="21">
        <v>60</v>
      </c>
      <c r="I126" s="379"/>
      <c r="J126" s="340"/>
      <c r="K126" s="341"/>
      <c r="L126" s="341"/>
      <c r="M126" s="341"/>
      <c r="N126" s="342"/>
      <c r="P126" s="18">
        <f t="shared" si="1"/>
        <v>0</v>
      </c>
      <c r="Q126" s="338"/>
      <c r="R126" s="344"/>
      <c r="S126" s="344"/>
      <c r="T126" s="344"/>
      <c r="U126" s="475"/>
    </row>
    <row r="127" spans="2:21" ht="26.4" x14ac:dyDescent="0.25">
      <c r="B127" s="375"/>
      <c r="C127" s="351"/>
      <c r="D127" s="71" t="s">
        <v>63</v>
      </c>
      <c r="E127" s="150" t="str">
        <f>HLOOKUP(Deckblatt!$C$12,Language!$C$1:$D$730,146,FALSE)</f>
        <v xml:space="preserve">Geschossflächenanzahl (GFZ)
</v>
      </c>
      <c r="F127" s="363"/>
      <c r="G127" s="69"/>
      <c r="H127" s="18">
        <v>60</v>
      </c>
      <c r="I127" s="379"/>
      <c r="J127" s="340"/>
      <c r="K127" s="341"/>
      <c r="L127" s="341"/>
      <c r="M127" s="341"/>
      <c r="N127" s="342"/>
      <c r="P127" s="18">
        <f t="shared" si="1"/>
        <v>0</v>
      </c>
      <c r="Q127" s="339"/>
      <c r="R127" s="365"/>
      <c r="S127" s="344"/>
      <c r="T127" s="344"/>
      <c r="U127" s="475"/>
    </row>
    <row r="128" spans="2:21" x14ac:dyDescent="0.25">
      <c r="B128" s="55" t="s">
        <v>207</v>
      </c>
      <c r="C128" s="354" t="str">
        <f>HLOOKUP(Deckblatt!$C$12,Language!$C$1:$D$730,147,FALSE)</f>
        <v>Wertstabilität</v>
      </c>
      <c r="D128" s="354"/>
      <c r="E128" s="355"/>
      <c r="F128" s="56">
        <f>Q128</f>
        <v>0</v>
      </c>
      <c r="G128" s="364"/>
      <c r="H128" s="21">
        <v>100</v>
      </c>
      <c r="I128" s="176">
        <v>2</v>
      </c>
      <c r="J128" s="340"/>
      <c r="K128" s="341"/>
      <c r="L128" s="341"/>
      <c r="M128" s="341"/>
      <c r="N128" s="342"/>
      <c r="P128" s="18">
        <f t="shared" si="1"/>
        <v>0</v>
      </c>
      <c r="Q128" s="337">
        <f>SUM(P130,P132,P134:P137,P139:P143,P145:P146)</f>
        <v>0</v>
      </c>
      <c r="R128" s="343">
        <f>Q128/100</f>
        <v>0</v>
      </c>
      <c r="S128" s="344"/>
      <c r="T128" s="344"/>
      <c r="U128" s="475"/>
    </row>
    <row r="129" spans="2:21" x14ac:dyDescent="0.25">
      <c r="B129" s="375"/>
      <c r="C129" s="351" t="s">
        <v>54</v>
      </c>
      <c r="D129" s="352" t="str">
        <f>HLOOKUP(Deckblatt!$C$12,Language!$C$1:$D$730,148,FALSE)</f>
        <v>Diversifikation</v>
      </c>
      <c r="E129" s="353"/>
      <c r="F129" s="363"/>
      <c r="G129" s="364"/>
      <c r="H129" s="21">
        <v>30</v>
      </c>
      <c r="I129" s="379"/>
      <c r="J129" s="340"/>
      <c r="K129" s="341"/>
      <c r="L129" s="341"/>
      <c r="M129" s="341"/>
      <c r="N129" s="342"/>
      <c r="P129" s="18">
        <f t="shared" si="1"/>
        <v>0</v>
      </c>
      <c r="Q129" s="338"/>
      <c r="R129" s="344"/>
      <c r="S129" s="344"/>
      <c r="T129" s="344"/>
      <c r="U129" s="475"/>
    </row>
    <row r="130" spans="2:21" ht="26.4" x14ac:dyDescent="0.25">
      <c r="B130" s="375"/>
      <c r="C130" s="351"/>
      <c r="D130" s="71" t="s">
        <v>58</v>
      </c>
      <c r="E130" s="150" t="str">
        <f>HLOOKUP(Deckblatt!$C$12,Language!$C$1:$D$730,149,FALSE)</f>
        <v xml:space="preserve">Diversifikationsgrad
</v>
      </c>
      <c r="F130" s="363"/>
      <c r="G130" s="69"/>
      <c r="H130" s="18">
        <v>30</v>
      </c>
      <c r="I130" s="379"/>
      <c r="J130" s="340"/>
      <c r="K130" s="341"/>
      <c r="L130" s="341"/>
      <c r="M130" s="341"/>
      <c r="N130" s="342"/>
      <c r="P130" s="18">
        <f t="shared" si="1"/>
        <v>0</v>
      </c>
      <c r="Q130" s="338"/>
      <c r="R130" s="344"/>
      <c r="S130" s="344"/>
      <c r="T130" s="344"/>
      <c r="U130" s="475"/>
    </row>
    <row r="131" spans="2:21" x14ac:dyDescent="0.25">
      <c r="B131" s="375"/>
      <c r="C131" s="351" t="s">
        <v>61</v>
      </c>
      <c r="D131" s="352" t="str">
        <f>HLOOKUP(Deckblatt!$C$12,Language!$C$1:$D$730,150,FALSE)</f>
        <v>Kaufkraftkennziffer</v>
      </c>
      <c r="E131" s="353"/>
      <c r="F131" s="363"/>
      <c r="G131" s="113"/>
      <c r="H131" s="21">
        <v>10</v>
      </c>
      <c r="I131" s="379"/>
      <c r="J131" s="340"/>
      <c r="K131" s="341"/>
      <c r="L131" s="341"/>
      <c r="M131" s="341"/>
      <c r="N131" s="342"/>
      <c r="P131" s="18">
        <f t="shared" si="1"/>
        <v>0</v>
      </c>
      <c r="Q131" s="338"/>
      <c r="R131" s="344"/>
      <c r="S131" s="344"/>
      <c r="T131" s="344"/>
      <c r="U131" s="475"/>
    </row>
    <row r="132" spans="2:21" ht="26.4" x14ac:dyDescent="0.25">
      <c r="B132" s="375"/>
      <c r="C132" s="351"/>
      <c r="D132" s="71" t="s">
        <v>63</v>
      </c>
      <c r="E132" s="150" t="str">
        <f>HLOOKUP(Deckblatt!$C$12,Language!$C$1:$D$730,151,FALSE)</f>
        <v xml:space="preserve">Kaufkraftkennziffer
</v>
      </c>
      <c r="F132" s="363"/>
      <c r="G132" s="69"/>
      <c r="H132" s="18">
        <v>10</v>
      </c>
      <c r="I132" s="379"/>
      <c r="J132" s="340"/>
      <c r="K132" s="341"/>
      <c r="L132" s="341"/>
      <c r="M132" s="341"/>
      <c r="N132" s="342"/>
      <c r="P132" s="18">
        <f t="shared" si="1"/>
        <v>0</v>
      </c>
      <c r="Q132" s="338"/>
      <c r="R132" s="344"/>
      <c r="S132" s="344"/>
      <c r="T132" s="344"/>
      <c r="U132" s="475"/>
    </row>
    <row r="133" spans="2:21" x14ac:dyDescent="0.25">
      <c r="B133" s="375"/>
      <c r="C133" s="351" t="s">
        <v>67</v>
      </c>
      <c r="D133" s="352" t="str">
        <f>HLOOKUP(Deckblatt!$C$12,Language!$C$1:$D$730,154,FALSE)</f>
        <v>Markt- und Standortnalyse</v>
      </c>
      <c r="E133" s="353"/>
      <c r="F133" s="363"/>
      <c r="G133" s="113"/>
      <c r="H133" s="21">
        <v>35</v>
      </c>
      <c r="I133" s="379"/>
      <c r="J133" s="340"/>
      <c r="K133" s="341"/>
      <c r="L133" s="341"/>
      <c r="M133" s="341"/>
      <c r="N133" s="342"/>
      <c r="P133" s="18">
        <f t="shared" si="1"/>
        <v>0</v>
      </c>
      <c r="Q133" s="338"/>
      <c r="R133" s="344"/>
      <c r="S133" s="344"/>
      <c r="T133" s="344"/>
      <c r="U133" s="475"/>
    </row>
    <row r="134" spans="2:21" ht="132" x14ac:dyDescent="0.25">
      <c r="B134" s="375"/>
      <c r="C134" s="351"/>
      <c r="D134" s="71" t="s">
        <v>69</v>
      </c>
      <c r="E134"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4" s="363"/>
      <c r="G134" s="69"/>
      <c r="H134" s="18">
        <v>15</v>
      </c>
      <c r="I134" s="379"/>
      <c r="J134" s="340"/>
      <c r="K134" s="341"/>
      <c r="L134" s="341"/>
      <c r="M134" s="341"/>
      <c r="N134" s="342"/>
      <c r="P134" s="18">
        <f t="shared" si="1"/>
        <v>0</v>
      </c>
      <c r="Q134" s="338"/>
      <c r="R134" s="344"/>
      <c r="S134" s="344"/>
      <c r="T134" s="344"/>
      <c r="U134" s="475"/>
    </row>
    <row r="135" spans="2:21" ht="105.6" x14ac:dyDescent="0.25">
      <c r="B135" s="375"/>
      <c r="C135" s="351"/>
      <c r="D135" s="71" t="s">
        <v>78</v>
      </c>
      <c r="E135" s="134" t="str">
        <f>HLOOKUP(Deckblatt!$C$12,Language!$C$1:$D$730,156,FALSE)</f>
        <v xml:space="preserve">Zielgruppenanalyse
- Demografische und soziale Merkmale
- Lebensstil und Freizeitverhalten
- Nachfrageverhalten
- Wirtschaftsbereiche
- Größenmerkmale (gewerbliche Ansiedler)
</v>
      </c>
      <c r="F135" s="363"/>
      <c r="G135" s="69"/>
      <c r="H135" s="18">
        <v>5</v>
      </c>
      <c r="I135" s="379"/>
      <c r="J135" s="340"/>
      <c r="K135" s="341"/>
      <c r="L135" s="341"/>
      <c r="M135" s="341"/>
      <c r="N135" s="342"/>
      <c r="P135" s="18">
        <f t="shared" si="1"/>
        <v>0</v>
      </c>
      <c r="Q135" s="338"/>
      <c r="R135" s="344"/>
      <c r="S135" s="344"/>
      <c r="T135" s="344"/>
      <c r="U135" s="475"/>
    </row>
    <row r="136" spans="2:21" ht="52.8" x14ac:dyDescent="0.25">
      <c r="B136" s="375"/>
      <c r="C136" s="351"/>
      <c r="D136" s="71" t="s">
        <v>214</v>
      </c>
      <c r="E136" s="134" t="str">
        <f>HLOOKUP(Deckblatt!$C$12,Language!$C$1:$D$730,157,FALSE)</f>
        <v xml:space="preserve">Konkurrenzanalyse
liegt vor, wenn in der Analyse auf konkurrierende Projekte eingegangen wird und Folgerungen daraus abgeleitet werden.
</v>
      </c>
      <c r="F136" s="363"/>
      <c r="G136" s="69"/>
      <c r="H136" s="18">
        <v>10</v>
      </c>
      <c r="I136" s="379"/>
      <c r="J136" s="340"/>
      <c r="K136" s="341"/>
      <c r="L136" s="341"/>
      <c r="M136" s="341"/>
      <c r="N136" s="342"/>
      <c r="P136" s="18">
        <f t="shared" ref="P136:P218" si="2">IF(G136&gt;H136,H136,G136)</f>
        <v>0</v>
      </c>
      <c r="Q136" s="338"/>
      <c r="R136" s="344"/>
      <c r="S136" s="344"/>
      <c r="T136" s="344"/>
      <c r="U136" s="475"/>
    </row>
    <row r="137" spans="2:21" ht="92.4" x14ac:dyDescent="0.25">
      <c r="B137" s="375"/>
      <c r="C137" s="351"/>
      <c r="D137" s="71" t="s">
        <v>215</v>
      </c>
      <c r="E137"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37" s="363"/>
      <c r="G137" s="69"/>
      <c r="H137" s="18">
        <v>5</v>
      </c>
      <c r="I137" s="379"/>
      <c r="J137" s="340"/>
      <c r="K137" s="341"/>
      <c r="L137" s="341"/>
      <c r="M137" s="341"/>
      <c r="N137" s="342"/>
      <c r="P137" s="18">
        <f t="shared" si="2"/>
        <v>0</v>
      </c>
      <c r="Q137" s="338"/>
      <c r="R137" s="344"/>
      <c r="S137" s="344"/>
      <c r="T137" s="344"/>
      <c r="U137" s="475"/>
    </row>
    <row r="138" spans="2:21" x14ac:dyDescent="0.25">
      <c r="B138" s="375"/>
      <c r="C138" s="351" t="s">
        <v>154</v>
      </c>
      <c r="D138" s="352" t="str">
        <f>HLOOKUP(Deckblatt!$C$12,Language!$C$1:$D$730,159,FALSE)</f>
        <v>Vermarktung</v>
      </c>
      <c r="E138" s="353"/>
      <c r="F138" s="363"/>
      <c r="G138" s="113"/>
      <c r="H138" s="21">
        <v>10</v>
      </c>
      <c r="I138" s="379"/>
      <c r="J138" s="340"/>
      <c r="K138" s="341"/>
      <c r="L138" s="341"/>
      <c r="M138" s="341"/>
      <c r="N138" s="342"/>
      <c r="P138" s="18">
        <f t="shared" si="2"/>
        <v>0</v>
      </c>
      <c r="Q138" s="338"/>
      <c r="R138" s="344"/>
      <c r="S138" s="344"/>
      <c r="T138" s="344"/>
      <c r="U138" s="475"/>
    </row>
    <row r="139" spans="2:21" ht="66" x14ac:dyDescent="0.25">
      <c r="B139" s="375"/>
      <c r="C139" s="351"/>
      <c r="D139" s="71" t="s">
        <v>156</v>
      </c>
      <c r="E139" s="134" t="str">
        <f>HLOOKUP(Deckblatt!$C$12,Language!$C$1:$D$730,160,FALSE)</f>
        <v xml:space="preserve">Medienarbeit/Broschüren
mit min. zwei verschiedenen Medien beworben wird. (Broschüren/Zeitungen/Internet/Fernsehen/Radio/Plakate usw.)  
(Artikel und Meldungen zum Projekt reichen nicht aus).
</v>
      </c>
      <c r="F139" s="363"/>
      <c r="G139" s="69"/>
      <c r="H139" s="18">
        <v>2</v>
      </c>
      <c r="I139" s="379"/>
      <c r="J139" s="340"/>
      <c r="K139" s="341"/>
      <c r="L139" s="341"/>
      <c r="M139" s="341"/>
      <c r="N139" s="342"/>
      <c r="P139" s="18">
        <f t="shared" si="2"/>
        <v>0</v>
      </c>
      <c r="Q139" s="338"/>
      <c r="R139" s="344"/>
      <c r="S139" s="344"/>
      <c r="T139" s="344"/>
      <c r="U139" s="475"/>
    </row>
    <row r="140" spans="2:21" ht="26.4" x14ac:dyDescent="0.25">
      <c r="B140" s="375"/>
      <c r="C140" s="351"/>
      <c r="D140" s="71" t="s">
        <v>218</v>
      </c>
      <c r="E140" s="150" t="str">
        <f>HLOOKUP(Deckblatt!$C$12,Language!$C$1:$D$730,161,FALSE)</f>
        <v xml:space="preserve">Öffentlichkeitsarbeit
</v>
      </c>
      <c r="F140" s="363"/>
      <c r="G140" s="69"/>
      <c r="H140" s="18">
        <v>2</v>
      </c>
      <c r="I140" s="379"/>
      <c r="J140" s="340"/>
      <c r="K140" s="341"/>
      <c r="L140" s="341"/>
      <c r="M140" s="341"/>
      <c r="N140" s="342"/>
      <c r="P140" s="18">
        <f t="shared" si="2"/>
        <v>0</v>
      </c>
      <c r="Q140" s="338"/>
      <c r="R140" s="344"/>
      <c r="S140" s="344"/>
      <c r="T140" s="344"/>
      <c r="U140" s="475"/>
    </row>
    <row r="141" spans="2:21" ht="26.4" x14ac:dyDescent="0.25">
      <c r="B141" s="375"/>
      <c r="C141" s="351"/>
      <c r="D141" s="71" t="s">
        <v>219</v>
      </c>
      <c r="E141" s="150" t="str">
        <f>HLOOKUP(Deckblatt!$C$12,Language!$C$1:$D$730,162,FALSE)</f>
        <v xml:space="preserve">Festivalisierung/Events
</v>
      </c>
      <c r="F141" s="363"/>
      <c r="G141" s="69"/>
      <c r="H141" s="18">
        <v>2</v>
      </c>
      <c r="I141" s="379"/>
      <c r="J141" s="340"/>
      <c r="K141" s="341"/>
      <c r="L141" s="341"/>
      <c r="M141" s="341"/>
      <c r="N141" s="342"/>
      <c r="P141" s="18">
        <f t="shared" si="2"/>
        <v>0</v>
      </c>
      <c r="Q141" s="338"/>
      <c r="R141" s="344"/>
      <c r="S141" s="344"/>
      <c r="T141" s="344"/>
      <c r="U141" s="475"/>
    </row>
    <row r="142" spans="2:21" ht="26.4" x14ac:dyDescent="0.25">
      <c r="B142" s="375"/>
      <c r="C142" s="351"/>
      <c r="D142" s="71" t="s">
        <v>220</v>
      </c>
      <c r="E142" s="150" t="str">
        <f>HLOOKUP(Deckblatt!$C$12,Language!$C$1:$D$730,163,FALSE)</f>
        <v xml:space="preserve">Vor-Ort-Information
</v>
      </c>
      <c r="F142" s="363"/>
      <c r="G142" s="69"/>
      <c r="H142" s="18">
        <v>2</v>
      </c>
      <c r="I142" s="379"/>
      <c r="J142" s="340"/>
      <c r="K142" s="341"/>
      <c r="L142" s="341"/>
      <c r="M142" s="341"/>
      <c r="N142" s="342"/>
      <c r="P142" s="18">
        <f t="shared" si="2"/>
        <v>0</v>
      </c>
      <c r="Q142" s="338"/>
      <c r="R142" s="344"/>
      <c r="S142" s="344"/>
      <c r="T142" s="344"/>
      <c r="U142" s="475"/>
    </row>
    <row r="143" spans="2:21" ht="26.4" x14ac:dyDescent="0.25">
      <c r="B143" s="375"/>
      <c r="C143" s="351"/>
      <c r="D143" s="71" t="s">
        <v>221</v>
      </c>
      <c r="E143" s="150" t="str">
        <f>HLOOKUP(Deckblatt!$C$12,Language!$C$1:$D$730,164,FALSE)</f>
        <v xml:space="preserve">Direkte Vermarktung
</v>
      </c>
      <c r="F143" s="363"/>
      <c r="G143" s="69"/>
      <c r="H143" s="18">
        <v>2</v>
      </c>
      <c r="I143" s="379"/>
      <c r="J143" s="340"/>
      <c r="K143" s="341"/>
      <c r="L143" s="341"/>
      <c r="M143" s="341"/>
      <c r="N143" s="342"/>
      <c r="P143" s="18">
        <f t="shared" si="2"/>
        <v>0</v>
      </c>
      <c r="Q143" s="338"/>
      <c r="R143" s="344"/>
      <c r="S143" s="344"/>
      <c r="T143" s="344"/>
      <c r="U143" s="475"/>
    </row>
    <row r="144" spans="2:21" x14ac:dyDescent="0.25">
      <c r="B144" s="375"/>
      <c r="C144" s="351" t="s">
        <v>157</v>
      </c>
      <c r="D144" s="352" t="str">
        <f>HLOOKUP(Deckblatt!$C$12,Language!$C$1:$D$730,165,FALSE)</f>
        <v>Auszeichnungen</v>
      </c>
      <c r="E144" s="353"/>
      <c r="F144" s="363"/>
      <c r="G144" s="113"/>
      <c r="H144" s="21">
        <v>15</v>
      </c>
      <c r="I144" s="379"/>
      <c r="J144" s="340"/>
      <c r="K144" s="341"/>
      <c r="L144" s="341"/>
      <c r="M144" s="341"/>
      <c r="N144" s="342"/>
      <c r="P144" s="18">
        <f t="shared" si="2"/>
        <v>0</v>
      </c>
      <c r="Q144" s="338"/>
      <c r="R144" s="344"/>
      <c r="S144" s="344"/>
      <c r="T144" s="344"/>
      <c r="U144" s="475"/>
    </row>
    <row r="145" spans="2:21" ht="52.8" x14ac:dyDescent="0.25">
      <c r="B145" s="375"/>
      <c r="C145" s="351"/>
      <c r="D145" s="71" t="s">
        <v>159</v>
      </c>
      <c r="E145" s="134" t="str">
        <f>HLOOKUP(Deckblatt!$C$12,Language!$C$1:$D$730,166,FALSE)</f>
        <v xml:space="preserve">Immobilienauszeichnung
Immobilienauszeichnung mit offiziellem Charakter (keine Auszeichnungen durch den Entwickler selbst)
</v>
      </c>
      <c r="F145" s="363"/>
      <c r="G145" s="69"/>
      <c r="H145" s="18">
        <v>5</v>
      </c>
      <c r="I145" s="379"/>
      <c r="J145" s="340"/>
      <c r="K145" s="341"/>
      <c r="L145" s="341"/>
      <c r="M145" s="341"/>
      <c r="N145" s="342"/>
      <c r="P145" s="18">
        <f t="shared" si="2"/>
        <v>0</v>
      </c>
      <c r="Q145" s="338"/>
      <c r="R145" s="344"/>
      <c r="S145" s="344"/>
      <c r="T145" s="344"/>
      <c r="U145" s="475"/>
    </row>
    <row r="146" spans="2:21" ht="66" x14ac:dyDescent="0.25">
      <c r="B146" s="375"/>
      <c r="C146" s="351"/>
      <c r="D146" s="71" t="s">
        <v>160</v>
      </c>
      <c r="E146" s="134" t="str">
        <f>HLOOKUP(Deckblatt!$C$12,Language!$C$1:$D$730,167,FALSE)</f>
        <v xml:space="preserve">Gebäudezertifikat
Ist erfüllt, wenn der Projektträger min. 20 % der Gebäude im Quartier nach
DGNB oder einem anderen unabhängigen Nachhaltigkeitssystem zertifiziert.
</v>
      </c>
      <c r="F146" s="363"/>
      <c r="G146" s="69"/>
      <c r="H146" s="18">
        <v>10</v>
      </c>
      <c r="I146" s="379"/>
      <c r="J146" s="340"/>
      <c r="K146" s="341"/>
      <c r="L146" s="341"/>
      <c r="M146" s="341"/>
      <c r="N146" s="342"/>
      <c r="P146" s="18">
        <f t="shared" si="2"/>
        <v>0</v>
      </c>
      <c r="Q146" s="339"/>
      <c r="R146" s="365"/>
      <c r="S146" s="344"/>
      <c r="T146" s="344"/>
      <c r="U146" s="475"/>
    </row>
    <row r="147" spans="2:21" x14ac:dyDescent="0.25">
      <c r="B147" s="152" t="s">
        <v>789</v>
      </c>
      <c r="C147" s="354" t="str">
        <f>HLOOKUP(Deckblatt!$C$12,Language!$C$1:$D$730,170,FALSE)</f>
        <v>Umweltrisiken</v>
      </c>
      <c r="D147" s="354"/>
      <c r="E147" s="355"/>
      <c r="F147" s="153">
        <f>Q147</f>
        <v>0</v>
      </c>
      <c r="G147" s="151"/>
      <c r="H147" s="65">
        <v>110</v>
      </c>
      <c r="I147" s="179">
        <v>2</v>
      </c>
      <c r="J147" s="340"/>
      <c r="K147" s="341"/>
      <c r="L147" s="341"/>
      <c r="M147" s="341"/>
      <c r="N147" s="342"/>
      <c r="P147" s="18">
        <f t="shared" si="2"/>
        <v>0</v>
      </c>
      <c r="Q147" s="337">
        <f>SUM(P148:P152)</f>
        <v>0</v>
      </c>
      <c r="R147" s="343">
        <f>Q147/100</f>
        <v>0</v>
      </c>
      <c r="S147" s="344"/>
      <c r="T147" s="344"/>
      <c r="U147" s="475"/>
    </row>
    <row r="148" spans="2:21" x14ac:dyDescent="0.25">
      <c r="B148" s="345"/>
      <c r="C148" s="143" t="s">
        <v>54</v>
      </c>
      <c r="D148" s="220" t="str">
        <f>IF(Deckblatt!$C$12=Language!$C$1,"Risiko 1",IF(Deckblatt!$C$12=Language!$D$1,"Risk 1"))</f>
        <v>Risiko 1</v>
      </c>
      <c r="E148" s="158"/>
      <c r="F148" s="347"/>
      <c r="G148" s="69"/>
      <c r="H148" s="21">
        <v>30</v>
      </c>
      <c r="I148" s="498"/>
      <c r="J148" s="340"/>
      <c r="K148" s="341"/>
      <c r="L148" s="341"/>
      <c r="M148" s="341"/>
      <c r="N148" s="342"/>
      <c r="P148" s="18">
        <f t="shared" si="2"/>
        <v>0</v>
      </c>
      <c r="Q148" s="338"/>
      <c r="R148" s="344"/>
      <c r="S148" s="344"/>
      <c r="T148" s="344"/>
      <c r="U148" s="475"/>
    </row>
    <row r="149" spans="2:21" x14ac:dyDescent="0.25">
      <c r="B149" s="346"/>
      <c r="C149" s="143" t="s">
        <v>61</v>
      </c>
      <c r="D149" s="220" t="str">
        <f>IF(Deckblatt!$C$12=Language!$C$1,"Risiko 2",IF(Deckblatt!$C$12=Language!$D$1,"Risk 2"))</f>
        <v>Risiko 2</v>
      </c>
      <c r="E149" s="158"/>
      <c r="F149" s="348"/>
      <c r="G149" s="69"/>
      <c r="H149" s="145">
        <v>30</v>
      </c>
      <c r="I149" s="499"/>
      <c r="J149" s="340"/>
      <c r="K149" s="341"/>
      <c r="L149" s="341"/>
      <c r="M149" s="341"/>
      <c r="N149" s="342"/>
      <c r="P149" s="18">
        <f t="shared" si="2"/>
        <v>0</v>
      </c>
      <c r="Q149" s="338"/>
      <c r="R149" s="344"/>
      <c r="S149" s="344"/>
      <c r="T149" s="344"/>
      <c r="U149" s="475"/>
    </row>
    <row r="150" spans="2:21" x14ac:dyDescent="0.25">
      <c r="B150" s="346"/>
      <c r="C150" s="143" t="s">
        <v>64</v>
      </c>
      <c r="D150" s="220" t="str">
        <f>IF(Deckblatt!$C$12=Language!$C$1,"Risiko 3",IF(Deckblatt!$C$12=Language!$D$1,"Risk 3"))</f>
        <v>Risiko 3</v>
      </c>
      <c r="E150" s="158"/>
      <c r="F150" s="348"/>
      <c r="G150" s="69"/>
      <c r="H150" s="21">
        <v>30</v>
      </c>
      <c r="I150" s="499"/>
      <c r="J150" s="340"/>
      <c r="K150" s="341"/>
      <c r="L150" s="341"/>
      <c r="M150" s="341"/>
      <c r="N150" s="342"/>
      <c r="P150" s="18">
        <f t="shared" si="2"/>
        <v>0</v>
      </c>
      <c r="Q150" s="338"/>
      <c r="R150" s="344"/>
      <c r="S150" s="344"/>
      <c r="T150" s="344"/>
      <c r="U150" s="475"/>
    </row>
    <row r="151" spans="2:21" x14ac:dyDescent="0.25">
      <c r="B151" s="346"/>
      <c r="C151" s="125" t="s">
        <v>107</v>
      </c>
      <c r="D151" s="155" t="s">
        <v>108</v>
      </c>
      <c r="E151" s="256"/>
      <c r="F151" s="348"/>
      <c r="G151" s="69"/>
      <c r="H151" s="65">
        <v>10</v>
      </c>
      <c r="I151" s="499"/>
      <c r="J151" s="340"/>
      <c r="K151" s="341"/>
      <c r="L151" s="341"/>
      <c r="M151" s="341"/>
      <c r="N151" s="342"/>
      <c r="P151" s="18">
        <f t="shared" si="2"/>
        <v>0</v>
      </c>
      <c r="Q151" s="338"/>
      <c r="R151" s="344"/>
      <c r="S151" s="344"/>
      <c r="T151" s="344"/>
      <c r="U151" s="475"/>
    </row>
    <row r="152" spans="2:21" ht="90" customHeight="1" x14ac:dyDescent="0.25">
      <c r="B152" s="346"/>
      <c r="C152" s="252" t="s">
        <v>1814</v>
      </c>
      <c r="D152" s="472"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2" s="473"/>
      <c r="F152" s="348"/>
      <c r="G152" s="254"/>
      <c r="H152" s="255">
        <v>10</v>
      </c>
      <c r="I152" s="499"/>
      <c r="J152" s="340"/>
      <c r="K152" s="341"/>
      <c r="L152" s="341"/>
      <c r="M152" s="341"/>
      <c r="N152" s="342"/>
      <c r="P152" s="18">
        <f t="shared" si="2"/>
        <v>0</v>
      </c>
      <c r="Q152" s="339"/>
      <c r="R152" s="365"/>
      <c r="S152" s="365"/>
      <c r="T152" s="365"/>
      <c r="U152" s="475"/>
    </row>
    <row r="153" spans="2:21" x14ac:dyDescent="0.25">
      <c r="B153" s="152" t="s">
        <v>628</v>
      </c>
      <c r="C153" s="354" t="str">
        <f>HLOOKUP(Deckblatt!$C$12,Language!$C$1:$D$730,183,FALSE)</f>
        <v>Mikroklima – Thermischer Komfort im Freiraum</v>
      </c>
      <c r="D153" s="354"/>
      <c r="E153" s="355"/>
      <c r="F153" s="154">
        <f>Q153</f>
        <v>0</v>
      </c>
      <c r="G153" s="497"/>
      <c r="H153" s="65">
        <v>100</v>
      </c>
      <c r="I153" s="179">
        <v>3</v>
      </c>
      <c r="J153" s="340"/>
      <c r="K153" s="341"/>
      <c r="L153" s="341"/>
      <c r="M153" s="341"/>
      <c r="N153" s="342"/>
      <c r="P153" s="18">
        <f t="shared" si="2"/>
        <v>0</v>
      </c>
      <c r="Q153" s="337">
        <f>SUM(P155:P159,P161,P163)</f>
        <v>0</v>
      </c>
      <c r="R153" s="343">
        <f>Q153/100</f>
        <v>0</v>
      </c>
      <c r="S153" s="343">
        <v>0.2</v>
      </c>
      <c r="T153" s="343">
        <f>IF((R153*I153+R164*I164+R192*I192+R215*I215+R265*I265+R289*I289+R304*I304)/(I153+I164+I192+I215+I265+I289+I304)&gt;1,1,(R153*I153+R164*I164+R192*I192+R215*I215+R265*I265+R289*I289+R304*I304)/(I153+I164+I192+I215+I265+I289+I304))</f>
        <v>0</v>
      </c>
      <c r="U153" s="475"/>
    </row>
    <row r="154" spans="2:21" x14ac:dyDescent="0.25">
      <c r="B154" s="345"/>
      <c r="C154" s="359" t="s">
        <v>54</v>
      </c>
      <c r="D154" s="352" t="str">
        <f>HLOOKUP(Deckblatt!$C$12,Language!$C$1:$D$730,184,FALSE)</f>
        <v>Basiskomfort</v>
      </c>
      <c r="E154" s="353"/>
      <c r="F154" s="345"/>
      <c r="G154" s="489"/>
      <c r="H154" s="21">
        <v>70</v>
      </c>
      <c r="I154" s="349"/>
      <c r="J154" s="340"/>
      <c r="K154" s="341"/>
      <c r="L154" s="341"/>
      <c r="M154" s="341"/>
      <c r="N154" s="342"/>
      <c r="P154" s="18">
        <f t="shared" si="2"/>
        <v>0</v>
      </c>
      <c r="Q154" s="338"/>
      <c r="R154" s="344"/>
      <c r="S154" s="344"/>
      <c r="T154" s="344"/>
      <c r="U154" s="475"/>
    </row>
    <row r="155" spans="2:21" ht="26.4" x14ac:dyDescent="0.25">
      <c r="B155" s="346"/>
      <c r="C155" s="390"/>
      <c r="D155" s="71" t="s">
        <v>58</v>
      </c>
      <c r="E155" s="150" t="str">
        <f>HLOOKUP(Deckblatt!$C$12,Language!$C$1:$D$730,185,FALSE)</f>
        <v xml:space="preserve">Analyse Mikroklima
</v>
      </c>
      <c r="F155" s="346"/>
      <c r="G155" s="69"/>
      <c r="H155" s="18">
        <v>10</v>
      </c>
      <c r="I155" s="350"/>
      <c r="J155" s="340"/>
      <c r="K155" s="341"/>
      <c r="L155" s="341"/>
      <c r="M155" s="341"/>
      <c r="N155" s="342"/>
      <c r="P155" s="18">
        <f t="shared" si="2"/>
        <v>0</v>
      </c>
      <c r="Q155" s="338"/>
      <c r="R155" s="344"/>
      <c r="S155" s="344"/>
      <c r="T155" s="344"/>
      <c r="U155" s="475"/>
    </row>
    <row r="156" spans="2:21" ht="66" x14ac:dyDescent="0.25">
      <c r="B156" s="346"/>
      <c r="C156" s="390"/>
      <c r="D156" s="71" t="s">
        <v>181</v>
      </c>
      <c r="E156" s="134" t="str">
        <f>HLOOKUP(Deckblatt!$C$12,Language!$C$1:$D$730,186,FALSE)</f>
        <v xml:space="preserve">Sonneneinstrahlung am 21. Dezember in Stunden
- ≥ 1 h  (5 Punkte)
ODER
- ≥ 3 h  (10 Punkte)
</v>
      </c>
      <c r="F156" s="346"/>
      <c r="G156" s="69"/>
      <c r="H156" s="18">
        <v>10</v>
      </c>
      <c r="I156" s="350"/>
      <c r="J156" s="340"/>
      <c r="K156" s="341"/>
      <c r="L156" s="341"/>
      <c r="M156" s="341"/>
      <c r="N156" s="342"/>
      <c r="P156" s="18">
        <f t="shared" si="2"/>
        <v>0</v>
      </c>
      <c r="Q156" s="338"/>
      <c r="R156" s="344"/>
      <c r="S156" s="344"/>
      <c r="T156" s="344"/>
      <c r="U156" s="475"/>
    </row>
    <row r="157" spans="2:21" ht="79.2" x14ac:dyDescent="0.25">
      <c r="B157" s="346"/>
      <c r="C157" s="390"/>
      <c r="D157" s="71" t="s">
        <v>246</v>
      </c>
      <c r="E157" s="134" t="str">
        <f>HLOOKUP(Deckblatt!$C$12,Language!$C$1:$D$730,187,FALSE)</f>
        <v xml:space="preserve">Verschattung der Untersuchungsbereiche in Prozent
≥ 10 % der Flächen haben einen sommerlichen Sonnenschutz  (5 Punkte)
ODER
≥ 30 % der Flächen haben einen sommerlichen Sonnenschutz  (10 Punkte)
</v>
      </c>
      <c r="F157" s="346"/>
      <c r="G157" s="69"/>
      <c r="H157" s="18">
        <v>10</v>
      </c>
      <c r="I157" s="350"/>
      <c r="J157" s="340"/>
      <c r="K157" s="341"/>
      <c r="L157" s="341"/>
      <c r="M157" s="341"/>
      <c r="N157" s="342"/>
      <c r="P157" s="18">
        <f t="shared" si="2"/>
        <v>0</v>
      </c>
      <c r="Q157" s="338"/>
      <c r="R157" s="344"/>
      <c r="S157" s="344"/>
      <c r="T157" s="344"/>
      <c r="U157" s="475"/>
    </row>
    <row r="158" spans="2:21" ht="66" x14ac:dyDescent="0.25">
      <c r="B158" s="346"/>
      <c r="C158" s="390"/>
      <c r="D158" s="71" t="s">
        <v>250</v>
      </c>
      <c r="E158"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58" s="346"/>
      <c r="G158" s="69"/>
      <c r="H158" s="18">
        <v>10</v>
      </c>
      <c r="I158" s="350"/>
      <c r="J158" s="340"/>
      <c r="K158" s="341"/>
      <c r="L158" s="341"/>
      <c r="M158" s="341"/>
      <c r="N158" s="342"/>
      <c r="P158" s="18">
        <f t="shared" si="2"/>
        <v>0</v>
      </c>
      <c r="Q158" s="338"/>
      <c r="R158" s="344"/>
      <c r="S158" s="344"/>
      <c r="T158" s="344"/>
      <c r="U158" s="475"/>
    </row>
    <row r="159" spans="2:21" ht="39.6" x14ac:dyDescent="0.25">
      <c r="B159" s="346"/>
      <c r="C159" s="360"/>
      <c r="D159" s="71" t="s">
        <v>121</v>
      </c>
      <c r="E159" s="134" t="str">
        <f>HLOOKUP(Deckblatt!$C$12,Language!$C$1:$D$730,189,FALSE)</f>
        <v xml:space="preserve">Maßnahmen Verbesserung Mikroklima
Zwischen 33 und 100% der notwendigen Maßnahmen werden umgesetzt
</v>
      </c>
      <c r="F159" s="346"/>
      <c r="G159" s="69"/>
      <c r="H159" s="18">
        <v>30</v>
      </c>
      <c r="I159" s="350"/>
      <c r="J159" s="340"/>
      <c r="K159" s="341"/>
      <c r="L159" s="341"/>
      <c r="M159" s="341"/>
      <c r="N159" s="342"/>
      <c r="P159" s="18">
        <f t="shared" si="2"/>
        <v>0</v>
      </c>
      <c r="Q159" s="338"/>
      <c r="R159" s="344"/>
      <c r="S159" s="344"/>
      <c r="T159" s="344"/>
      <c r="U159" s="475"/>
    </row>
    <row r="160" spans="2:21" x14ac:dyDescent="0.25">
      <c r="B160" s="346"/>
      <c r="C160" s="359" t="s">
        <v>61</v>
      </c>
      <c r="D160" s="352" t="str">
        <f>HLOOKUP(Deckblatt!$C$12,Language!$C$1:$D$730,190,FALSE)</f>
        <v>Windkomfort</v>
      </c>
      <c r="E160" s="353"/>
      <c r="F160" s="346"/>
      <c r="G160" s="113"/>
      <c r="H160" s="21">
        <v>10</v>
      </c>
      <c r="I160" s="350"/>
      <c r="J160" s="340"/>
      <c r="K160" s="341"/>
      <c r="L160" s="341"/>
      <c r="M160" s="341"/>
      <c r="N160" s="342"/>
      <c r="P160" s="18">
        <f t="shared" si="2"/>
        <v>0</v>
      </c>
      <c r="Q160" s="338"/>
      <c r="R160" s="344"/>
      <c r="S160" s="344"/>
      <c r="T160" s="344"/>
      <c r="U160" s="475"/>
    </row>
    <row r="161" spans="2:21" ht="145.19999999999999" x14ac:dyDescent="0.25">
      <c r="B161" s="346"/>
      <c r="C161" s="360"/>
      <c r="D161" s="71" t="s">
        <v>63</v>
      </c>
      <c r="E161"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1" s="346"/>
      <c r="G161" s="69"/>
      <c r="H161" s="18">
        <v>10</v>
      </c>
      <c r="I161" s="350"/>
      <c r="J161" s="340"/>
      <c r="K161" s="341"/>
      <c r="L161" s="341"/>
      <c r="M161" s="341"/>
      <c r="N161" s="342"/>
      <c r="P161" s="18">
        <f t="shared" si="2"/>
        <v>0</v>
      </c>
      <c r="Q161" s="338"/>
      <c r="R161" s="344"/>
      <c r="S161" s="344"/>
      <c r="T161" s="344"/>
      <c r="U161" s="475"/>
    </row>
    <row r="162" spans="2:21" x14ac:dyDescent="0.25">
      <c r="B162" s="346"/>
      <c r="C162" s="359" t="s">
        <v>64</v>
      </c>
      <c r="D162" s="352" t="str">
        <f>HLOOKUP(Deckblatt!$C$12,Language!$C$1:$D$730,192,FALSE)</f>
        <v>Gefühlte Temperatur</v>
      </c>
      <c r="E162" s="353"/>
      <c r="F162" s="346"/>
      <c r="G162" s="113"/>
      <c r="H162" s="21">
        <v>20</v>
      </c>
      <c r="I162" s="350"/>
      <c r="J162" s="340"/>
      <c r="K162" s="341"/>
      <c r="L162" s="341"/>
      <c r="M162" s="341"/>
      <c r="N162" s="342"/>
      <c r="P162" s="18">
        <f t="shared" si="2"/>
        <v>0</v>
      </c>
      <c r="Q162" s="338"/>
      <c r="R162" s="344"/>
      <c r="S162" s="344"/>
      <c r="T162" s="344"/>
      <c r="U162" s="475"/>
    </row>
    <row r="163" spans="2:21" ht="145.19999999999999" x14ac:dyDescent="0.25">
      <c r="B163" s="370"/>
      <c r="C163" s="360"/>
      <c r="D163" s="71" t="s">
        <v>66</v>
      </c>
      <c r="E163"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3" s="370"/>
      <c r="G163" s="69"/>
      <c r="H163" s="18">
        <v>20</v>
      </c>
      <c r="I163" s="366"/>
      <c r="J163" s="340"/>
      <c r="K163" s="341"/>
      <c r="L163" s="341"/>
      <c r="M163" s="341"/>
      <c r="N163" s="342"/>
      <c r="P163" s="18">
        <f t="shared" si="2"/>
        <v>0</v>
      </c>
      <c r="Q163" s="339"/>
      <c r="R163" s="365"/>
      <c r="S163" s="344"/>
      <c r="T163" s="344"/>
      <c r="U163" s="475"/>
    </row>
    <row r="164" spans="2:21" x14ac:dyDescent="0.25">
      <c r="B164" s="63" t="s">
        <v>237</v>
      </c>
      <c r="C164" s="354" t="str">
        <f>HLOOKUP(Deckblatt!$C$12,Language!$C$1:$D$730,194,FALSE)</f>
        <v>Freiraum</v>
      </c>
      <c r="D164" s="354"/>
      <c r="E164" s="355"/>
      <c r="F164" s="64">
        <f>Q164</f>
        <v>0</v>
      </c>
      <c r="G164" s="374"/>
      <c r="H164" s="65">
        <v>100</v>
      </c>
      <c r="I164" s="180">
        <v>4</v>
      </c>
      <c r="J164" s="340"/>
      <c r="K164" s="341"/>
      <c r="L164" s="341"/>
      <c r="M164" s="341"/>
      <c r="N164" s="342"/>
      <c r="P164" s="18">
        <f t="shared" si="2"/>
        <v>0</v>
      </c>
      <c r="Q164" s="337">
        <f>SUM(P167:P168,P170:P171,P173:P174,P176:P177,P179:P185,P187,P189,P191)</f>
        <v>0</v>
      </c>
      <c r="R164" s="343">
        <f>Q164/100</f>
        <v>0</v>
      </c>
      <c r="S164" s="344"/>
      <c r="T164" s="344"/>
      <c r="U164" s="475"/>
    </row>
    <row r="165" spans="2:21" x14ac:dyDescent="0.25">
      <c r="B165" s="345"/>
      <c r="C165" s="351" t="s">
        <v>54</v>
      </c>
      <c r="D165" s="352" t="str">
        <f>HLOOKUP(Deckblatt!$C$12,Language!$C$1:$D$730,195,FALSE)</f>
        <v>Einbindung in den landschaftlichen Kontext</v>
      </c>
      <c r="E165" s="353"/>
      <c r="F165" s="347"/>
      <c r="G165" s="364"/>
      <c r="H165" s="21">
        <v>20</v>
      </c>
      <c r="I165" s="349"/>
      <c r="J165" s="340"/>
      <c r="K165" s="341"/>
      <c r="L165" s="341"/>
      <c r="M165" s="341"/>
      <c r="N165" s="342"/>
      <c r="P165" s="18">
        <f t="shared" si="2"/>
        <v>0</v>
      </c>
      <c r="Q165" s="338"/>
      <c r="R165" s="344"/>
      <c r="S165" s="344"/>
      <c r="T165" s="344"/>
      <c r="U165" s="475"/>
    </row>
    <row r="166" spans="2:21" x14ac:dyDescent="0.25">
      <c r="B166" s="346"/>
      <c r="C166" s="351"/>
      <c r="D166" s="361" t="s">
        <v>58</v>
      </c>
      <c r="E166" s="150" t="str">
        <f>HLOOKUP(Deckblatt!$C$12,Language!$C$1:$D$730,196,FALSE)</f>
        <v>Berücksichtigung landschaftlicher Aspekte</v>
      </c>
      <c r="F166" s="348"/>
      <c r="G166" s="364"/>
      <c r="H166" s="21">
        <v>5</v>
      </c>
      <c r="I166" s="350"/>
      <c r="J166" s="340"/>
      <c r="K166" s="341"/>
      <c r="L166" s="341"/>
      <c r="M166" s="341"/>
      <c r="N166" s="342"/>
      <c r="P166" s="18">
        <f t="shared" si="2"/>
        <v>0</v>
      </c>
      <c r="Q166" s="338"/>
      <c r="R166" s="344"/>
      <c r="S166" s="344"/>
      <c r="T166" s="344"/>
      <c r="U166" s="475"/>
    </row>
    <row r="167" spans="2:21" ht="26.4" x14ac:dyDescent="0.25">
      <c r="B167" s="346"/>
      <c r="C167" s="351"/>
      <c r="D167" s="361"/>
      <c r="E167" s="134" t="str">
        <f>HLOOKUP(Deckblatt!$C$12,Language!$C$1:$D$730,197,FALSE)</f>
        <v xml:space="preserve">Es liegt eine Analyse/Bestandsuntersuchung vor.
</v>
      </c>
      <c r="F167" s="348"/>
      <c r="G167" s="69"/>
      <c r="H167" s="18">
        <v>3</v>
      </c>
      <c r="I167" s="350"/>
      <c r="J167" s="340"/>
      <c r="K167" s="341"/>
      <c r="L167" s="341"/>
      <c r="M167" s="341"/>
      <c r="N167" s="342"/>
      <c r="P167" s="18">
        <f t="shared" si="2"/>
        <v>0</v>
      </c>
      <c r="Q167" s="338"/>
      <c r="R167" s="344"/>
      <c r="S167" s="344"/>
      <c r="T167" s="344"/>
      <c r="U167" s="475"/>
    </row>
    <row r="168" spans="2:21" ht="52.8" x14ac:dyDescent="0.25">
      <c r="B168" s="346"/>
      <c r="C168" s="351"/>
      <c r="D168" s="361"/>
      <c r="E168" s="134" t="str">
        <f>HLOOKUP(Deckblatt!$C$12,Language!$C$1:$D$730,198,FALSE)</f>
        <v xml:space="preserve">Die Einbindung des Projekts in den landschaftlichen Kontext wird im Freiraumkonzept nachvollziehbar aus den Erkenntnissen der Analyse/Bestandsuntersuchung hergeleitet (Erläuterung).
</v>
      </c>
      <c r="F168" s="348"/>
      <c r="G168" s="69"/>
      <c r="H168" s="18">
        <v>2</v>
      </c>
      <c r="I168" s="350"/>
      <c r="J168" s="340"/>
      <c r="K168" s="341"/>
      <c r="L168" s="341"/>
      <c r="M168" s="341"/>
      <c r="N168" s="342"/>
      <c r="P168" s="18">
        <f t="shared" si="2"/>
        <v>0</v>
      </c>
      <c r="Q168" s="338"/>
      <c r="R168" s="344"/>
      <c r="S168" s="344"/>
      <c r="T168" s="344"/>
      <c r="U168" s="475"/>
    </row>
    <row r="169" spans="2:21" x14ac:dyDescent="0.25">
      <c r="B169" s="346"/>
      <c r="C169" s="351"/>
      <c r="D169" s="361" t="s">
        <v>88</v>
      </c>
      <c r="E169" s="150" t="str">
        <f>HLOOKUP(Deckblatt!$C$12,Language!$C$1:$D$730,199,FALSE)</f>
        <v>Einbindung in den städtebaulichen Kontext</v>
      </c>
      <c r="F169" s="348"/>
      <c r="G169" s="113"/>
      <c r="H169" s="21">
        <v>5</v>
      </c>
      <c r="I169" s="350"/>
      <c r="J169" s="340"/>
      <c r="K169" s="341"/>
      <c r="L169" s="341"/>
      <c r="M169" s="341"/>
      <c r="N169" s="342"/>
      <c r="P169" s="18">
        <f t="shared" si="2"/>
        <v>0</v>
      </c>
      <c r="Q169" s="338"/>
      <c r="R169" s="344"/>
      <c r="S169" s="344"/>
      <c r="T169" s="344"/>
      <c r="U169" s="475"/>
    </row>
    <row r="170" spans="2:21" ht="26.4" x14ac:dyDescent="0.25">
      <c r="B170" s="346"/>
      <c r="C170" s="351"/>
      <c r="D170" s="361"/>
      <c r="E170" s="134" t="str">
        <f>HLOOKUP(Deckblatt!$C$12,Language!$C$1:$D$730,200,FALSE)</f>
        <v xml:space="preserve">Es liegt eine Analyse/Bestandsuntersuchung vor.
</v>
      </c>
      <c r="F170" s="348"/>
      <c r="G170" s="69"/>
      <c r="H170" s="18">
        <v>3</v>
      </c>
      <c r="I170" s="350"/>
      <c r="J170" s="340"/>
      <c r="K170" s="341"/>
      <c r="L170" s="341"/>
      <c r="M170" s="341"/>
      <c r="N170" s="342"/>
      <c r="P170" s="18">
        <f t="shared" si="2"/>
        <v>0</v>
      </c>
      <c r="Q170" s="338"/>
      <c r="R170" s="344"/>
      <c r="S170" s="344"/>
      <c r="T170" s="344"/>
      <c r="U170" s="475"/>
    </row>
    <row r="171" spans="2:21" ht="52.8" x14ac:dyDescent="0.25">
      <c r="B171" s="346"/>
      <c r="C171" s="351"/>
      <c r="D171" s="361"/>
      <c r="E171" s="134" t="str">
        <f>HLOOKUP(Deckblatt!$C$12,Language!$C$1:$D$730,201,FALSE)</f>
        <v xml:space="preserve">Die Einbindung des Projekts in den städtebaulichen Kontext wird im Freiraumkonzept nachvollziehbar aus den Erkenntnissen der Analyse/Bestandsuntersuchung hergeleitet (Erläuterung).
</v>
      </c>
      <c r="F171" s="348"/>
      <c r="G171" s="69"/>
      <c r="H171" s="18">
        <v>2</v>
      </c>
      <c r="I171" s="350"/>
      <c r="J171" s="340"/>
      <c r="K171" s="341"/>
      <c r="L171" s="341"/>
      <c r="M171" s="341"/>
      <c r="N171" s="342"/>
      <c r="P171" s="18">
        <f t="shared" si="2"/>
        <v>0</v>
      </c>
      <c r="Q171" s="338"/>
      <c r="R171" s="344"/>
      <c r="S171" s="344"/>
      <c r="T171" s="344"/>
      <c r="U171" s="475"/>
    </row>
    <row r="172" spans="2:21" x14ac:dyDescent="0.25">
      <c r="B172" s="346"/>
      <c r="C172" s="351"/>
      <c r="D172" s="361" t="s">
        <v>246</v>
      </c>
      <c r="E172" s="150" t="str">
        <f>HLOOKUP(Deckblatt!$C$12,Language!$C$1:$D$730,202,FALSE)</f>
        <v>Einbindung in die übergeordnete Planung</v>
      </c>
      <c r="F172" s="348"/>
      <c r="G172" s="113"/>
      <c r="H172" s="21">
        <v>5</v>
      </c>
      <c r="I172" s="350"/>
      <c r="J172" s="340"/>
      <c r="K172" s="341"/>
      <c r="L172" s="341"/>
      <c r="M172" s="341"/>
      <c r="N172" s="342"/>
      <c r="P172" s="18">
        <f t="shared" si="2"/>
        <v>0</v>
      </c>
      <c r="Q172" s="338"/>
      <c r="R172" s="344"/>
      <c r="S172" s="344"/>
      <c r="T172" s="344"/>
      <c r="U172" s="475"/>
    </row>
    <row r="173" spans="2:21" ht="26.4" x14ac:dyDescent="0.25">
      <c r="B173" s="346"/>
      <c r="C173" s="351"/>
      <c r="D173" s="361"/>
      <c r="E173" s="134" t="str">
        <f>HLOOKUP(Deckblatt!$C$12,Language!$C$1:$D$730,203,FALSE)</f>
        <v xml:space="preserve">Es liegt eine Analyse/Bestandsuntersuchung vor.
</v>
      </c>
      <c r="F173" s="348"/>
      <c r="G173" s="69"/>
      <c r="H173" s="18">
        <v>3</v>
      </c>
      <c r="I173" s="350"/>
      <c r="J173" s="340"/>
      <c r="K173" s="341"/>
      <c r="L173" s="341"/>
      <c r="M173" s="341"/>
      <c r="N173" s="342"/>
      <c r="P173" s="18">
        <f t="shared" si="2"/>
        <v>0</v>
      </c>
      <c r="Q173" s="338"/>
      <c r="R173" s="344"/>
      <c r="S173" s="344"/>
      <c r="T173" s="344"/>
      <c r="U173" s="475"/>
    </row>
    <row r="174" spans="2:21" ht="52.8" x14ac:dyDescent="0.25">
      <c r="B174" s="346"/>
      <c r="C174" s="351"/>
      <c r="D174" s="361"/>
      <c r="E174" s="134" t="str">
        <f>HLOOKUP(Deckblatt!$C$12,Language!$C$1:$D$730,204,FALSE)</f>
        <v xml:space="preserve">Die Einbindung des Projekts in die übergeordnete Planung wird im Freiraumkonzept nachvollziehbar aus den Erkenntnissen der Analyse/Bestandsuntersuchung hergeleitet (Erläuterung). 
</v>
      </c>
      <c r="F174" s="348"/>
      <c r="G174" s="69"/>
      <c r="H174" s="18">
        <v>2</v>
      </c>
      <c r="I174" s="350"/>
      <c r="J174" s="340"/>
      <c r="K174" s="341"/>
      <c r="L174" s="341"/>
      <c r="M174" s="341"/>
      <c r="N174" s="342"/>
      <c r="P174" s="18">
        <f t="shared" si="2"/>
        <v>0</v>
      </c>
      <c r="Q174" s="338"/>
      <c r="R174" s="344"/>
      <c r="S174" s="344"/>
      <c r="T174" s="344"/>
      <c r="U174" s="475"/>
    </row>
    <row r="175" spans="2:21" ht="26.4" x14ac:dyDescent="0.25">
      <c r="B175" s="346"/>
      <c r="C175" s="351"/>
      <c r="D175" s="361" t="s">
        <v>250</v>
      </c>
      <c r="E175" s="150" t="str">
        <f>HLOOKUP(Deckblatt!$C$12,Language!$C$1:$D$730,205,FALSE)</f>
        <v>Einbindung bestehender und identitätsstiftender Landschafts- und Freiraumelemente</v>
      </c>
      <c r="F175" s="348"/>
      <c r="G175" s="113"/>
      <c r="H175" s="21">
        <v>5</v>
      </c>
      <c r="I175" s="350"/>
      <c r="J175" s="340"/>
      <c r="K175" s="341"/>
      <c r="L175" s="341"/>
      <c r="M175" s="341"/>
      <c r="N175" s="342"/>
      <c r="P175" s="18">
        <f t="shared" si="2"/>
        <v>0</v>
      </c>
      <c r="Q175" s="338"/>
      <c r="R175" s="344"/>
      <c r="S175" s="344"/>
      <c r="T175" s="344"/>
      <c r="U175" s="475"/>
    </row>
    <row r="176" spans="2:21" ht="26.4" x14ac:dyDescent="0.25">
      <c r="B176" s="346"/>
      <c r="C176" s="351"/>
      <c r="D176" s="361"/>
      <c r="E176" s="134" t="str">
        <f>HLOOKUP(Deckblatt!$C$12,Language!$C$1:$D$730,206,FALSE)</f>
        <v xml:space="preserve">Es liegt eine Analyse/Bestandsuntersuchung vor.
</v>
      </c>
      <c r="F176" s="348"/>
      <c r="G176" s="69"/>
      <c r="H176" s="18">
        <v>3</v>
      </c>
      <c r="I176" s="350"/>
      <c r="J176" s="340"/>
      <c r="K176" s="341"/>
      <c r="L176" s="341"/>
      <c r="M176" s="341"/>
      <c r="N176" s="342"/>
      <c r="P176" s="18">
        <f t="shared" si="2"/>
        <v>0</v>
      </c>
      <c r="Q176" s="338"/>
      <c r="R176" s="344"/>
      <c r="S176" s="344"/>
      <c r="T176" s="344"/>
      <c r="U176" s="475"/>
    </row>
    <row r="177" spans="2:21" ht="66" x14ac:dyDescent="0.25">
      <c r="B177" s="346"/>
      <c r="C177" s="351"/>
      <c r="D177" s="361"/>
      <c r="E177"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77" s="348"/>
      <c r="G177" s="69"/>
      <c r="H177" s="18">
        <v>2</v>
      </c>
      <c r="I177" s="350"/>
      <c r="J177" s="340"/>
      <c r="K177" s="341"/>
      <c r="L177" s="341"/>
      <c r="M177" s="341"/>
      <c r="N177" s="342"/>
      <c r="P177" s="18">
        <f t="shared" si="2"/>
        <v>0</v>
      </c>
      <c r="Q177" s="338"/>
      <c r="R177" s="344"/>
      <c r="S177" s="344"/>
      <c r="T177" s="344"/>
      <c r="U177" s="475"/>
    </row>
    <row r="178" spans="2:21" x14ac:dyDescent="0.25">
      <c r="B178" s="346"/>
      <c r="C178" s="359" t="s">
        <v>61</v>
      </c>
      <c r="D178" s="352" t="str">
        <f>HLOOKUP(Deckblatt!$C$12,Language!$C$1:$D$730,208,FALSE)</f>
        <v>Qualifizierung der Freiräume</v>
      </c>
      <c r="E178" s="353"/>
      <c r="F178" s="348"/>
      <c r="G178" s="113"/>
      <c r="H178" s="21">
        <v>55</v>
      </c>
      <c r="I178" s="350"/>
      <c r="J178" s="340"/>
      <c r="K178" s="341"/>
      <c r="L178" s="341"/>
      <c r="M178" s="341"/>
      <c r="N178" s="342"/>
      <c r="P178" s="18">
        <f t="shared" si="2"/>
        <v>0</v>
      </c>
      <c r="Q178" s="338"/>
      <c r="R178" s="344"/>
      <c r="S178" s="344"/>
      <c r="T178" s="344"/>
      <c r="U178" s="475"/>
    </row>
    <row r="179" spans="2:21" ht="26.4" x14ac:dyDescent="0.25">
      <c r="B179" s="346"/>
      <c r="C179" s="390"/>
      <c r="D179" s="71" t="s">
        <v>63</v>
      </c>
      <c r="E179" s="150" t="str">
        <f>HLOOKUP(Deckblatt!$C$12,Language!$C$1:$D$730,209,FALSE)</f>
        <v xml:space="preserve">Freiraumstruktur
</v>
      </c>
      <c r="F179" s="348"/>
      <c r="G179" s="69"/>
      <c r="H179" s="18">
        <v>10</v>
      </c>
      <c r="I179" s="350"/>
      <c r="J179" s="340"/>
      <c r="K179" s="341"/>
      <c r="L179" s="341"/>
      <c r="M179" s="341"/>
      <c r="N179" s="342"/>
      <c r="P179" s="18">
        <f t="shared" si="2"/>
        <v>0</v>
      </c>
      <c r="Q179" s="338"/>
      <c r="R179" s="344"/>
      <c r="S179" s="344"/>
      <c r="T179" s="344"/>
      <c r="U179" s="475"/>
    </row>
    <row r="180" spans="2:21" ht="26.4" x14ac:dyDescent="0.25">
      <c r="B180" s="346"/>
      <c r="C180" s="390"/>
      <c r="D180" s="71" t="s">
        <v>186</v>
      </c>
      <c r="E180" s="150" t="str">
        <f>HLOOKUP(Deckblatt!$C$12,Language!$C$1:$D$730,210,FALSE)</f>
        <v xml:space="preserve">Freiraumtypen
</v>
      </c>
      <c r="F180" s="348"/>
      <c r="G180" s="69"/>
      <c r="H180" s="18">
        <v>10</v>
      </c>
      <c r="I180" s="350"/>
      <c r="J180" s="340"/>
      <c r="K180" s="341"/>
      <c r="L180" s="341"/>
      <c r="M180" s="341"/>
      <c r="N180" s="342"/>
      <c r="P180" s="18">
        <f t="shared" si="2"/>
        <v>0</v>
      </c>
      <c r="Q180" s="338"/>
      <c r="R180" s="344"/>
      <c r="S180" s="344"/>
      <c r="T180" s="344"/>
      <c r="U180" s="475"/>
    </row>
    <row r="181" spans="2:21" ht="26.4" x14ac:dyDescent="0.25">
      <c r="B181" s="346"/>
      <c r="C181" s="390"/>
      <c r="D181" s="71" t="s">
        <v>255</v>
      </c>
      <c r="E181" s="150" t="str">
        <f>HLOOKUP(Deckblatt!$C$12,Language!$C$1:$D$730,211,FALSE)</f>
        <v xml:space="preserve">Materialität
</v>
      </c>
      <c r="F181" s="348"/>
      <c r="G181" s="69"/>
      <c r="H181" s="18">
        <v>5</v>
      </c>
      <c r="I181" s="350"/>
      <c r="J181" s="340"/>
      <c r="K181" s="341"/>
      <c r="L181" s="341"/>
      <c r="M181" s="341"/>
      <c r="N181" s="342"/>
      <c r="P181" s="18">
        <f t="shared" si="2"/>
        <v>0</v>
      </c>
      <c r="Q181" s="338"/>
      <c r="R181" s="344"/>
      <c r="S181" s="344"/>
      <c r="T181" s="344"/>
      <c r="U181" s="475"/>
    </row>
    <row r="182" spans="2:21" ht="26.4" x14ac:dyDescent="0.25">
      <c r="B182" s="346"/>
      <c r="C182" s="390"/>
      <c r="D182" s="71" t="s">
        <v>256</v>
      </c>
      <c r="E182" s="150" t="str">
        <f>HLOOKUP(Deckblatt!$C$12,Language!$C$1:$D$730,212,FALSE)</f>
        <v xml:space="preserve">Vegetation
</v>
      </c>
      <c r="F182" s="348"/>
      <c r="G182" s="69"/>
      <c r="H182" s="18">
        <v>5</v>
      </c>
      <c r="I182" s="350"/>
      <c r="J182" s="340"/>
      <c r="K182" s="341"/>
      <c r="L182" s="341"/>
      <c r="M182" s="341"/>
      <c r="N182" s="342"/>
      <c r="P182" s="18">
        <f t="shared" si="2"/>
        <v>0</v>
      </c>
      <c r="Q182" s="338"/>
      <c r="R182" s="344"/>
      <c r="S182" s="344"/>
      <c r="T182" s="344"/>
      <c r="U182" s="475"/>
    </row>
    <row r="183" spans="2:21" ht="21.6" customHeight="1" x14ac:dyDescent="0.25">
      <c r="B183" s="346"/>
      <c r="C183" s="390"/>
      <c r="D183" s="71" t="s">
        <v>257</v>
      </c>
      <c r="E183" s="150" t="str">
        <f>HLOOKUP(Deckblatt!$C$12,Language!$C$1:$D$730,213,FALSE)</f>
        <v xml:space="preserve">Ausstattung
</v>
      </c>
      <c r="F183" s="348"/>
      <c r="G183" s="69"/>
      <c r="H183" s="18">
        <v>10</v>
      </c>
      <c r="I183" s="350"/>
      <c r="J183" s="340"/>
      <c r="K183" s="341"/>
      <c r="L183" s="341"/>
      <c r="M183" s="341"/>
      <c r="N183" s="342"/>
      <c r="P183" s="18">
        <f t="shared" si="2"/>
        <v>0</v>
      </c>
      <c r="Q183" s="338"/>
      <c r="R183" s="344"/>
      <c r="S183" s="344"/>
      <c r="T183" s="344"/>
      <c r="U183" s="475"/>
    </row>
    <row r="184" spans="2:21" ht="26.4" x14ac:dyDescent="0.25">
      <c r="B184" s="346"/>
      <c r="C184" s="390"/>
      <c r="D184" s="71" t="s">
        <v>258</v>
      </c>
      <c r="E184" s="150" t="str">
        <f>HLOOKUP(Deckblatt!$C$12,Language!$C$1:$D$730,214,FALSE)</f>
        <v xml:space="preserve">Beleuchtung
</v>
      </c>
      <c r="F184" s="348"/>
      <c r="G184" s="69"/>
      <c r="H184" s="18">
        <v>5</v>
      </c>
      <c r="I184" s="350"/>
      <c r="J184" s="340"/>
      <c r="K184" s="341"/>
      <c r="L184" s="341"/>
      <c r="M184" s="341"/>
      <c r="N184" s="342"/>
      <c r="P184" s="18">
        <f t="shared" si="2"/>
        <v>0</v>
      </c>
      <c r="Q184" s="338"/>
      <c r="R184" s="344"/>
      <c r="S184" s="344"/>
      <c r="T184" s="344"/>
      <c r="U184" s="475"/>
    </row>
    <row r="185" spans="2:21" ht="26.4" x14ac:dyDescent="0.25">
      <c r="B185" s="346"/>
      <c r="C185" s="390"/>
      <c r="D185" s="71" t="s">
        <v>259</v>
      </c>
      <c r="E185" s="150" t="str">
        <f>HLOOKUP(Deckblatt!$C$12,Language!$C$1:$D$730,215,FALSE)</f>
        <v xml:space="preserve">Verkehrsflächen
</v>
      </c>
      <c r="F185" s="348"/>
      <c r="G185" s="69"/>
      <c r="H185" s="18">
        <v>10</v>
      </c>
      <c r="I185" s="350"/>
      <c r="J185" s="340"/>
      <c r="K185" s="341"/>
      <c r="L185" s="341"/>
      <c r="M185" s="341"/>
      <c r="N185" s="342"/>
      <c r="P185" s="18">
        <f t="shared" si="2"/>
        <v>0</v>
      </c>
      <c r="Q185" s="338"/>
      <c r="R185" s="344"/>
      <c r="S185" s="344"/>
      <c r="T185" s="344"/>
      <c r="U185" s="475"/>
    </row>
    <row r="186" spans="2:21" ht="27" customHeight="1" x14ac:dyDescent="0.25">
      <c r="B186" s="346"/>
      <c r="C186" s="351" t="s">
        <v>64</v>
      </c>
      <c r="D186" s="352" t="str">
        <f>HLOOKUP(Deckblatt!$C$12,Language!$C$1:$D$730,217,FALSE)</f>
        <v>Freiraumangebot - öffentlicher Freiräume BGF_DGNB (innerhalb des Projektgebietes)</v>
      </c>
      <c r="E186" s="353"/>
      <c r="F186" s="348"/>
      <c r="G186" s="113"/>
      <c r="H186" s="21">
        <v>10</v>
      </c>
      <c r="I186" s="350"/>
      <c r="J186" s="340"/>
      <c r="K186" s="341"/>
      <c r="L186" s="341"/>
      <c r="M186" s="341"/>
      <c r="N186" s="342"/>
      <c r="P186" s="18">
        <f t="shared" si="2"/>
        <v>0</v>
      </c>
      <c r="Q186" s="338"/>
      <c r="R186" s="344"/>
      <c r="S186" s="344"/>
      <c r="T186" s="344"/>
      <c r="U186" s="475"/>
    </row>
    <row r="187" spans="2:21" ht="26.4" x14ac:dyDescent="0.25">
      <c r="B187" s="346"/>
      <c r="C187" s="351"/>
      <c r="D187" s="71" t="s">
        <v>66</v>
      </c>
      <c r="E187" s="150" t="str">
        <f>HLOOKUP(Deckblatt!$C$12,Language!$C$1:$D$730,218,FALSE)</f>
        <v xml:space="preserve">Freiraumfaktor
</v>
      </c>
      <c r="F187" s="348"/>
      <c r="G187" s="69"/>
      <c r="H187" s="18">
        <v>10</v>
      </c>
      <c r="I187" s="350"/>
      <c r="J187" s="340"/>
      <c r="K187" s="341"/>
      <c r="L187" s="341"/>
      <c r="M187" s="341"/>
      <c r="N187" s="342"/>
      <c r="P187" s="18">
        <f t="shared" si="2"/>
        <v>0</v>
      </c>
      <c r="Q187" s="338"/>
      <c r="R187" s="344"/>
      <c r="S187" s="344"/>
      <c r="T187" s="344"/>
      <c r="U187" s="475"/>
    </row>
    <row r="188" spans="2:21" ht="26.1" customHeight="1" x14ac:dyDescent="0.25">
      <c r="B188" s="346"/>
      <c r="C188" s="351" t="s">
        <v>67</v>
      </c>
      <c r="D188" s="352" t="str">
        <f>HLOOKUP(Deckblatt!$C$12,Language!$C$1:$D$730,219,FALSE)</f>
        <v>Freiraumangebot - Erreichbarkeit öffentlicher Freiräume / Standortfreiräume (außerhalb des Projektgebietes)</v>
      </c>
      <c r="E188" s="353"/>
      <c r="F188" s="348"/>
      <c r="G188" s="113"/>
      <c r="H188" s="21">
        <v>10</v>
      </c>
      <c r="I188" s="350"/>
      <c r="J188" s="340"/>
      <c r="K188" s="341"/>
      <c r="L188" s="341"/>
      <c r="M188" s="341"/>
      <c r="N188" s="342"/>
      <c r="P188" s="18">
        <f t="shared" si="2"/>
        <v>0</v>
      </c>
      <c r="Q188" s="338"/>
      <c r="R188" s="344"/>
      <c r="S188" s="344"/>
      <c r="T188" s="344"/>
      <c r="U188" s="475"/>
    </row>
    <row r="189" spans="2:21" ht="26.4" x14ac:dyDescent="0.25">
      <c r="B189" s="346"/>
      <c r="C189" s="351"/>
      <c r="D189" s="71" t="s">
        <v>69</v>
      </c>
      <c r="E189" s="150" t="str">
        <f>HLOOKUP(Deckblatt!$C$12,Language!$C$1:$D$730,220,FALSE)</f>
        <v xml:space="preserve">Freiraumfaktor
</v>
      </c>
      <c r="F189" s="348"/>
      <c r="G189" s="69"/>
      <c r="H189" s="18">
        <v>10</v>
      </c>
      <c r="I189" s="350"/>
      <c r="J189" s="340"/>
      <c r="K189" s="341"/>
      <c r="L189" s="341"/>
      <c r="M189" s="341"/>
      <c r="N189" s="342"/>
      <c r="P189" s="18">
        <f t="shared" si="2"/>
        <v>0</v>
      </c>
      <c r="Q189" s="338"/>
      <c r="R189" s="344"/>
      <c r="S189" s="344"/>
      <c r="T189" s="344"/>
      <c r="U189" s="475"/>
    </row>
    <row r="190" spans="2:21" ht="30" customHeight="1" x14ac:dyDescent="0.25">
      <c r="B190" s="346"/>
      <c r="C190" s="359" t="s">
        <v>154</v>
      </c>
      <c r="D190" s="367" t="str">
        <f>HLOOKUP(Deckblatt!$C$12,Language!$C$1:$D$730,221,FALSE)</f>
        <v xml:space="preserve">Freiraumangebot – private Freiräume pro BGF_W / werksinterne Freiräume pro Mitarbeiter pro Schicht </v>
      </c>
      <c r="E190" s="368"/>
      <c r="F190" s="348"/>
      <c r="G190" s="113"/>
      <c r="H190" s="21">
        <v>5</v>
      </c>
      <c r="I190" s="350"/>
      <c r="J190" s="340"/>
      <c r="K190" s="341"/>
      <c r="L190" s="341"/>
      <c r="M190" s="341"/>
      <c r="N190" s="342"/>
      <c r="P190" s="18">
        <f t="shared" si="2"/>
        <v>0</v>
      </c>
      <c r="Q190" s="338"/>
      <c r="R190" s="344"/>
      <c r="S190" s="344"/>
      <c r="T190" s="344"/>
      <c r="U190" s="475"/>
    </row>
    <row r="191" spans="2:21" x14ac:dyDescent="0.25">
      <c r="B191" s="346"/>
      <c r="C191" s="360"/>
      <c r="D191" s="71" t="s">
        <v>156</v>
      </c>
      <c r="E191" s="150" t="str">
        <f>HLOOKUP(Deckblatt!$C$12,Language!$C$1:$D$730,222,FALSE)</f>
        <v>Freiraumfaktor für Quartiere</v>
      </c>
      <c r="F191" s="348"/>
      <c r="G191" s="69"/>
      <c r="H191" s="18">
        <v>5</v>
      </c>
      <c r="I191" s="350"/>
      <c r="J191" s="340"/>
      <c r="K191" s="341"/>
      <c r="L191" s="341"/>
      <c r="M191" s="341"/>
      <c r="N191" s="342"/>
      <c r="P191" s="18">
        <f t="shared" si="2"/>
        <v>0</v>
      </c>
      <c r="Q191" s="338"/>
      <c r="R191" s="344"/>
      <c r="S191" s="344"/>
      <c r="T191" s="344"/>
      <c r="U191" s="475"/>
    </row>
    <row r="192" spans="2:21" x14ac:dyDescent="0.25">
      <c r="B192" s="55" t="s">
        <v>270</v>
      </c>
      <c r="C192" s="354" t="str">
        <f>HLOOKUP(Deckblatt!$C$12,Language!$C$1:$D$730,254,FALSE)</f>
        <v>Emissionen / Immissionen</v>
      </c>
      <c r="D192" s="354"/>
      <c r="E192" s="355"/>
      <c r="F192" s="56">
        <f>Q192</f>
        <v>0</v>
      </c>
      <c r="G192" s="356"/>
      <c r="H192" s="21">
        <v>100</v>
      </c>
      <c r="I192" s="176">
        <v>3</v>
      </c>
      <c r="J192" s="340"/>
      <c r="K192" s="341"/>
      <c r="L192" s="341"/>
      <c r="M192" s="341"/>
      <c r="N192" s="342"/>
      <c r="P192" s="18">
        <f t="shared" si="2"/>
        <v>0</v>
      </c>
      <c r="Q192" s="337">
        <f>IF(SUM(P195,P197:P198,P200,P202,P204,P206,P211:P214)-P208&gt;100,100,SUM(P195,P197:P198,P200,P202,P204,P206,P211:P214)-P208)</f>
        <v>0</v>
      </c>
      <c r="R192" s="343">
        <f>Q192/100</f>
        <v>0</v>
      </c>
      <c r="S192" s="344"/>
      <c r="T192" s="344"/>
      <c r="U192" s="475"/>
    </row>
    <row r="193" spans="2:21" x14ac:dyDescent="0.25">
      <c r="B193" s="375"/>
      <c r="C193" s="351" t="s">
        <v>54</v>
      </c>
      <c r="D193" s="352" t="str">
        <f>HLOOKUP(Deckblatt!$C$12,Language!$C$1:$D$730,255,FALSE)</f>
        <v>Luftqualität</v>
      </c>
      <c r="E193" s="353"/>
      <c r="F193" s="485"/>
      <c r="G193" s="356"/>
      <c r="H193" s="21">
        <v>20</v>
      </c>
      <c r="I193" s="379"/>
      <c r="J193" s="340"/>
      <c r="K193" s="341"/>
      <c r="L193" s="341"/>
      <c r="M193" s="341"/>
      <c r="N193" s="342"/>
      <c r="P193" s="18">
        <f t="shared" si="2"/>
        <v>0</v>
      </c>
      <c r="Q193" s="338"/>
      <c r="R193" s="344"/>
      <c r="S193" s="344"/>
      <c r="T193" s="344"/>
      <c r="U193" s="475"/>
    </row>
    <row r="194" spans="2:21" x14ac:dyDescent="0.25">
      <c r="B194" s="375"/>
      <c r="C194" s="351"/>
      <c r="D194" s="361" t="s">
        <v>58</v>
      </c>
      <c r="E194" s="150" t="str">
        <f>HLOOKUP(Deckblatt!$C$12,Language!$C$1:$D$730,256,FALSE)</f>
        <v>Einhaltung der gesetzlichen Grenzwerte für Luftqualitätsmerkmale</v>
      </c>
      <c r="F194" s="485"/>
      <c r="G194" s="356"/>
      <c r="H194" s="21">
        <v>10</v>
      </c>
      <c r="I194" s="379"/>
      <c r="J194" s="340"/>
      <c r="K194" s="341"/>
      <c r="L194" s="341"/>
      <c r="M194" s="341"/>
      <c r="N194" s="342"/>
      <c r="P194" s="18">
        <f t="shared" si="2"/>
        <v>0</v>
      </c>
      <c r="Q194" s="338"/>
      <c r="R194" s="344"/>
      <c r="S194" s="344"/>
      <c r="T194" s="344"/>
      <c r="U194" s="475"/>
    </row>
    <row r="195" spans="2:21" ht="66" x14ac:dyDescent="0.25">
      <c r="B195" s="375"/>
      <c r="C195" s="351"/>
      <c r="D195" s="361"/>
      <c r="E195" s="134" t="str">
        <f>HLOOKUP(Deckblatt!$C$12,Language!$C$1:$D$730,257,FALSE)</f>
        <v xml:space="preserve">- NO2-Überschreitung an maximal 18 3-Stunden-Intervallen (über den Ein-Stunden-Tagesmaxima-Wert) (5 Punkte)
ODER
- Keine Überschreitung NO2 (10 Punkte)
</v>
      </c>
      <c r="F195" s="485"/>
      <c r="G195" s="69"/>
      <c r="H195" s="18">
        <v>10</v>
      </c>
      <c r="I195" s="379"/>
      <c r="J195" s="340"/>
      <c r="K195" s="341"/>
      <c r="L195" s="341"/>
      <c r="M195" s="341"/>
      <c r="N195" s="342"/>
      <c r="P195" s="18">
        <f t="shared" si="2"/>
        <v>0</v>
      </c>
      <c r="Q195" s="338"/>
      <c r="R195" s="344"/>
      <c r="S195" s="344"/>
      <c r="T195" s="344"/>
      <c r="U195" s="475"/>
    </row>
    <row r="196" spans="2:21" x14ac:dyDescent="0.25">
      <c r="B196" s="375"/>
      <c r="C196" s="351"/>
      <c r="D196" s="361" t="s">
        <v>181</v>
      </c>
      <c r="E196" s="150" t="str">
        <f>HLOOKUP(Deckblatt!$C$12,Language!$C$1:$D$730,258,FALSE)</f>
        <v>Veränderung der Immissionssituation / Lufthygienischen Gutachten</v>
      </c>
      <c r="F196" s="485"/>
      <c r="G196" s="113"/>
      <c r="H196" s="21">
        <v>10</v>
      </c>
      <c r="I196" s="379"/>
      <c r="J196" s="340"/>
      <c r="K196" s="341"/>
      <c r="L196" s="341"/>
      <c r="M196" s="341"/>
      <c r="N196" s="342"/>
      <c r="P196" s="18">
        <f t="shared" si="2"/>
        <v>0</v>
      </c>
      <c r="Q196" s="338"/>
      <c r="R196" s="344"/>
      <c r="S196" s="344"/>
      <c r="T196" s="344"/>
      <c r="U196" s="475"/>
    </row>
    <row r="197" spans="2:21" ht="26.4" x14ac:dyDescent="0.25">
      <c r="B197" s="375"/>
      <c r="C197" s="351"/>
      <c r="D197" s="361"/>
      <c r="E197" s="134" t="str">
        <f>HLOOKUP(Deckblatt!$C$12,Language!$C$1:$D$730,259,FALSE)</f>
        <v xml:space="preserve">Durchführung eines qualifizierten lufthygienisches Gutachtens
</v>
      </c>
      <c r="F197" s="485"/>
      <c r="G197" s="69"/>
      <c r="H197" s="18">
        <v>3</v>
      </c>
      <c r="I197" s="379"/>
      <c r="J197" s="340"/>
      <c r="K197" s="341"/>
      <c r="L197" s="341"/>
      <c r="M197" s="341"/>
      <c r="N197" s="342"/>
      <c r="P197" s="18">
        <f t="shared" si="2"/>
        <v>0</v>
      </c>
      <c r="Q197" s="338"/>
      <c r="R197" s="344"/>
      <c r="S197" s="344"/>
      <c r="T197" s="344"/>
      <c r="U197" s="475"/>
    </row>
    <row r="198" spans="2:21" ht="66" x14ac:dyDescent="0.25">
      <c r="B198" s="375"/>
      <c r="C198" s="351"/>
      <c r="D198" s="361"/>
      <c r="E198" s="134" t="str">
        <f>HLOOKUP(Deckblatt!$C$12,Language!$C$1:$D$730,260,FALSE)</f>
        <v xml:space="preserve">Umsetzung der Ergebnisse des lufthygienisches Gutachtens
- mind. 50 % Umgesetzt (3 Punkte)
ODER
- vollständig umgesetzt (7 Punkte)
</v>
      </c>
      <c r="F198" s="485"/>
      <c r="G198" s="69"/>
      <c r="H198" s="18">
        <v>7</v>
      </c>
      <c r="I198" s="379"/>
      <c r="J198" s="340"/>
      <c r="K198" s="341"/>
      <c r="L198" s="341"/>
      <c r="M198" s="341"/>
      <c r="N198" s="342"/>
      <c r="P198" s="18">
        <f t="shared" si="2"/>
        <v>0</v>
      </c>
      <c r="Q198" s="338"/>
      <c r="R198" s="344"/>
      <c r="S198" s="344"/>
      <c r="T198" s="344"/>
      <c r="U198" s="475"/>
    </row>
    <row r="199" spans="2:21" x14ac:dyDescent="0.25">
      <c r="B199" s="375"/>
      <c r="C199" s="351" t="s">
        <v>61</v>
      </c>
      <c r="D199" s="352" t="str">
        <f>HLOOKUP(Deckblatt!$C$12,Language!$C$1:$D$730,261,FALSE)</f>
        <v>Straßenverkehrslärm (innerhalb)</v>
      </c>
      <c r="E199" s="353"/>
      <c r="F199" s="485"/>
      <c r="G199" s="113"/>
      <c r="H199" s="21">
        <v>20</v>
      </c>
      <c r="I199" s="379"/>
      <c r="J199" s="340"/>
      <c r="K199" s="341"/>
      <c r="L199" s="341"/>
      <c r="M199" s="341"/>
      <c r="N199" s="342"/>
      <c r="P199" s="18">
        <f t="shared" si="2"/>
        <v>0</v>
      </c>
      <c r="Q199" s="338"/>
      <c r="R199" s="344"/>
      <c r="S199" s="344"/>
      <c r="T199" s="344"/>
      <c r="U199" s="475"/>
    </row>
    <row r="200" spans="2:21" ht="39.6" x14ac:dyDescent="0.25">
      <c r="B200" s="375"/>
      <c r="C200" s="351"/>
      <c r="D200" s="71" t="s">
        <v>63</v>
      </c>
      <c r="E200" s="150" t="str">
        <f>HLOOKUP(Deckblatt!$C$12,Language!$C$1:$D$730,262,FALSE)</f>
        <v xml:space="preserve">Bewertung des durchschnittlich vorhandenen Straßenverkehrslärm-pegels (Tag / Nacht)
</v>
      </c>
      <c r="F200" s="485"/>
      <c r="G200" s="69"/>
      <c r="H200" s="18">
        <v>20</v>
      </c>
      <c r="I200" s="379"/>
      <c r="J200" s="340"/>
      <c r="K200" s="341"/>
      <c r="L200" s="341"/>
      <c r="M200" s="341"/>
      <c r="N200" s="342"/>
      <c r="P200" s="18">
        <f t="shared" si="2"/>
        <v>0</v>
      </c>
      <c r="Q200" s="338"/>
      <c r="R200" s="344"/>
      <c r="S200" s="344"/>
      <c r="T200" s="344"/>
      <c r="U200" s="475"/>
    </row>
    <row r="201" spans="2:21" x14ac:dyDescent="0.25">
      <c r="B201" s="375"/>
      <c r="C201" s="351" t="s">
        <v>64</v>
      </c>
      <c r="D201" s="352" t="str">
        <f>HLOOKUP(Deckblatt!$C$12,Language!$C$1:$D$730,263,FALSE)</f>
        <v>Lärm auf dem zentralen öffentlich zugänglichen Freiraum</v>
      </c>
      <c r="E201" s="353"/>
      <c r="F201" s="485"/>
      <c r="G201" s="113"/>
      <c r="H201" s="21">
        <v>10</v>
      </c>
      <c r="I201" s="379"/>
      <c r="J201" s="340"/>
      <c r="K201" s="341"/>
      <c r="L201" s="341"/>
      <c r="M201" s="341"/>
      <c r="N201" s="342"/>
      <c r="P201" s="18">
        <f t="shared" si="2"/>
        <v>0</v>
      </c>
      <c r="Q201" s="338"/>
      <c r="R201" s="344"/>
      <c r="S201" s="344"/>
      <c r="T201" s="344"/>
      <c r="U201" s="475"/>
    </row>
    <row r="202" spans="2:21" ht="26.4" x14ac:dyDescent="0.25">
      <c r="B202" s="375"/>
      <c r="C202" s="351"/>
      <c r="D202" s="71" t="s">
        <v>66</v>
      </c>
      <c r="E202" s="150" t="str">
        <f>HLOOKUP(Deckblatt!$C$12,Language!$C$1:$D$730,264,FALSE)</f>
        <v xml:space="preserve">Lärmwert Freiraum (Tag)
</v>
      </c>
      <c r="F202" s="485"/>
      <c r="G202" s="69"/>
      <c r="H202" s="18">
        <v>10</v>
      </c>
      <c r="I202" s="379"/>
      <c r="J202" s="340"/>
      <c r="K202" s="341"/>
      <c r="L202" s="341"/>
      <c r="M202" s="341"/>
      <c r="N202" s="342"/>
      <c r="P202" s="18">
        <f t="shared" si="2"/>
        <v>0</v>
      </c>
      <c r="Q202" s="338"/>
      <c r="R202" s="344"/>
      <c r="S202" s="344"/>
      <c r="T202" s="344"/>
      <c r="U202" s="475"/>
    </row>
    <row r="203" spans="2:21" x14ac:dyDescent="0.25">
      <c r="B203" s="375"/>
      <c r="C203" s="369" t="s">
        <v>67</v>
      </c>
      <c r="D203" s="352" t="str">
        <f>HLOOKUP(Deckblatt!$C$12,Language!$C$1:$D$730,265,FALSE)</f>
        <v>Gewerbelärm / Lärm aus der Event-Nutzung  außerhalb des Quartiers</v>
      </c>
      <c r="E203" s="353"/>
      <c r="F203" s="485"/>
      <c r="G203" s="113"/>
      <c r="H203" s="21">
        <v>10</v>
      </c>
      <c r="I203" s="379"/>
      <c r="J203" s="340"/>
      <c r="K203" s="341"/>
      <c r="L203" s="341"/>
      <c r="M203" s="341"/>
      <c r="N203" s="342"/>
      <c r="P203" s="18">
        <f t="shared" ref="P203:P204" si="3">IF(G203&gt;H203,H203,G203)</f>
        <v>0</v>
      </c>
      <c r="Q203" s="338"/>
      <c r="R203" s="344"/>
      <c r="S203" s="344"/>
      <c r="T203" s="344"/>
      <c r="U203" s="475"/>
    </row>
    <row r="204" spans="2:21" ht="39.6" x14ac:dyDescent="0.25">
      <c r="B204" s="375"/>
      <c r="C204" s="479"/>
      <c r="D204" s="71" t="s">
        <v>69</v>
      </c>
      <c r="E204" s="150" t="str">
        <f>HLOOKUP(Deckblatt!$C$12,Language!$C$1:$D$730,266,FALSE)</f>
        <v xml:space="preserve">Industrie- und Gewerbelärm in benachbarten empfindlichen Nutzungsbereichen 
	</v>
      </c>
      <c r="F204" s="485"/>
      <c r="G204" s="69"/>
      <c r="H204" s="18">
        <v>10</v>
      </c>
      <c r="I204" s="379"/>
      <c r="J204" s="340"/>
      <c r="K204" s="341"/>
      <c r="L204" s="341"/>
      <c r="M204" s="341"/>
      <c r="N204" s="342"/>
      <c r="P204" s="18">
        <f t="shared" si="3"/>
        <v>0</v>
      </c>
      <c r="Q204" s="338"/>
      <c r="R204" s="344"/>
      <c r="S204" s="344"/>
      <c r="T204" s="344"/>
      <c r="U204" s="475"/>
    </row>
    <row r="205" spans="2:21" x14ac:dyDescent="0.25">
      <c r="B205" s="375"/>
      <c r="C205" s="359" t="s">
        <v>154</v>
      </c>
      <c r="D205" s="352" t="str">
        <f>HLOOKUP(Deckblatt!$C$12,Language!$C$1:$D$730,267,FALSE)</f>
        <v xml:space="preserve">Vermeidung oder Verminderung von Emissionen </v>
      </c>
      <c r="E205" s="353"/>
      <c r="F205" s="485"/>
      <c r="G205" s="113"/>
      <c r="H205" s="21">
        <v>10</v>
      </c>
      <c r="I205" s="379"/>
      <c r="J205" s="340"/>
      <c r="K205" s="341"/>
      <c r="L205" s="341"/>
      <c r="M205" s="341"/>
      <c r="N205" s="342"/>
      <c r="P205" s="18">
        <f t="shared" si="2"/>
        <v>0</v>
      </c>
      <c r="Q205" s="338"/>
      <c r="R205" s="344"/>
      <c r="S205" s="344"/>
      <c r="T205" s="344"/>
      <c r="U205" s="475"/>
    </row>
    <row r="206" spans="2:21" x14ac:dyDescent="0.25">
      <c r="B206" s="375"/>
      <c r="C206" s="360"/>
      <c r="D206" s="71" t="s">
        <v>156</v>
      </c>
      <c r="E206" s="150" t="str">
        <f>HLOOKUP(Deckblatt!$C$12,Language!$C$1:$D$730,268,FALSE)</f>
        <v>Luftbelastung durch Heiz-/Feuerungsanlagen</v>
      </c>
      <c r="F206" s="485"/>
      <c r="G206" s="69"/>
      <c r="H206" s="18">
        <v>10</v>
      </c>
      <c r="I206" s="379"/>
      <c r="J206" s="340"/>
      <c r="K206" s="341"/>
      <c r="L206" s="341"/>
      <c r="M206" s="341"/>
      <c r="N206" s="342"/>
      <c r="P206" s="18">
        <f t="shared" si="2"/>
        <v>0</v>
      </c>
      <c r="Q206" s="338"/>
      <c r="R206" s="344"/>
      <c r="S206" s="344"/>
      <c r="T206" s="344"/>
      <c r="U206" s="475"/>
    </row>
    <row r="207" spans="2:21" ht="26.1" customHeight="1" x14ac:dyDescent="0.25">
      <c r="B207" s="375"/>
      <c r="C207" s="351" t="s">
        <v>157</v>
      </c>
      <c r="D207" s="352" t="str">
        <f>HLOOKUP(Deckblatt!$C$12,Language!$C$1:$D$730,271,FALSE)</f>
        <v>Lärm aus Schienen- und Flugverkehr, Industrie und Gewerbe sowie Sport und Freizeit (Reduzierungsfaktor)</v>
      </c>
      <c r="E207" s="353"/>
      <c r="F207" s="485"/>
      <c r="G207" s="113"/>
      <c r="H207" s="21">
        <v>37.5</v>
      </c>
      <c r="I207" s="379"/>
      <c r="J207" s="340"/>
      <c r="K207" s="341"/>
      <c r="L207" s="341"/>
      <c r="M207" s="341"/>
      <c r="N207" s="342"/>
      <c r="P207" s="18">
        <f t="shared" si="2"/>
        <v>0</v>
      </c>
      <c r="Q207" s="338"/>
      <c r="R207" s="344"/>
      <c r="S207" s="344"/>
      <c r="T207" s="344"/>
      <c r="U207" s="475"/>
    </row>
    <row r="208" spans="2:21" ht="92.4" x14ac:dyDescent="0.25">
      <c r="B208" s="375"/>
      <c r="C208" s="351"/>
      <c r="D208" s="71" t="s">
        <v>159</v>
      </c>
      <c r="E208"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08" s="485"/>
      <c r="G208" s="69"/>
      <c r="H208" s="18">
        <v>37.5</v>
      </c>
      <c r="I208" s="379"/>
      <c r="J208" s="340"/>
      <c r="K208" s="341"/>
      <c r="L208" s="341"/>
      <c r="M208" s="341"/>
      <c r="N208" s="342"/>
      <c r="P208" s="18">
        <f t="shared" si="2"/>
        <v>0</v>
      </c>
      <c r="Q208" s="338"/>
      <c r="R208" s="344"/>
      <c r="S208" s="344"/>
      <c r="T208" s="344"/>
      <c r="U208" s="475"/>
    </row>
    <row r="209" spans="2:21" ht="13.2" customHeight="1" x14ac:dyDescent="0.25">
      <c r="B209" s="375"/>
      <c r="C209" s="351" t="s">
        <v>282</v>
      </c>
      <c r="D209" s="352" t="str">
        <f>HLOOKUP(Deckblatt!$C$12,Language!$C$1:$D$730,273,FALSE)</f>
        <v>Maßnahmen zur Reduzierung der Lichtverschmutzung</v>
      </c>
      <c r="E209" s="353"/>
      <c r="F209" s="485"/>
      <c r="G209" s="356"/>
      <c r="H209" s="21">
        <v>30</v>
      </c>
      <c r="I209" s="379"/>
      <c r="J209" s="340"/>
      <c r="K209" s="341"/>
      <c r="L209" s="341"/>
      <c r="M209" s="341"/>
      <c r="N209" s="342"/>
      <c r="P209" s="18">
        <f t="shared" si="2"/>
        <v>0</v>
      </c>
      <c r="Q209" s="338"/>
      <c r="R209" s="344"/>
      <c r="S209" s="344"/>
      <c r="T209" s="344"/>
      <c r="U209" s="475"/>
    </row>
    <row r="210" spans="2:21" x14ac:dyDescent="0.25">
      <c r="B210" s="375"/>
      <c r="C210" s="351"/>
      <c r="D210" s="398" t="s">
        <v>284</v>
      </c>
      <c r="E210" s="150" t="str">
        <f>HLOOKUP(Deckblatt!$C$12,Language!$C$1:$D$730,274,FALSE)</f>
        <v>Maßnahmen zur Reduzierung der Lichtverschmutzung</v>
      </c>
      <c r="F210" s="485"/>
      <c r="G210" s="356"/>
      <c r="H210" s="21">
        <v>30</v>
      </c>
      <c r="I210" s="379"/>
      <c r="J210" s="340"/>
      <c r="K210" s="341"/>
      <c r="L210" s="341"/>
      <c r="M210" s="341"/>
      <c r="N210" s="342"/>
      <c r="P210" s="18">
        <f t="shared" si="2"/>
        <v>0</v>
      </c>
      <c r="Q210" s="338"/>
      <c r="R210" s="344"/>
      <c r="S210" s="344"/>
      <c r="T210" s="344"/>
      <c r="U210" s="475"/>
    </row>
    <row r="211" spans="2:21" ht="52.8" x14ac:dyDescent="0.25">
      <c r="B211" s="375"/>
      <c r="C211" s="351"/>
      <c r="D211" s="414"/>
      <c r="E211" s="134" t="str">
        <f>HLOOKUP(Deckblatt!$C$12,Language!$C$1:$D$730,275,FALSE)</f>
        <v>Es gibt ein (umgesetztes) Beleuchtungskonzept, das explizit auf das Thema Lichtverschmutzung und deren Vermeidung eingeht  und v. a. eine möglichst geringe Raumaufhellung angrenzender Nutzungen berücksichtigt.</v>
      </c>
      <c r="F211" s="485"/>
      <c r="G211" s="69"/>
      <c r="H211" s="18">
        <v>8</v>
      </c>
      <c r="I211" s="379"/>
      <c r="J211" s="340"/>
      <c r="K211" s="341"/>
      <c r="L211" s="341"/>
      <c r="M211" s="341"/>
      <c r="N211" s="342"/>
      <c r="P211" s="18">
        <f t="shared" si="2"/>
        <v>0</v>
      </c>
      <c r="Q211" s="338"/>
      <c r="R211" s="344"/>
      <c r="S211" s="344"/>
      <c r="T211" s="344"/>
      <c r="U211" s="475"/>
    </row>
    <row r="212" spans="2:21" ht="39.6" x14ac:dyDescent="0.25">
      <c r="B212" s="375"/>
      <c r="C212" s="351"/>
      <c r="D212" s="414"/>
      <c r="E212" s="134" t="str">
        <f>HLOOKUP(Deckblatt!$C$12,Language!$C$1:$D$730,276,FALSE)</f>
        <v xml:space="preserve">Alle Leuchtmittel im Außenbereich sind derart gestaltet, das keine Lichtstreuung nach oben und zur Seite stattfindet.
</v>
      </c>
      <c r="F212" s="485"/>
      <c r="G212" s="69"/>
      <c r="H212" s="18">
        <v>8</v>
      </c>
      <c r="I212" s="379"/>
      <c r="J212" s="340"/>
      <c r="K212" s="341"/>
      <c r="L212" s="341"/>
      <c r="M212" s="341"/>
      <c r="N212" s="342"/>
      <c r="P212" s="18">
        <f t="shared" si="2"/>
        <v>0</v>
      </c>
      <c r="Q212" s="338"/>
      <c r="R212" s="344"/>
      <c r="S212" s="344"/>
      <c r="T212" s="344"/>
      <c r="U212" s="475"/>
    </row>
    <row r="213" spans="2:21" ht="39.6" x14ac:dyDescent="0.25">
      <c r="B213" s="375"/>
      <c r="C213" s="351"/>
      <c r="D213" s="414"/>
      <c r="E213" s="134" t="str">
        <f>HLOOKUP(Deckblatt!$C$12,Language!$C$1:$D$730,277,FALSE)</f>
        <v xml:space="preserve">Alle Leuchtmittel im Außenbereich verfügen über Lichtfarben und Orientierung die für den Artenschutz unschädlich sind.
</v>
      </c>
      <c r="F213" s="485"/>
      <c r="G213" s="69"/>
      <c r="H213" s="18">
        <v>8</v>
      </c>
      <c r="I213" s="379"/>
      <c r="J213" s="340"/>
      <c r="K213" s="341"/>
      <c r="L213" s="341"/>
      <c r="M213" s="341"/>
      <c r="N213" s="342"/>
      <c r="P213" s="18">
        <f t="shared" si="2"/>
        <v>0</v>
      </c>
      <c r="Q213" s="338"/>
      <c r="R213" s="344"/>
      <c r="S213" s="344"/>
      <c r="T213" s="344"/>
      <c r="U213" s="475"/>
    </row>
    <row r="214" spans="2:21" ht="26.4" x14ac:dyDescent="0.25">
      <c r="B214" s="375"/>
      <c r="C214" s="351"/>
      <c r="D214" s="399"/>
      <c r="E214" s="134" t="str">
        <f>HLOOKUP(Deckblatt!$C$12,Language!$C$1:$D$730,278,FALSE)</f>
        <v xml:space="preserve">Bei allen Leuchtmittel treten keine unerwünschten Blendeffekte auf
</v>
      </c>
      <c r="F214" s="485"/>
      <c r="G214" s="69"/>
      <c r="H214" s="18">
        <v>6</v>
      </c>
      <c r="I214" s="379"/>
      <c r="J214" s="340"/>
      <c r="K214" s="341"/>
      <c r="L214" s="341"/>
      <c r="M214" s="341"/>
      <c r="N214" s="342"/>
      <c r="P214" s="18">
        <f t="shared" si="2"/>
        <v>0</v>
      </c>
      <c r="Q214" s="338"/>
      <c r="R214" s="344"/>
      <c r="S214" s="344"/>
      <c r="T214" s="344"/>
      <c r="U214" s="475"/>
    </row>
    <row r="215" spans="2:21" x14ac:dyDescent="0.25">
      <c r="B215" s="55" t="s">
        <v>294</v>
      </c>
      <c r="C215" s="354" t="str">
        <f>HLOOKUP(Deckblatt!$C$12,Language!$C$1:$D$730,279,FALSE)</f>
        <v>Barrierefreiheit</v>
      </c>
      <c r="D215" s="354"/>
      <c r="E215" s="355"/>
      <c r="F215" s="56">
        <f>Q215</f>
        <v>0</v>
      </c>
      <c r="G215" s="364"/>
      <c r="H215" s="21">
        <v>100</v>
      </c>
      <c r="I215" s="137">
        <v>3</v>
      </c>
      <c r="J215" s="340"/>
      <c r="K215" s="341"/>
      <c r="L215" s="341"/>
      <c r="M215" s="341"/>
      <c r="N215" s="342"/>
      <c r="P215" s="18">
        <f t="shared" si="2"/>
        <v>0</v>
      </c>
      <c r="Q215" s="337">
        <f>SUM(P217,IF(SUM(P220:P225)&gt;30,30,SUM(P220:P225)),IF(SUM(P228:P238)&gt;15,15,SUM(P228:P238)),IF(SUM(P241:P248)&gt;10,10,SUM(P241:P248)),IF(SUM(P251:P255)&gt;8,8,SUM(P251:P255)),IF(P258+P259+P260&gt;4,4,P258+P259+P260),P263,P264)</f>
        <v>0</v>
      </c>
      <c r="R215" s="343">
        <f>Q215/100</f>
        <v>0</v>
      </c>
      <c r="S215" s="344"/>
      <c r="T215" s="344"/>
      <c r="U215" s="475"/>
    </row>
    <row r="216" spans="2:21" ht="12.75" customHeight="1" x14ac:dyDescent="0.25">
      <c r="B216" s="375"/>
      <c r="C216" s="351" t="s">
        <v>54</v>
      </c>
      <c r="D216" s="352" t="str">
        <f>HLOOKUP(Deckblatt!$C$12,Language!$C$1:$D$730,280,FALSE)</f>
        <v>Barrierefreie Fläche</v>
      </c>
      <c r="E216" s="353"/>
      <c r="F216" s="363"/>
      <c r="G216" s="364"/>
      <c r="H216" s="21">
        <v>30</v>
      </c>
      <c r="I216" s="379"/>
      <c r="J216" s="340"/>
      <c r="K216" s="341"/>
      <c r="L216" s="341"/>
      <c r="M216" s="341"/>
      <c r="N216" s="342"/>
      <c r="P216" s="18">
        <f t="shared" si="2"/>
        <v>0</v>
      </c>
      <c r="Q216" s="338"/>
      <c r="R216" s="344"/>
      <c r="S216" s="344"/>
      <c r="T216" s="344"/>
      <c r="U216" s="475"/>
    </row>
    <row r="217" spans="2:21" ht="26.4" x14ac:dyDescent="0.25">
      <c r="B217" s="375"/>
      <c r="C217" s="351"/>
      <c r="D217" s="160" t="s">
        <v>58</v>
      </c>
      <c r="E217" s="134" t="str">
        <f>HLOOKUP(Deckblatt!$C$12,Language!$C$1:$D$730,281,FALSE)</f>
        <v xml:space="preserve">Index Barrierefreiheit
</v>
      </c>
      <c r="F217" s="363"/>
      <c r="G217" s="69"/>
      <c r="H217" s="18">
        <v>30</v>
      </c>
      <c r="I217" s="379"/>
      <c r="J217" s="340"/>
      <c r="K217" s="341"/>
      <c r="L217" s="341"/>
      <c r="M217" s="341"/>
      <c r="N217" s="342"/>
      <c r="P217" s="18">
        <f t="shared" si="2"/>
        <v>0</v>
      </c>
      <c r="Q217" s="338"/>
      <c r="R217" s="344"/>
      <c r="S217" s="344"/>
      <c r="T217" s="344"/>
      <c r="U217" s="475"/>
    </row>
    <row r="218" spans="2:21" ht="12.75" customHeight="1" x14ac:dyDescent="0.25">
      <c r="B218" s="375"/>
      <c r="C218" s="351" t="s">
        <v>61</v>
      </c>
      <c r="D218" s="352" t="str">
        <f>HLOOKUP(Deckblatt!$C$12,Language!$C$1:$D$730,282,FALSE)</f>
        <v>Erreichbarkeit der notwendigen Infrastruktur</v>
      </c>
      <c r="E218" s="353"/>
      <c r="F218" s="363"/>
      <c r="G218" s="356"/>
      <c r="H218" s="21">
        <v>30</v>
      </c>
      <c r="I218" s="379"/>
      <c r="J218" s="340"/>
      <c r="K218" s="341"/>
      <c r="L218" s="341"/>
      <c r="M218" s="341"/>
      <c r="N218" s="342"/>
      <c r="P218" s="18">
        <f t="shared" si="2"/>
        <v>0</v>
      </c>
      <c r="Q218" s="338"/>
      <c r="R218" s="344"/>
      <c r="S218" s="344"/>
      <c r="T218" s="344"/>
      <c r="U218" s="475"/>
    </row>
    <row r="219" spans="2:21" x14ac:dyDescent="0.25">
      <c r="B219" s="375"/>
      <c r="C219" s="351"/>
      <c r="D219" s="505" t="s">
        <v>63</v>
      </c>
      <c r="E219" s="150" t="str">
        <f>HLOOKUP(Deckblatt!$C$12,Language!$C$1:$D$730,283,FALSE)</f>
        <v>Lokale Einrichtungen</v>
      </c>
      <c r="F219" s="363"/>
      <c r="G219" s="356"/>
      <c r="H219" s="21">
        <v>30</v>
      </c>
      <c r="I219" s="379"/>
      <c r="J219" s="340"/>
      <c r="K219" s="341"/>
      <c r="L219" s="341"/>
      <c r="M219" s="341"/>
      <c r="N219" s="342"/>
      <c r="P219" s="18">
        <f t="shared" ref="P219:P281" si="4">IF(G219&gt;H219,H219,G219)</f>
        <v>0</v>
      </c>
      <c r="Q219" s="338"/>
      <c r="R219" s="344"/>
      <c r="S219" s="344"/>
      <c r="T219" s="344"/>
      <c r="U219" s="475"/>
    </row>
    <row r="220" spans="2:21" ht="26.4" x14ac:dyDescent="0.25">
      <c r="B220" s="375"/>
      <c r="C220" s="351"/>
      <c r="D220" s="506"/>
      <c r="E220" s="134" t="str">
        <f>HLOOKUP(Deckblatt!$C$12,Language!$C$1:$D$730,284,FALSE)</f>
        <v xml:space="preserve">Bildung: Kinderbetreuung und Grundschule max. Gehdistanz 200m Luftlinie
</v>
      </c>
      <c r="F220" s="363"/>
      <c r="G220" s="69"/>
      <c r="H220" s="18">
        <v>5</v>
      </c>
      <c r="I220" s="379"/>
      <c r="J220" s="340"/>
      <c r="K220" s="341"/>
      <c r="L220" s="341"/>
      <c r="M220" s="341"/>
      <c r="N220" s="342"/>
      <c r="P220" s="18">
        <f t="shared" si="4"/>
        <v>0</v>
      </c>
      <c r="Q220" s="338"/>
      <c r="R220" s="344"/>
      <c r="S220" s="344"/>
      <c r="T220" s="344"/>
      <c r="U220" s="475"/>
    </row>
    <row r="221" spans="2:21" ht="39.6" x14ac:dyDescent="0.25">
      <c r="B221" s="375"/>
      <c r="C221" s="351"/>
      <c r="D221" s="506"/>
      <c r="E221" s="134" t="str">
        <f>HLOOKUP(Deckblatt!$C$12,Language!$C$1:$D$730,286,FALSE)</f>
        <v xml:space="preserve">Nahversorgung 1: Vollsortimenter (Angebot von Gütern des täglichen Bedarfs) max. Gehdistanz 400m Luftlinie
</v>
      </c>
      <c r="F221" s="363"/>
      <c r="G221" s="69"/>
      <c r="H221" s="18">
        <v>8</v>
      </c>
      <c r="I221" s="379"/>
      <c r="J221" s="340"/>
      <c r="K221" s="341"/>
      <c r="L221" s="341"/>
      <c r="M221" s="341"/>
      <c r="N221" s="342"/>
      <c r="P221" s="18">
        <f t="shared" si="4"/>
        <v>0</v>
      </c>
      <c r="Q221" s="338"/>
      <c r="R221" s="344"/>
      <c r="S221" s="344"/>
      <c r="T221" s="344"/>
      <c r="U221" s="475"/>
    </row>
    <row r="222" spans="2:21" ht="39.6" x14ac:dyDescent="0.25">
      <c r="B222" s="375"/>
      <c r="C222" s="351"/>
      <c r="D222" s="506"/>
      <c r="E222" s="134" t="str">
        <f>HLOOKUP(Deckblatt!$C$12,Language!$C$1:$D$730,287,FALSE)</f>
        <v xml:space="preserve">Nahversorgung 2: Kleinteiliger Einzelhandel (Bäckerei, Metzgerei, Drogerie,…) max. Gehdistanz 400m Luftlinie
</v>
      </c>
      <c r="F222" s="363"/>
      <c r="G222" s="69"/>
      <c r="H222" s="18">
        <v>7</v>
      </c>
      <c r="I222" s="379"/>
      <c r="J222" s="340"/>
      <c r="K222" s="341"/>
      <c r="L222" s="341"/>
      <c r="M222" s="341"/>
      <c r="N222" s="342"/>
      <c r="P222" s="18">
        <f t="shared" si="4"/>
        <v>0</v>
      </c>
      <c r="Q222" s="338"/>
      <c r="R222" s="344"/>
      <c r="S222" s="344"/>
      <c r="T222" s="344"/>
      <c r="U222" s="475"/>
    </row>
    <row r="223" spans="2:21" ht="39.6" x14ac:dyDescent="0.25">
      <c r="B223" s="375"/>
      <c r="C223" s="351"/>
      <c r="D223" s="506"/>
      <c r="E223" s="134" t="str">
        <f>HLOOKUP(Deckblatt!$C$12,Language!$C$1:$D$730,288,FALSE)</f>
        <v xml:space="preserve">Medizinische Versorgung: Allgemeinmediziner max. Gehdistanz 400m Luftlinie
</v>
      </c>
      <c r="F223" s="363"/>
      <c r="G223" s="69"/>
      <c r="H223" s="18">
        <v>5</v>
      </c>
      <c r="I223" s="379"/>
      <c r="J223" s="340"/>
      <c r="K223" s="341"/>
      <c r="L223" s="341"/>
      <c r="M223" s="341"/>
      <c r="N223" s="342"/>
      <c r="P223" s="18">
        <f t="shared" si="4"/>
        <v>0</v>
      </c>
      <c r="Q223" s="338"/>
      <c r="R223" s="344"/>
      <c r="S223" s="344"/>
      <c r="T223" s="344"/>
      <c r="U223" s="475"/>
    </row>
    <row r="224" spans="2:21" ht="26.4" x14ac:dyDescent="0.25">
      <c r="B224" s="375"/>
      <c r="C224" s="351"/>
      <c r="D224" s="506"/>
      <c r="E224" s="134" t="str">
        <f>HLOOKUP(Deckblatt!$C$12,Language!$C$1:$D$730,289,FALSE)</f>
        <v xml:space="preserve">Bus- oder Straßenbahnhaltestelle: max. Gehdistanz 200m Luftlinie
</v>
      </c>
      <c r="F224" s="363"/>
      <c r="G224" s="69"/>
      <c r="H224" s="18">
        <v>5</v>
      </c>
      <c r="I224" s="379"/>
      <c r="J224" s="340"/>
      <c r="K224" s="341"/>
      <c r="L224" s="341"/>
      <c r="M224" s="341"/>
      <c r="N224" s="342"/>
      <c r="P224" s="18">
        <f t="shared" si="4"/>
        <v>0</v>
      </c>
      <c r="Q224" s="338"/>
      <c r="R224" s="344"/>
      <c r="S224" s="344"/>
      <c r="T224" s="344"/>
      <c r="U224" s="475"/>
    </row>
    <row r="225" spans="2:21" ht="39.6" x14ac:dyDescent="0.25">
      <c r="B225" s="375"/>
      <c r="C225" s="351"/>
      <c r="D225" s="507"/>
      <c r="E225" s="134" t="str">
        <f>HLOOKUP(Deckblatt!$C$12,Language!$C$1:$D$730,290,FALSE)</f>
        <v xml:space="preserve">Gastronomie: Restaurant, Café, Kantine, Mensa, etc.
max. Gehdistanz 400 m Luftlinie
</v>
      </c>
      <c r="F225" s="363"/>
      <c r="G225" s="69"/>
      <c r="H225" s="18">
        <v>5</v>
      </c>
      <c r="I225" s="379"/>
      <c r="J225" s="340"/>
      <c r="K225" s="341"/>
      <c r="L225" s="341"/>
      <c r="M225" s="341"/>
      <c r="N225" s="342"/>
      <c r="P225" s="18">
        <f t="shared" si="4"/>
        <v>0</v>
      </c>
      <c r="Q225" s="338"/>
      <c r="R225" s="344"/>
      <c r="S225" s="344"/>
      <c r="T225" s="344"/>
      <c r="U225" s="475"/>
    </row>
    <row r="226" spans="2:21" ht="13.2" customHeight="1" x14ac:dyDescent="0.25">
      <c r="B226" s="375"/>
      <c r="C226" s="351" t="s">
        <v>64</v>
      </c>
      <c r="D226" s="352" t="str">
        <f>HLOOKUP(Deckblatt!$C$12,Language!$C$1:$D$730,292,FALSE)</f>
        <v>Barrierefreiheit der Verkehrsflächen</v>
      </c>
      <c r="E226" s="353"/>
      <c r="F226" s="363"/>
      <c r="G226" s="356"/>
      <c r="H226" s="21">
        <v>15</v>
      </c>
      <c r="I226" s="379"/>
      <c r="J226" s="340"/>
      <c r="K226" s="341"/>
      <c r="L226" s="341"/>
      <c r="M226" s="341"/>
      <c r="N226" s="342"/>
      <c r="P226" s="18">
        <f t="shared" si="4"/>
        <v>0</v>
      </c>
      <c r="Q226" s="338"/>
      <c r="R226" s="344"/>
      <c r="S226" s="344"/>
      <c r="T226" s="344"/>
      <c r="U226" s="475"/>
    </row>
    <row r="227" spans="2:21" x14ac:dyDescent="0.25">
      <c r="B227" s="375"/>
      <c r="C227" s="351"/>
      <c r="D227" s="376" t="s">
        <v>66</v>
      </c>
      <c r="E227" s="150" t="str">
        <f>HLOOKUP(Deckblatt!$C$12,Language!$C$1:$D$730,293,FALSE)</f>
        <v>Barrierefreie Bewegungsflächen</v>
      </c>
      <c r="F227" s="363"/>
      <c r="G227" s="356"/>
      <c r="H227" s="21">
        <v>15</v>
      </c>
      <c r="I227" s="379"/>
      <c r="J227" s="340"/>
      <c r="K227" s="341"/>
      <c r="L227" s="341"/>
      <c r="M227" s="341"/>
      <c r="N227" s="342"/>
      <c r="P227" s="18">
        <f t="shared" si="4"/>
        <v>0</v>
      </c>
      <c r="Q227" s="338"/>
      <c r="R227" s="344"/>
      <c r="S227" s="344"/>
      <c r="T227" s="344"/>
      <c r="U227" s="475"/>
    </row>
    <row r="228" spans="2:21" ht="52.8" x14ac:dyDescent="0.25">
      <c r="B228" s="375"/>
      <c r="C228" s="351"/>
      <c r="D228" s="376"/>
      <c r="E228" s="134" t="str">
        <f>HLOOKUP(Deckblatt!$C$12,Language!$C$1:$D$730,294,FALSE)</f>
        <v xml:space="preserve">Breite der Bewegungsfläche auf Gehwegen im Umfeld von Schulen, Kinderbetreuungseinrichtungen, Freizeit- und Pflegeeinrichtungen, Einkaufszentren, bei Fußgängerüberwegen und Furten: 3 m
</v>
      </c>
      <c r="F228" s="363"/>
      <c r="G228" s="69"/>
      <c r="H228" s="18">
        <v>2</v>
      </c>
      <c r="I228" s="379"/>
      <c r="J228" s="340"/>
      <c r="K228" s="341"/>
      <c r="L228" s="341"/>
      <c r="M228" s="341"/>
      <c r="N228" s="342"/>
      <c r="P228" s="18">
        <f t="shared" si="4"/>
        <v>0</v>
      </c>
      <c r="Q228" s="338"/>
      <c r="R228" s="344"/>
      <c r="S228" s="344"/>
      <c r="T228" s="344"/>
      <c r="U228" s="475"/>
    </row>
    <row r="229" spans="2:21" ht="39.6" x14ac:dyDescent="0.25">
      <c r="B229" s="375"/>
      <c r="C229" s="351"/>
      <c r="D229" s="376"/>
      <c r="E229" s="134" t="str">
        <f>HLOOKUP(Deckblatt!$C$12,Language!$C$1:$D$730,295,FALSE)</f>
        <v xml:space="preserve">Breite der Bewegungsfläche von Gehwegen an der schmalsten Stelle (im Straßenraum und in Freiflächen): 1,5 m
</v>
      </c>
      <c r="F229" s="363"/>
      <c r="G229" s="69"/>
      <c r="H229" s="18">
        <v>2</v>
      </c>
      <c r="I229" s="379"/>
      <c r="J229" s="340"/>
      <c r="K229" s="341"/>
      <c r="L229" s="341"/>
      <c r="M229" s="341"/>
      <c r="N229" s="342"/>
      <c r="P229" s="18">
        <f t="shared" si="4"/>
        <v>0</v>
      </c>
      <c r="Q229" s="338"/>
      <c r="R229" s="344"/>
      <c r="S229" s="344"/>
      <c r="T229" s="344"/>
      <c r="U229" s="475"/>
    </row>
    <row r="230" spans="2:21" ht="39.6" x14ac:dyDescent="0.25">
      <c r="B230" s="375"/>
      <c r="C230" s="351"/>
      <c r="D230" s="376"/>
      <c r="E230" s="134" t="str">
        <f>HLOOKUP(Deckblatt!$C$12,Language!$C$1:$D$730,296,FALSE)</f>
        <v xml:space="preserve">Breite der Bewegungsfläche auf Nebengehwegen, in Durchgängen an Kassen und Kontrollen: 0,9 m
</v>
      </c>
      <c r="F230" s="363"/>
      <c r="G230" s="69"/>
      <c r="H230" s="18">
        <v>2</v>
      </c>
      <c r="I230" s="379"/>
      <c r="J230" s="340"/>
      <c r="K230" s="341"/>
      <c r="L230" s="341"/>
      <c r="M230" s="341"/>
      <c r="N230" s="342"/>
      <c r="P230" s="18">
        <f t="shared" si="4"/>
        <v>0</v>
      </c>
      <c r="Q230" s="338"/>
      <c r="R230" s="344"/>
      <c r="S230" s="344"/>
      <c r="T230" s="344"/>
      <c r="U230" s="475"/>
    </row>
    <row r="231" spans="2:21" ht="52.8" x14ac:dyDescent="0.25">
      <c r="B231" s="375"/>
      <c r="C231" s="351"/>
      <c r="D231" s="376"/>
      <c r="E231" s="134" t="str">
        <f>HLOOKUP(Deckblatt!$C$12,Language!$C$1:$D$730,297,FALSE)</f>
        <v xml:space="preserve">Verweilplätze vor öffentlichen Einrichtungen: 1,5x1,5 m
(z.B. als Wendemöglichkeit, als Ruhe- oder Verweilfläche, am Anfang und Ende einer Rampe, vor Haus- und Gebäudeeingängen etc.)
</v>
      </c>
      <c r="F231" s="363"/>
      <c r="G231" s="69"/>
      <c r="H231" s="18">
        <v>2</v>
      </c>
      <c r="I231" s="379"/>
      <c r="J231" s="340"/>
      <c r="K231" s="341"/>
      <c r="L231" s="341"/>
      <c r="M231" s="341"/>
      <c r="N231" s="342"/>
      <c r="P231" s="18">
        <f t="shared" si="4"/>
        <v>0</v>
      </c>
      <c r="Q231" s="338"/>
      <c r="R231" s="344"/>
      <c r="S231" s="344"/>
      <c r="T231" s="344"/>
      <c r="U231" s="475"/>
    </row>
    <row r="232" spans="2:21" ht="39.6" x14ac:dyDescent="0.25">
      <c r="B232" s="375"/>
      <c r="C232" s="351"/>
      <c r="D232" s="376"/>
      <c r="E232" s="134" t="str">
        <f>HLOOKUP(Deckblatt!$C$12,Language!$C$1:$D$730,298,FALSE)</f>
        <v xml:space="preserve">Bewegungsfläche innerhalb der Gehwege: 2,0 x 2,5 m (nach max. 18m, innerhalb der Sichtweite)
</v>
      </c>
      <c r="F232" s="363"/>
      <c r="G232" s="69"/>
      <c r="H232" s="18">
        <v>2</v>
      </c>
      <c r="I232" s="379"/>
      <c r="J232" s="340"/>
      <c r="K232" s="341"/>
      <c r="L232" s="341"/>
      <c r="M232" s="341"/>
      <c r="N232" s="342"/>
      <c r="P232" s="18">
        <f t="shared" si="4"/>
        <v>0</v>
      </c>
      <c r="Q232" s="338"/>
      <c r="R232" s="344"/>
      <c r="S232" s="344"/>
      <c r="T232" s="344"/>
      <c r="U232" s="475"/>
    </row>
    <row r="233" spans="2:21" ht="39.6" x14ac:dyDescent="0.25">
      <c r="B233" s="375"/>
      <c r="C233" s="351"/>
      <c r="D233" s="376"/>
      <c r="E233" s="134" t="str">
        <f>HLOOKUP(Deckblatt!$C$12,Language!$C$1:$D$730,299,FALSE)</f>
        <v xml:space="preserve">Gehwege mit Längsgefälle von 0-3% ausführen, wenn nötig bei 3-6 % Gefälle nur Verweilplätzen spätestens alle 10 m
</v>
      </c>
      <c r="F233" s="363"/>
      <c r="G233" s="69"/>
      <c r="H233" s="18">
        <v>2</v>
      </c>
      <c r="I233" s="379"/>
      <c r="J233" s="340"/>
      <c r="K233" s="341"/>
      <c r="L233" s="341"/>
      <c r="M233" s="341"/>
      <c r="N233" s="342"/>
      <c r="P233" s="18">
        <f t="shared" si="4"/>
        <v>0</v>
      </c>
      <c r="Q233" s="338"/>
      <c r="R233" s="344"/>
      <c r="S233" s="344"/>
      <c r="T233" s="344"/>
      <c r="U233" s="475"/>
    </row>
    <row r="234" spans="2:21" ht="39.6" x14ac:dyDescent="0.25">
      <c r="B234" s="375"/>
      <c r="C234" s="351"/>
      <c r="D234" s="376"/>
      <c r="E234" s="134" t="str">
        <f>HLOOKUP(Deckblatt!$C$12,Language!$C$1:$D$730,300,FALSE)</f>
        <v xml:space="preserve">Verkehrsberuhigter Straßenraum: Orientierung schaffen mittels taktil und optisch kontrastierendem Leitsystem
</v>
      </c>
      <c r="F234" s="363"/>
      <c r="G234" s="69"/>
      <c r="H234" s="18">
        <v>2</v>
      </c>
      <c r="I234" s="379"/>
      <c r="J234" s="340"/>
      <c r="K234" s="341"/>
      <c r="L234" s="341"/>
      <c r="M234" s="341"/>
      <c r="N234" s="342"/>
      <c r="P234" s="18">
        <f t="shared" si="4"/>
        <v>0</v>
      </c>
      <c r="Q234" s="338"/>
      <c r="R234" s="344"/>
      <c r="S234" s="344"/>
      <c r="T234" s="344"/>
      <c r="U234" s="475"/>
    </row>
    <row r="235" spans="2:21" ht="39.6" x14ac:dyDescent="0.25">
      <c r="B235" s="375"/>
      <c r="C235" s="351"/>
      <c r="D235" s="376"/>
      <c r="E235" s="134" t="str">
        <f>HLOOKUP(Deckblatt!$C$12,Language!$C$1:$D$730,301,FALSE)</f>
        <v xml:space="preserve">Zugang, Fußgängerüberweg und Furt mit abgesenktem Bürgersteig, senkrecht zur Straße, ohne Sichthindernisse
</v>
      </c>
      <c r="F235" s="363"/>
      <c r="G235" s="69"/>
      <c r="H235" s="18">
        <v>2</v>
      </c>
      <c r="I235" s="379"/>
      <c r="J235" s="340"/>
      <c r="K235" s="341"/>
      <c r="L235" s="341"/>
      <c r="M235" s="341"/>
      <c r="N235" s="342"/>
      <c r="P235" s="18">
        <f t="shared" si="4"/>
        <v>0</v>
      </c>
      <c r="Q235" s="338"/>
      <c r="R235" s="344"/>
      <c r="S235" s="344"/>
      <c r="T235" s="344"/>
      <c r="U235" s="475"/>
    </row>
    <row r="236" spans="2:21" ht="39.6" x14ac:dyDescent="0.25">
      <c r="B236" s="375"/>
      <c r="C236" s="351"/>
      <c r="D236" s="376"/>
      <c r="E236" s="134" t="str">
        <f>HLOOKUP(Deckblatt!$C$12,Language!$C$1:$D$730,302,FALSE)</f>
        <v xml:space="preserve">Unterschiedliche Ebenen sind mittels DIN-konformen Rampen oder Aufzügen zugängig zu machen (evtl. auch Fahrtreppe oder Fahrsteig).
</v>
      </c>
      <c r="F236" s="363"/>
      <c r="G236" s="69"/>
      <c r="H236" s="18">
        <v>2</v>
      </c>
      <c r="I236" s="379"/>
      <c r="J236" s="340"/>
      <c r="K236" s="341"/>
      <c r="L236" s="341"/>
      <c r="M236" s="341"/>
      <c r="N236" s="342"/>
      <c r="P236" s="18">
        <f t="shared" si="4"/>
        <v>0</v>
      </c>
      <c r="Q236" s="338"/>
      <c r="R236" s="344"/>
      <c r="S236" s="344"/>
      <c r="T236" s="344"/>
      <c r="U236" s="475"/>
    </row>
    <row r="237" spans="2:21" ht="52.8" x14ac:dyDescent="0.25">
      <c r="B237" s="375"/>
      <c r="C237" s="351"/>
      <c r="D237" s="376"/>
      <c r="E237" s="134" t="str">
        <f>HLOOKUP(Deckblatt!$C$12,Language!$C$1:$D$730,303,FALSE)</f>
        <v xml:space="preserve">Barrierefreie Haltestellen ÖPNV (zu überwindende Höhenunterschiede und Abstände ≤ 3 cm, Einstiegstellen markiert, Witterungsschutz, Bewegungsflächen nicht von Radwegen gequert)
</v>
      </c>
      <c r="F237" s="363"/>
      <c r="G237" s="69"/>
      <c r="H237" s="18">
        <v>2</v>
      </c>
      <c r="I237" s="379"/>
      <c r="J237" s="340"/>
      <c r="K237" s="341"/>
      <c r="L237" s="341"/>
      <c r="M237" s="341"/>
      <c r="N237" s="342"/>
      <c r="P237" s="18">
        <f t="shared" si="4"/>
        <v>0</v>
      </c>
      <c r="Q237" s="338"/>
      <c r="R237" s="344"/>
      <c r="S237" s="344"/>
      <c r="T237" s="344"/>
      <c r="U237" s="475"/>
    </row>
    <row r="238" spans="2:21" ht="66" x14ac:dyDescent="0.25">
      <c r="B238" s="375"/>
      <c r="C238" s="351"/>
      <c r="D238" s="376"/>
      <c r="E238"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38" s="363"/>
      <c r="G238" s="69"/>
      <c r="H238" s="18">
        <v>2</v>
      </c>
      <c r="I238" s="379"/>
      <c r="J238" s="340"/>
      <c r="K238" s="341"/>
      <c r="L238" s="341"/>
      <c r="M238" s="341"/>
      <c r="N238" s="342"/>
      <c r="P238" s="18">
        <f t="shared" si="4"/>
        <v>0</v>
      </c>
      <c r="Q238" s="338"/>
      <c r="R238" s="344"/>
      <c r="S238" s="344"/>
      <c r="T238" s="344"/>
      <c r="U238" s="475"/>
    </row>
    <row r="239" spans="2:21" ht="13.2" customHeight="1" x14ac:dyDescent="0.25">
      <c r="B239" s="375"/>
      <c r="C239" s="351" t="s">
        <v>67</v>
      </c>
      <c r="D239" s="352" t="str">
        <f>HLOOKUP(Deckblatt!$C$12,Language!$C$1:$D$730,306,FALSE)</f>
        <v>Visuelle Informationen im öffentlichen Raum</v>
      </c>
      <c r="E239" s="353"/>
      <c r="F239" s="363"/>
      <c r="G239" s="356"/>
      <c r="H239" s="21">
        <v>10</v>
      </c>
      <c r="I239" s="379"/>
      <c r="J239" s="340"/>
      <c r="K239" s="341"/>
      <c r="L239" s="341"/>
      <c r="M239" s="341"/>
      <c r="N239" s="342"/>
      <c r="P239" s="18">
        <f t="shared" si="4"/>
        <v>0</v>
      </c>
      <c r="Q239" s="338"/>
      <c r="R239" s="344"/>
      <c r="S239" s="344"/>
      <c r="T239" s="344"/>
      <c r="U239" s="475"/>
    </row>
    <row r="240" spans="2:21" x14ac:dyDescent="0.25">
      <c r="B240" s="375"/>
      <c r="C240" s="351"/>
      <c r="D240" s="376" t="s">
        <v>69</v>
      </c>
      <c r="E240" s="150" t="str">
        <f>HLOOKUP(Deckblatt!$C$12,Language!$C$1:$D$730,307,FALSE)</f>
        <v>Visuelle Informationselemente</v>
      </c>
      <c r="F240" s="363"/>
      <c r="G240" s="356"/>
      <c r="H240" s="21">
        <v>10</v>
      </c>
      <c r="I240" s="379"/>
      <c r="J240" s="340"/>
      <c r="K240" s="341"/>
      <c r="L240" s="341"/>
      <c r="M240" s="341"/>
      <c r="N240" s="342"/>
      <c r="P240" s="18">
        <f t="shared" si="4"/>
        <v>0</v>
      </c>
      <c r="Q240" s="338"/>
      <c r="R240" s="344"/>
      <c r="S240" s="344"/>
      <c r="T240" s="344"/>
      <c r="U240" s="475"/>
    </row>
    <row r="241" spans="2:21" ht="52.8" x14ac:dyDescent="0.25">
      <c r="B241" s="375"/>
      <c r="C241" s="351"/>
      <c r="D241" s="376"/>
      <c r="E241" s="134" t="str">
        <f>HLOOKUP(Deckblatt!$C$12,Language!$C$1:$D$730,308,FALSE)</f>
        <v xml:space="preserve">Einhaltung der vorgeschriebenen Kontraste bei Schrift- und Bildzeichen, besonders mit Notfall- und Warnfunktionen sowie bei Informationsträgern (Besondere Vorsicht bei Sonderlösungen!)
</v>
      </c>
      <c r="F241" s="363"/>
      <c r="G241" s="69"/>
      <c r="H241" s="18">
        <v>2</v>
      </c>
      <c r="I241" s="379"/>
      <c r="J241" s="340"/>
      <c r="K241" s="341"/>
      <c r="L241" s="341"/>
      <c r="M241" s="341"/>
      <c r="N241" s="342"/>
      <c r="P241" s="18">
        <f t="shared" si="4"/>
        <v>0</v>
      </c>
      <c r="Q241" s="338"/>
      <c r="R241" s="344"/>
      <c r="S241" s="344"/>
      <c r="T241" s="344"/>
      <c r="U241" s="475"/>
    </row>
    <row r="242" spans="2:21" ht="52.8" x14ac:dyDescent="0.25">
      <c r="B242" s="375"/>
      <c r="C242" s="351"/>
      <c r="D242" s="376"/>
      <c r="E242" s="134" t="str">
        <f>HLOOKUP(Deckblatt!$C$12,Language!$C$1:$D$730,309,FALSE)</f>
        <v xml:space="preserve">Realisierung einer gleichmäßigen, blendfreien Grundbeleuchtung mit akzentuierter Beleuchtung wichtiger Bereiche (z. B. Treppen) und möglicher Ziele (z. B. Informationstafeln)
</v>
      </c>
      <c r="F242" s="363"/>
      <c r="G242" s="69"/>
      <c r="H242" s="18">
        <v>2</v>
      </c>
      <c r="I242" s="379"/>
      <c r="J242" s="340"/>
      <c r="K242" s="341"/>
      <c r="L242" s="341"/>
      <c r="M242" s="341"/>
      <c r="N242" s="342"/>
      <c r="P242" s="18">
        <f t="shared" si="4"/>
        <v>0</v>
      </c>
      <c r="Q242" s="338"/>
      <c r="R242" s="344"/>
      <c r="S242" s="344"/>
      <c r="T242" s="344"/>
      <c r="U242" s="475"/>
    </row>
    <row r="243" spans="2:21" ht="26.4" x14ac:dyDescent="0.25">
      <c r="B243" s="375"/>
      <c r="C243" s="351"/>
      <c r="D243" s="376"/>
      <c r="E243" s="134" t="str">
        <f>HLOOKUP(Deckblatt!$C$12,Language!$C$1:$D$730,310,FALSE)</f>
        <v xml:space="preserve">Wahl hilfreicher Farbkombinationen von Sehobjekt und Umfeld
</v>
      </c>
      <c r="F243" s="363"/>
      <c r="G243" s="69"/>
      <c r="H243" s="18">
        <v>2</v>
      </c>
      <c r="I243" s="379"/>
      <c r="J243" s="340"/>
      <c r="K243" s="341"/>
      <c r="L243" s="341"/>
      <c r="M243" s="341"/>
      <c r="N243" s="342"/>
      <c r="P243" s="18">
        <f t="shared" si="4"/>
        <v>0</v>
      </c>
      <c r="Q243" s="338"/>
      <c r="R243" s="344"/>
      <c r="S243" s="344"/>
      <c r="T243" s="344"/>
      <c r="U243" s="475"/>
    </row>
    <row r="244" spans="2:21" ht="39.6" x14ac:dyDescent="0.25">
      <c r="B244" s="375"/>
      <c r="C244" s="351"/>
      <c r="D244" s="376"/>
      <c r="E244" s="134" t="str">
        <f>HLOOKUP(Deckblatt!$C$12,Language!$C$1:$D$730,311,FALSE)</f>
        <v xml:space="preserve">Einhaltung der Mindestzeichengröße in Abhängigkeit von der Beobachterentfernung
</v>
      </c>
      <c r="F244" s="363"/>
      <c r="G244" s="69"/>
      <c r="H244" s="18">
        <v>2</v>
      </c>
      <c r="I244" s="379"/>
      <c r="J244" s="340"/>
      <c r="K244" s="341"/>
      <c r="L244" s="341"/>
      <c r="M244" s="341"/>
      <c r="N244" s="342"/>
      <c r="P244" s="18">
        <f t="shared" si="4"/>
        <v>0</v>
      </c>
      <c r="Q244" s="338"/>
      <c r="R244" s="344"/>
      <c r="S244" s="344"/>
      <c r="T244" s="344"/>
      <c r="U244" s="475"/>
    </row>
    <row r="245" spans="2:21" ht="26.4" x14ac:dyDescent="0.25">
      <c r="B245" s="375"/>
      <c r="C245" s="351"/>
      <c r="D245" s="376"/>
      <c r="E245" s="134" t="str">
        <f>HLOOKUP(Deckblatt!$C$12,Language!$C$1:$D$730,312,FALSE)</f>
        <v xml:space="preserve">Anbringung und Beständigkeit visueller Informationen
</v>
      </c>
      <c r="F245" s="363"/>
      <c r="G245" s="69"/>
      <c r="H245" s="18">
        <v>2</v>
      </c>
      <c r="I245" s="379"/>
      <c r="J245" s="340"/>
      <c r="K245" s="341"/>
      <c r="L245" s="341"/>
      <c r="M245" s="341"/>
      <c r="N245" s="342"/>
      <c r="P245" s="18">
        <f t="shared" si="4"/>
        <v>0</v>
      </c>
      <c r="Q245" s="338"/>
      <c r="R245" s="344"/>
      <c r="S245" s="344"/>
      <c r="T245" s="344"/>
      <c r="U245" s="475"/>
    </row>
    <row r="246" spans="2:21" ht="39.6" x14ac:dyDescent="0.25">
      <c r="B246" s="375"/>
      <c r="C246" s="351"/>
      <c r="D246" s="376"/>
      <c r="E246" s="134" t="str">
        <f>HLOOKUP(Deckblatt!$C$12,Language!$C$1:$D$730,313,FALSE)</f>
        <v xml:space="preserve">Leichte Verständlichkeit und Eindeutigkeit (Verwendung leichter
Sprache)
</v>
      </c>
      <c r="F246" s="363"/>
      <c r="G246" s="69"/>
      <c r="H246" s="18">
        <v>2</v>
      </c>
      <c r="I246" s="379"/>
      <c r="J246" s="340"/>
      <c r="K246" s="341"/>
      <c r="L246" s="341"/>
      <c r="M246" s="341"/>
      <c r="N246" s="342"/>
      <c r="P246" s="18">
        <f t="shared" si="4"/>
        <v>0</v>
      </c>
      <c r="Q246" s="338"/>
      <c r="R246" s="344"/>
      <c r="S246" s="344"/>
      <c r="T246" s="344"/>
      <c r="U246" s="475"/>
    </row>
    <row r="247" spans="2:21" ht="39.6" x14ac:dyDescent="0.25">
      <c r="B247" s="375"/>
      <c r="C247" s="351"/>
      <c r="D247" s="376"/>
      <c r="E247" s="134" t="str">
        <f>HLOOKUP(Deckblatt!$C$12,Language!$C$1:$D$730,314,FALSE)</f>
        <v xml:space="preserve">Semantische Gruppierung (Informationselemente mit verwandten Inhalten sollten zu Gruppen räumlich zusammengefasst werden)
</v>
      </c>
      <c r="F247" s="363"/>
      <c r="G247" s="69"/>
      <c r="H247" s="18">
        <v>2</v>
      </c>
      <c r="I247" s="379"/>
      <c r="J247" s="340"/>
      <c r="K247" s="341"/>
      <c r="L247" s="341"/>
      <c r="M247" s="341"/>
      <c r="N247" s="342"/>
      <c r="P247" s="18">
        <f t="shared" si="4"/>
        <v>0</v>
      </c>
      <c r="Q247" s="338"/>
      <c r="R247" s="344"/>
      <c r="S247" s="344"/>
      <c r="T247" s="344"/>
      <c r="U247" s="475"/>
    </row>
    <row r="248" spans="2:21" ht="39.6" x14ac:dyDescent="0.25">
      <c r="B248" s="375"/>
      <c r="C248" s="351"/>
      <c r="D248" s="376"/>
      <c r="E248" s="134" t="str">
        <f>HLOOKUP(Deckblatt!$C$12,Language!$C$1:$D$730,315,FALSE)</f>
        <v xml:space="preserve">Informationselemente, die einen Fortbewegungsprozess steuern und begleiten, sollen eine kontinuierliche Informationskette bilden
</v>
      </c>
      <c r="F248" s="363"/>
      <c r="G248" s="69"/>
      <c r="H248" s="18">
        <v>2</v>
      </c>
      <c r="I248" s="379"/>
      <c r="J248" s="340"/>
      <c r="K248" s="341"/>
      <c r="L248" s="341"/>
      <c r="M248" s="341"/>
      <c r="N248" s="342"/>
      <c r="P248" s="18">
        <f t="shared" si="4"/>
        <v>0</v>
      </c>
      <c r="Q248" s="338"/>
      <c r="R248" s="344"/>
      <c r="S248" s="344"/>
      <c r="T248" s="344"/>
      <c r="U248" s="475"/>
    </row>
    <row r="249" spans="2:21" ht="13.2" customHeight="1" x14ac:dyDescent="0.25">
      <c r="B249" s="375"/>
      <c r="C249" s="351" t="s">
        <v>154</v>
      </c>
      <c r="D249" s="352" t="str">
        <f>HLOOKUP(Deckblatt!$C$12,Language!$C$1:$D$730,316,FALSE)</f>
        <v>Bodenindikatoren im öffentlichen Raum</v>
      </c>
      <c r="E249" s="353"/>
      <c r="F249" s="363"/>
      <c r="G249" s="356"/>
      <c r="H249" s="21">
        <v>8</v>
      </c>
      <c r="I249" s="379"/>
      <c r="J249" s="340"/>
      <c r="K249" s="341"/>
      <c r="L249" s="341"/>
      <c r="M249" s="341"/>
      <c r="N249" s="342"/>
      <c r="P249" s="18">
        <f t="shared" si="4"/>
        <v>0</v>
      </c>
      <c r="Q249" s="338"/>
      <c r="R249" s="344"/>
      <c r="S249" s="344"/>
      <c r="T249" s="344"/>
      <c r="U249" s="475"/>
    </row>
    <row r="250" spans="2:21" x14ac:dyDescent="0.25">
      <c r="B250" s="375"/>
      <c r="C250" s="351"/>
      <c r="D250" s="376" t="s">
        <v>156</v>
      </c>
      <c r="E250" s="150" t="str">
        <f>HLOOKUP(Deckblatt!$C$12,Language!$C$1:$D$730,317,FALSE)</f>
        <v>Oberflächenschutzmaßnahmen</v>
      </c>
      <c r="F250" s="363"/>
      <c r="G250" s="356"/>
      <c r="H250" s="21">
        <v>8</v>
      </c>
      <c r="I250" s="379"/>
      <c r="J250" s="340"/>
      <c r="K250" s="341"/>
      <c r="L250" s="341"/>
      <c r="M250" s="341"/>
      <c r="N250" s="342"/>
      <c r="P250" s="18">
        <f t="shared" si="4"/>
        <v>0</v>
      </c>
      <c r="Q250" s="338"/>
      <c r="R250" s="344"/>
      <c r="S250" s="344"/>
      <c r="T250" s="344"/>
      <c r="U250" s="475"/>
    </row>
    <row r="251" spans="2:21" ht="26.4" x14ac:dyDescent="0.25">
      <c r="B251" s="375"/>
      <c r="C251" s="351"/>
      <c r="D251" s="376"/>
      <c r="E251" s="134" t="str">
        <f>HLOOKUP(Deckblatt!$C$12,Language!$C$1:$D$730,318,FALSE)</f>
        <v>Eine einheitliche Orientierung der Oberflächenstruktur z. B. an Querungsstellen</v>
      </c>
      <c r="F251" s="363"/>
      <c r="G251" s="69"/>
      <c r="H251" s="18">
        <v>2</v>
      </c>
      <c r="I251" s="379"/>
      <c r="J251" s="340"/>
      <c r="K251" s="341"/>
      <c r="L251" s="341"/>
      <c r="M251" s="341"/>
      <c r="N251" s="342"/>
      <c r="P251" s="18">
        <f t="shared" si="4"/>
        <v>0</v>
      </c>
      <c r="Q251" s="338"/>
      <c r="R251" s="344"/>
      <c r="S251" s="344"/>
      <c r="T251" s="344"/>
      <c r="U251" s="475"/>
    </row>
    <row r="252" spans="2:21" ht="26.4" x14ac:dyDescent="0.25">
      <c r="B252" s="375"/>
      <c r="C252" s="351"/>
      <c r="D252" s="376"/>
      <c r="E252" s="134" t="str">
        <f>HLOOKUP(Deckblatt!$C$12,Language!$C$1:$D$730,319,FALSE)</f>
        <v xml:space="preserve">Systematische Wiederkehrbarkeit
</v>
      </c>
      <c r="F252" s="363"/>
      <c r="G252" s="69"/>
      <c r="H252" s="18">
        <v>2</v>
      </c>
      <c r="I252" s="379"/>
      <c r="J252" s="340"/>
      <c r="K252" s="341"/>
      <c r="L252" s="341"/>
      <c r="M252" s="341"/>
      <c r="N252" s="342"/>
      <c r="P252" s="18">
        <f t="shared" si="4"/>
        <v>0</v>
      </c>
      <c r="Q252" s="338"/>
      <c r="R252" s="344"/>
      <c r="S252" s="344"/>
      <c r="T252" s="344"/>
      <c r="U252" s="475"/>
    </row>
    <row r="253" spans="2:21" ht="26.4" x14ac:dyDescent="0.25">
      <c r="B253" s="375"/>
      <c r="C253" s="351"/>
      <c r="D253" s="376"/>
      <c r="E253" s="134" t="str">
        <f>HLOOKUP(Deckblatt!$C$12,Language!$C$1:$D$730,320,FALSE)</f>
        <v xml:space="preserve">Rutschhemmende Eigenschaften
</v>
      </c>
      <c r="F253" s="363"/>
      <c r="G253" s="69"/>
      <c r="H253" s="18">
        <v>2</v>
      </c>
      <c r="I253" s="379"/>
      <c r="J253" s="340"/>
      <c r="K253" s="341"/>
      <c r="L253" s="341"/>
      <c r="M253" s="341"/>
      <c r="N253" s="342"/>
      <c r="P253" s="18">
        <f t="shared" si="4"/>
        <v>0</v>
      </c>
      <c r="Q253" s="338"/>
      <c r="R253" s="344"/>
      <c r="S253" s="344"/>
      <c r="T253" s="344"/>
      <c r="U253" s="475"/>
    </row>
    <row r="254" spans="2:21" ht="26.4" x14ac:dyDescent="0.25">
      <c r="B254" s="375"/>
      <c r="C254" s="351"/>
      <c r="D254" s="376"/>
      <c r="E254" s="134" t="str">
        <f>HLOOKUP(Deckblatt!$C$12,Language!$C$1:$D$730,321,FALSE)</f>
        <v xml:space="preserve">Kontrastierende Begleitstreifen mit Leuchtdichtekontrast (K&gt; 0,4)
</v>
      </c>
      <c r="F254" s="363"/>
      <c r="G254" s="69"/>
      <c r="H254" s="18">
        <v>2</v>
      </c>
      <c r="I254" s="379"/>
      <c r="J254" s="340"/>
      <c r="K254" s="341"/>
      <c r="L254" s="341"/>
      <c r="M254" s="341"/>
      <c r="N254" s="342"/>
      <c r="P254" s="18">
        <f t="shared" si="4"/>
        <v>0</v>
      </c>
      <c r="Q254" s="338"/>
      <c r="R254" s="344"/>
      <c r="S254" s="344"/>
      <c r="T254" s="344"/>
      <c r="U254" s="475"/>
    </row>
    <row r="255" spans="2:21" ht="26.4" x14ac:dyDescent="0.25">
      <c r="B255" s="375"/>
      <c r="C255" s="351"/>
      <c r="D255" s="376"/>
      <c r="E255" s="134" t="str">
        <f>HLOOKUP(Deckblatt!$C$12,Language!$C$1:$D$730,322,FALSE)</f>
        <v xml:space="preserve">Sicherheitsabstand zur Bordsteinkante
</v>
      </c>
      <c r="F255" s="363"/>
      <c r="G255" s="69"/>
      <c r="H255" s="18">
        <v>2</v>
      </c>
      <c r="I255" s="379"/>
      <c r="J255" s="340"/>
      <c r="K255" s="341"/>
      <c r="L255" s="341"/>
      <c r="M255" s="341"/>
      <c r="N255" s="342"/>
      <c r="P255" s="18">
        <f t="shared" si="4"/>
        <v>0</v>
      </c>
      <c r="Q255" s="338"/>
      <c r="R255" s="344"/>
      <c r="S255" s="344"/>
      <c r="T255" s="344"/>
      <c r="U255" s="475"/>
    </row>
    <row r="256" spans="2:21" ht="13.2" customHeight="1" x14ac:dyDescent="0.25">
      <c r="B256" s="375"/>
      <c r="C256" s="351" t="s">
        <v>157</v>
      </c>
      <c r="D256" s="352" t="str">
        <f>HLOOKUP(Deckblatt!$C$12,Language!$C$1:$D$730,323,FALSE)</f>
        <v>Zusatzeinrichtung für Blinde</v>
      </c>
      <c r="E256" s="353"/>
      <c r="F256" s="363"/>
      <c r="G256" s="356"/>
      <c r="H256" s="21">
        <v>4</v>
      </c>
      <c r="I256" s="379"/>
      <c r="J256" s="340"/>
      <c r="K256" s="341"/>
      <c r="L256" s="341"/>
      <c r="M256" s="341"/>
      <c r="N256" s="342"/>
      <c r="P256" s="18">
        <f t="shared" si="4"/>
        <v>0</v>
      </c>
      <c r="Q256" s="338"/>
      <c r="R256" s="344"/>
      <c r="S256" s="344"/>
      <c r="T256" s="344"/>
      <c r="U256" s="475"/>
    </row>
    <row r="257" spans="2:21" x14ac:dyDescent="0.25">
      <c r="B257" s="375"/>
      <c r="C257" s="351"/>
      <c r="D257" s="376" t="s">
        <v>159</v>
      </c>
      <c r="E257" s="150" t="str">
        <f>HLOOKUP(Deckblatt!$C$12,Language!$C$1:$D$730,324,FALSE)</f>
        <v>Signalanlagen im Straßenverkehr</v>
      </c>
      <c r="F257" s="363"/>
      <c r="G257" s="356"/>
      <c r="H257" s="21">
        <v>4</v>
      </c>
      <c r="I257" s="379"/>
      <c r="J257" s="340"/>
      <c r="K257" s="341"/>
      <c r="L257" s="341"/>
      <c r="M257" s="341"/>
      <c r="N257" s="342"/>
      <c r="P257" s="18">
        <f t="shared" si="4"/>
        <v>0</v>
      </c>
      <c r="Q257" s="338"/>
      <c r="R257" s="344"/>
      <c r="S257" s="344"/>
      <c r="T257" s="344"/>
      <c r="U257" s="475"/>
    </row>
    <row r="258" spans="2:21" ht="39.6" x14ac:dyDescent="0.25">
      <c r="B258" s="375"/>
      <c r="C258" s="351"/>
      <c r="D258" s="376"/>
      <c r="E258" s="134" t="str">
        <f>HLOOKUP(Deckblatt!$C$12,Language!$C$1:$D$730,325,FALSE)</f>
        <v xml:space="preserve">Erleichtertes Auffinden der Fußgängerfurt sowie des Signalgebermastes mittels Anforderungstaster und taktiler Zeichen
</v>
      </c>
      <c r="F258" s="363"/>
      <c r="G258" s="69"/>
      <c r="H258" s="18">
        <v>2</v>
      </c>
      <c r="I258" s="379"/>
      <c r="J258" s="340"/>
      <c r="K258" s="341"/>
      <c r="L258" s="341"/>
      <c r="M258" s="341"/>
      <c r="N258" s="342"/>
      <c r="P258" s="18">
        <f t="shared" si="4"/>
        <v>0</v>
      </c>
      <c r="Q258" s="338"/>
      <c r="R258" s="344"/>
      <c r="S258" s="344"/>
      <c r="T258" s="344"/>
      <c r="U258" s="475"/>
    </row>
    <row r="259" spans="2:21" ht="26.4" x14ac:dyDescent="0.25">
      <c r="B259" s="375"/>
      <c r="C259" s="351"/>
      <c r="D259" s="376"/>
      <c r="E259" s="134" t="str">
        <f>HLOOKUP(Deckblatt!$C$12,Language!$C$1:$D$730,326,FALSE)</f>
        <v xml:space="preserve">Erkennbarkeit des Freigabesignals für die Fußgängerfurt
</v>
      </c>
      <c r="F259" s="363"/>
      <c r="G259" s="69"/>
      <c r="H259" s="18">
        <v>2</v>
      </c>
      <c r="I259" s="379"/>
      <c r="J259" s="340"/>
      <c r="K259" s="341"/>
      <c r="L259" s="341"/>
      <c r="M259" s="341"/>
      <c r="N259" s="342"/>
      <c r="P259" s="18">
        <f t="shared" si="4"/>
        <v>0</v>
      </c>
      <c r="Q259" s="338"/>
      <c r="R259" s="344"/>
      <c r="S259" s="344"/>
      <c r="T259" s="344"/>
      <c r="U259" s="475"/>
    </row>
    <row r="260" spans="2:21" ht="26.4" x14ac:dyDescent="0.25">
      <c r="B260" s="375"/>
      <c r="C260" s="351"/>
      <c r="D260" s="376"/>
      <c r="E260" s="134" t="str">
        <f>HLOOKUP(Deckblatt!$C$12,Language!$C$1:$D$730,327,FALSE)</f>
        <v xml:space="preserve">Sicheres und gradliniges Überqueren der Straße möglich
</v>
      </c>
      <c r="F260" s="363"/>
      <c r="G260" s="69"/>
      <c r="H260" s="18">
        <v>2</v>
      </c>
      <c r="I260" s="379"/>
      <c r="J260" s="340"/>
      <c r="K260" s="341"/>
      <c r="L260" s="341"/>
      <c r="M260" s="341"/>
      <c r="N260" s="342"/>
      <c r="P260" s="18">
        <f t="shared" si="4"/>
        <v>0</v>
      </c>
      <c r="Q260" s="338"/>
      <c r="R260" s="344"/>
      <c r="S260" s="344"/>
      <c r="T260" s="344"/>
      <c r="U260" s="475"/>
    </row>
    <row r="261" spans="2:21" ht="13.2" customHeight="1" x14ac:dyDescent="0.25">
      <c r="B261" s="375"/>
      <c r="C261" s="351" t="s">
        <v>282</v>
      </c>
      <c r="D261" s="352" t="str">
        <f>HLOOKUP(Deckblatt!$C$12,Language!$C$1:$D$730,328,FALSE)</f>
        <v>Planungsgrundlagen</v>
      </c>
      <c r="E261" s="353"/>
      <c r="F261" s="363"/>
      <c r="G261" s="356"/>
      <c r="H261" s="21">
        <v>3</v>
      </c>
      <c r="I261" s="379"/>
      <c r="J261" s="340"/>
      <c r="K261" s="341"/>
      <c r="L261" s="341"/>
      <c r="M261" s="341"/>
      <c r="N261" s="342"/>
      <c r="P261" s="18">
        <f t="shared" si="4"/>
        <v>0</v>
      </c>
      <c r="Q261" s="338"/>
      <c r="R261" s="344"/>
      <c r="S261" s="344"/>
      <c r="T261" s="344"/>
      <c r="U261" s="475"/>
    </row>
    <row r="262" spans="2:21" x14ac:dyDescent="0.25">
      <c r="B262" s="375"/>
      <c r="C262" s="351"/>
      <c r="D262" s="376" t="s">
        <v>284</v>
      </c>
      <c r="E262" s="150" t="str">
        <f>HLOOKUP(Deckblatt!$C$12,Language!$C$1:$D$730,329,FALSE)</f>
        <v>Leuchtdichtekontrast &amp; Zwei-Sinne-Prinzip</v>
      </c>
      <c r="F262" s="363"/>
      <c r="G262" s="356"/>
      <c r="H262" s="21">
        <v>3</v>
      </c>
      <c r="I262" s="379"/>
      <c r="J262" s="340"/>
      <c r="K262" s="341"/>
      <c r="L262" s="341"/>
      <c r="M262" s="341"/>
      <c r="N262" s="342"/>
      <c r="P262" s="18">
        <f t="shared" si="4"/>
        <v>0</v>
      </c>
      <c r="Q262" s="338"/>
      <c r="R262" s="344"/>
      <c r="S262" s="344"/>
      <c r="T262" s="344"/>
      <c r="U262" s="475"/>
    </row>
    <row r="263" spans="2:21" ht="52.8" x14ac:dyDescent="0.25">
      <c r="B263" s="375"/>
      <c r="C263" s="351"/>
      <c r="D263" s="376"/>
      <c r="E263" s="134" t="str">
        <f>HLOOKUP(Deckblatt!$C$12,Language!$C$1:$D$730,330,FALSE)</f>
        <v xml:space="preserve">Leuchtdichtekontrast (relativer Leuchtdichteunterschied benachbarter Flächen; kann durch Farbgebung unterstützt werden) Systematische Wiederkehrbarkeit
</v>
      </c>
      <c r="F263" s="363"/>
      <c r="G263" s="69"/>
      <c r="H263" s="18">
        <v>1</v>
      </c>
      <c r="I263" s="379"/>
      <c r="J263" s="340"/>
      <c r="K263" s="341"/>
      <c r="L263" s="341"/>
      <c r="M263" s="341"/>
      <c r="N263" s="342"/>
      <c r="P263" s="18">
        <f t="shared" si="4"/>
        <v>0</v>
      </c>
      <c r="Q263" s="338"/>
      <c r="R263" s="344"/>
      <c r="S263" s="344"/>
      <c r="T263" s="344"/>
      <c r="U263" s="475"/>
    </row>
    <row r="264" spans="2:21" ht="39.6" x14ac:dyDescent="0.25">
      <c r="B264" s="375"/>
      <c r="C264" s="351"/>
      <c r="D264" s="376"/>
      <c r="E264" s="134" t="str">
        <f>HLOOKUP(Deckblatt!$C$12,Language!$C$1:$D$730,331,FALSE)</f>
        <v xml:space="preserve">Zwei-Sinne-Prinzip: gleichzeitige Vermittlung von Informationen für zwei Sinne (visuell, taktil und auditiv)
</v>
      </c>
      <c r="F264" s="363"/>
      <c r="G264" s="69"/>
      <c r="H264" s="18">
        <v>2</v>
      </c>
      <c r="I264" s="379"/>
      <c r="J264" s="340"/>
      <c r="K264" s="341"/>
      <c r="L264" s="341"/>
      <c r="M264" s="341"/>
      <c r="N264" s="342"/>
      <c r="P264" s="18">
        <f t="shared" si="4"/>
        <v>0</v>
      </c>
      <c r="Q264" s="339"/>
      <c r="R264" s="365"/>
      <c r="S264" s="344"/>
      <c r="T264" s="344"/>
      <c r="U264" s="475"/>
    </row>
    <row r="265" spans="2:21" x14ac:dyDescent="0.25">
      <c r="B265" s="55" t="s">
        <v>346</v>
      </c>
      <c r="C265" s="354" t="str">
        <f>HLOOKUP(Deckblatt!$C$12,Language!$C$1:$D$730,338,FALSE)</f>
        <v>Städtebau</v>
      </c>
      <c r="D265" s="354"/>
      <c r="E265" s="355"/>
      <c r="F265" s="66">
        <f>Q265</f>
        <v>0</v>
      </c>
      <c r="G265" s="372"/>
      <c r="H265" s="21">
        <v>100</v>
      </c>
      <c r="I265" s="176">
        <v>3</v>
      </c>
      <c r="J265" s="340"/>
      <c r="K265" s="341"/>
      <c r="L265" s="341"/>
      <c r="M265" s="341"/>
      <c r="N265" s="342"/>
      <c r="P265" s="18">
        <f t="shared" si="4"/>
        <v>0</v>
      </c>
      <c r="Q265" s="337">
        <f>SUM(SUM(P268:P284),IF(SUM(P286:P288)&gt;30,30,SUM(P286:P288)))</f>
        <v>0</v>
      </c>
      <c r="R265" s="343">
        <f>Q265/100</f>
        <v>0</v>
      </c>
      <c r="S265" s="344"/>
      <c r="T265" s="344"/>
      <c r="U265" s="475"/>
    </row>
    <row r="266" spans="2:21" ht="13.2" customHeight="1" x14ac:dyDescent="0.25">
      <c r="B266" s="375"/>
      <c r="C266" s="351" t="s">
        <v>54</v>
      </c>
      <c r="D266" s="352" t="str">
        <f>HLOOKUP(Deckblatt!$C$12,Language!$C$1:$D$730,339,FALSE)</f>
        <v>Städtebauliche Einbindung</v>
      </c>
      <c r="E266" s="353"/>
      <c r="F266" s="363"/>
      <c r="G266" s="373"/>
      <c r="H266" s="21">
        <v>50</v>
      </c>
      <c r="I266" s="379"/>
      <c r="J266" s="340"/>
      <c r="K266" s="341"/>
      <c r="L266" s="341"/>
      <c r="M266" s="341"/>
      <c r="N266" s="342"/>
      <c r="P266" s="18">
        <f t="shared" si="4"/>
        <v>0</v>
      </c>
      <c r="Q266" s="338"/>
      <c r="R266" s="344"/>
      <c r="S266" s="344"/>
      <c r="T266" s="344"/>
      <c r="U266" s="475"/>
    </row>
    <row r="267" spans="2:21" x14ac:dyDescent="0.25">
      <c r="B267" s="375"/>
      <c r="C267" s="351"/>
      <c r="D267" s="376" t="s">
        <v>58</v>
      </c>
      <c r="E267" s="150" t="str">
        <f>HLOOKUP(Deckblatt!$C$12,Language!$C$1:$D$730,340,FALSE)</f>
        <v>Einbindung in die Stadtgestalt und Stadtstruktur</v>
      </c>
      <c r="F267" s="363"/>
      <c r="G267" s="374"/>
      <c r="H267" s="21">
        <v>20</v>
      </c>
      <c r="I267" s="379"/>
      <c r="J267" s="340"/>
      <c r="K267" s="341"/>
      <c r="L267" s="341"/>
      <c r="M267" s="341"/>
      <c r="N267" s="342"/>
      <c r="P267" s="18">
        <f t="shared" si="4"/>
        <v>0</v>
      </c>
      <c r="Q267" s="338"/>
      <c r="R267" s="344"/>
      <c r="S267" s="344"/>
      <c r="T267" s="344"/>
      <c r="U267" s="475"/>
    </row>
    <row r="268" spans="2:21" ht="26.4" x14ac:dyDescent="0.25">
      <c r="B268" s="375"/>
      <c r="C268" s="351"/>
      <c r="D268" s="376"/>
      <c r="E268" s="134" t="str">
        <f>HLOOKUP(Deckblatt!$C$12,Language!$C$1:$D$730,341,FALSE)</f>
        <v xml:space="preserve">Es liegt eine Analyse/Bestandsuntersuchung vor.
</v>
      </c>
      <c r="F268" s="363"/>
      <c r="G268" s="69"/>
      <c r="H268" s="18">
        <v>10</v>
      </c>
      <c r="I268" s="379"/>
      <c r="J268" s="340"/>
      <c r="K268" s="341"/>
      <c r="L268" s="341"/>
      <c r="M268" s="341"/>
      <c r="N268" s="342"/>
      <c r="P268" s="18">
        <f t="shared" si="4"/>
        <v>0</v>
      </c>
      <c r="Q268" s="338"/>
      <c r="R268" s="344"/>
      <c r="S268" s="344"/>
      <c r="T268" s="344"/>
      <c r="U268" s="475"/>
    </row>
    <row r="269" spans="2:21" ht="52.8" x14ac:dyDescent="0.25">
      <c r="B269" s="375"/>
      <c r="C269" s="351"/>
      <c r="D269" s="376"/>
      <c r="E269" s="134" t="str">
        <f>HLOOKUP(Deckblatt!$C$12,Language!$C$1:$D$730,342,FALSE)</f>
        <v xml:space="preserve">Die Einbindung des Projekts in die Stadtgestalt und Stadtstruktur wird im städtebaulichen Konzept nachvollziehbar aus den Erkenntnissen der Analyse/Bestandsuntersuchung hergeleitet
</v>
      </c>
      <c r="F269" s="363"/>
      <c r="G269" s="69"/>
      <c r="H269" s="18">
        <v>10</v>
      </c>
      <c r="I269" s="379"/>
      <c r="J269" s="340"/>
      <c r="K269" s="341"/>
      <c r="L269" s="341"/>
      <c r="M269" s="341"/>
      <c r="N269" s="342"/>
      <c r="P269" s="18">
        <f t="shared" si="4"/>
        <v>0</v>
      </c>
      <c r="Q269" s="338"/>
      <c r="R269" s="344"/>
      <c r="S269" s="344"/>
      <c r="T269" s="344"/>
      <c r="U269" s="475"/>
    </row>
    <row r="270" spans="2:21" x14ac:dyDescent="0.25">
      <c r="B270" s="375"/>
      <c r="C270" s="351"/>
      <c r="D270" s="376" t="s">
        <v>181</v>
      </c>
      <c r="E270" s="150" t="str">
        <f>HLOOKUP(Deckblatt!$C$12,Language!$C$1:$D$730,343,FALSE)</f>
        <v>Einbindung in das Erschließungsnetz</v>
      </c>
      <c r="F270" s="363"/>
      <c r="G270" s="113"/>
      <c r="H270" s="21">
        <v>10</v>
      </c>
      <c r="I270" s="379"/>
      <c r="J270" s="340"/>
      <c r="K270" s="341"/>
      <c r="L270" s="341"/>
      <c r="M270" s="341"/>
      <c r="N270" s="342"/>
      <c r="P270" s="18">
        <f t="shared" si="4"/>
        <v>0</v>
      </c>
      <c r="Q270" s="338"/>
      <c r="R270" s="344"/>
      <c r="S270" s="344"/>
      <c r="T270" s="344"/>
      <c r="U270" s="475"/>
    </row>
    <row r="271" spans="2:21" ht="26.4" x14ac:dyDescent="0.25">
      <c r="B271" s="375"/>
      <c r="C271" s="351"/>
      <c r="D271" s="376"/>
      <c r="E271" s="134" t="str">
        <f>HLOOKUP(Deckblatt!$C$12,Language!$C$1:$D$730,344,FALSE)</f>
        <v xml:space="preserve">Es liegt eine Analyse/Bestandsuntersuchung vor.
</v>
      </c>
      <c r="F271" s="363"/>
      <c r="G271" s="69"/>
      <c r="H271" s="18">
        <v>5</v>
      </c>
      <c r="I271" s="379"/>
      <c r="J271" s="340"/>
      <c r="K271" s="341"/>
      <c r="L271" s="341"/>
      <c r="M271" s="341"/>
      <c r="N271" s="342"/>
      <c r="P271" s="18">
        <f t="shared" si="4"/>
        <v>0</v>
      </c>
      <c r="Q271" s="338"/>
      <c r="R271" s="344"/>
      <c r="S271" s="344"/>
      <c r="T271" s="344"/>
      <c r="U271" s="475"/>
    </row>
    <row r="272" spans="2:21" ht="52.8" x14ac:dyDescent="0.25">
      <c r="B272" s="375"/>
      <c r="C272" s="351"/>
      <c r="D272" s="376"/>
      <c r="E272" s="134" t="str">
        <f>HLOOKUP(Deckblatt!$C$12,Language!$C$1:$D$730,345,FALSE)</f>
        <v xml:space="preserve">Die Einbindung des Projekts in das Erschließungsnetz wird im Verkehrskonzept nachvollziehbar aus den Erkenntnissen der Analyse/Bestandsuntersuchung hergeleitet (Erläuterung)
</v>
      </c>
      <c r="F272" s="363"/>
      <c r="G272" s="69"/>
      <c r="H272" s="18">
        <v>5</v>
      </c>
      <c r="I272" s="379"/>
      <c r="J272" s="340"/>
      <c r="K272" s="341"/>
      <c r="L272" s="341"/>
      <c r="M272" s="341"/>
      <c r="N272" s="342"/>
      <c r="P272" s="18">
        <f t="shared" si="4"/>
        <v>0</v>
      </c>
      <c r="Q272" s="338"/>
      <c r="R272" s="344"/>
      <c r="S272" s="344"/>
      <c r="T272" s="344"/>
      <c r="U272" s="475"/>
    </row>
    <row r="273" spans="2:21" x14ac:dyDescent="0.25">
      <c r="B273" s="375"/>
      <c r="C273" s="351"/>
      <c r="D273" s="376" t="s">
        <v>246</v>
      </c>
      <c r="E273" s="150" t="str">
        <f>HLOOKUP(Deckblatt!$C$12,Language!$C$1:$D$730,346,FALSE)</f>
        <v>Einbindung in die übergeordnete Planung/Werksrahmenplanung</v>
      </c>
      <c r="F273" s="363"/>
      <c r="G273" s="113"/>
      <c r="H273" s="21">
        <v>10</v>
      </c>
      <c r="I273" s="379"/>
      <c r="J273" s="340"/>
      <c r="K273" s="341"/>
      <c r="L273" s="341"/>
      <c r="M273" s="341"/>
      <c r="N273" s="342"/>
      <c r="P273" s="18">
        <f t="shared" si="4"/>
        <v>0</v>
      </c>
      <c r="Q273" s="338"/>
      <c r="R273" s="344"/>
      <c r="S273" s="344"/>
      <c r="T273" s="344"/>
      <c r="U273" s="475"/>
    </row>
    <row r="274" spans="2:21" ht="26.4" x14ac:dyDescent="0.25">
      <c r="B274" s="375"/>
      <c r="C274" s="351"/>
      <c r="D274" s="376"/>
      <c r="E274" s="134" t="str">
        <f>HLOOKUP(Deckblatt!$C$12,Language!$C$1:$D$730,347,FALSE)</f>
        <v xml:space="preserve">Es liegt eine Analyse/Bestandsuntersuchung vor.
</v>
      </c>
      <c r="F274" s="363"/>
      <c r="G274" s="69"/>
      <c r="H274" s="18">
        <v>5</v>
      </c>
      <c r="I274" s="379"/>
      <c r="J274" s="340"/>
      <c r="K274" s="341"/>
      <c r="L274" s="341"/>
      <c r="M274" s="341"/>
      <c r="N274" s="342"/>
      <c r="P274" s="18">
        <f t="shared" si="4"/>
        <v>0</v>
      </c>
      <c r="Q274" s="338"/>
      <c r="R274" s="344"/>
      <c r="S274" s="344"/>
      <c r="T274" s="344"/>
      <c r="U274" s="475"/>
    </row>
    <row r="275" spans="2:21" ht="66" x14ac:dyDescent="0.25">
      <c r="B275" s="375"/>
      <c r="C275" s="351"/>
      <c r="D275" s="376"/>
      <c r="E275"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75" s="363"/>
      <c r="G275" s="69"/>
      <c r="H275" s="18">
        <v>5</v>
      </c>
      <c r="I275" s="379"/>
      <c r="J275" s="340"/>
      <c r="K275" s="341"/>
      <c r="L275" s="341"/>
      <c r="M275" s="341"/>
      <c r="N275" s="342"/>
      <c r="P275" s="18">
        <f t="shared" si="4"/>
        <v>0</v>
      </c>
      <c r="Q275" s="338"/>
      <c r="R275" s="344"/>
      <c r="S275" s="344"/>
      <c r="T275" s="344"/>
      <c r="U275" s="475"/>
    </row>
    <row r="276" spans="2:21" x14ac:dyDescent="0.25">
      <c r="B276" s="375"/>
      <c r="C276" s="351"/>
      <c r="D276" s="376" t="s">
        <v>250</v>
      </c>
      <c r="E276" s="150" t="str">
        <f>HLOOKUP(Deckblatt!$C$12,Language!$C$1:$D$730,349,FALSE)</f>
        <v>Einbindung von baulichen Bestand</v>
      </c>
      <c r="F276" s="363"/>
      <c r="G276" s="113"/>
      <c r="H276" s="21">
        <v>10</v>
      </c>
      <c r="I276" s="379"/>
      <c r="J276" s="340"/>
      <c r="K276" s="341"/>
      <c r="L276" s="341"/>
      <c r="M276" s="341"/>
      <c r="N276" s="342"/>
      <c r="P276" s="18">
        <f t="shared" si="4"/>
        <v>0</v>
      </c>
      <c r="Q276" s="338"/>
      <c r="R276" s="344"/>
      <c r="S276" s="344"/>
      <c r="T276" s="344"/>
      <c r="U276" s="475"/>
    </row>
    <row r="277" spans="2:21" ht="26.4" x14ac:dyDescent="0.25">
      <c r="B277" s="375"/>
      <c r="C277" s="351"/>
      <c r="D277" s="376"/>
      <c r="E277" s="134" t="str">
        <f>HLOOKUP(Deckblatt!$C$12,Language!$C$1:$D$730,350,FALSE)</f>
        <v xml:space="preserve">Es liegt eine Analyse/Bestandsuntersuchung vor.
</v>
      </c>
      <c r="F277" s="363"/>
      <c r="G277" s="69"/>
      <c r="H277" s="18">
        <v>5</v>
      </c>
      <c r="I277" s="379"/>
      <c r="J277" s="340"/>
      <c r="K277" s="341"/>
      <c r="L277" s="341"/>
      <c r="M277" s="341"/>
      <c r="N277" s="342"/>
      <c r="P277" s="18">
        <f t="shared" si="4"/>
        <v>0</v>
      </c>
      <c r="Q277" s="338"/>
      <c r="R277" s="344"/>
      <c r="S277" s="344"/>
      <c r="T277" s="344"/>
      <c r="U277" s="475"/>
    </row>
    <row r="278" spans="2:21" ht="52.8" x14ac:dyDescent="0.25">
      <c r="B278" s="375"/>
      <c r="C278" s="351"/>
      <c r="D278" s="376"/>
      <c r="E278" s="134" t="str">
        <f>HLOOKUP(Deckblatt!$C$12,Language!$C$1:$D$730,351,FALSE)</f>
        <v xml:space="preserve">Die Einbindung der bestehenden und identitätsstiftenden Gebäude wird im städtebaulichen Konzept nachvollziehbar aus den Erkenntnissen der Analyse/Bestandsuntersuchung hergeleitet (Erläuterung).
</v>
      </c>
      <c r="F278" s="363"/>
      <c r="G278" s="69"/>
      <c r="H278" s="18">
        <v>5</v>
      </c>
      <c r="I278" s="379"/>
      <c r="J278" s="340"/>
      <c r="K278" s="341"/>
      <c r="L278" s="341"/>
      <c r="M278" s="341"/>
      <c r="N278" s="342"/>
      <c r="P278" s="18">
        <f t="shared" si="4"/>
        <v>0</v>
      </c>
      <c r="Q278" s="338"/>
      <c r="R278" s="344"/>
      <c r="S278" s="344"/>
      <c r="T278" s="344"/>
      <c r="U278" s="475"/>
    </row>
    <row r="279" spans="2:21" ht="13.2" customHeight="1" x14ac:dyDescent="0.25">
      <c r="B279" s="375"/>
      <c r="C279" s="359" t="s">
        <v>61</v>
      </c>
      <c r="D279" s="352" t="str">
        <f>HLOOKUP(Deckblatt!$C$12,Language!$C$1:$D$730,352,FALSE)</f>
        <v>Städtebauliche Qualifizierung</v>
      </c>
      <c r="E279" s="353"/>
      <c r="F279" s="363"/>
      <c r="G279" s="113"/>
      <c r="H279" s="21">
        <v>20</v>
      </c>
      <c r="I279" s="379"/>
      <c r="J279" s="340"/>
      <c r="K279" s="341"/>
      <c r="L279" s="341"/>
      <c r="M279" s="341"/>
      <c r="N279" s="342"/>
      <c r="P279" s="18">
        <f t="shared" si="4"/>
        <v>0</v>
      </c>
      <c r="Q279" s="338"/>
      <c r="R279" s="344"/>
      <c r="S279" s="344"/>
      <c r="T279" s="344"/>
      <c r="U279" s="475"/>
    </row>
    <row r="280" spans="2:21" ht="26.4" x14ac:dyDescent="0.25">
      <c r="B280" s="375"/>
      <c r="C280" s="390"/>
      <c r="D280" s="160" t="s">
        <v>63</v>
      </c>
      <c r="E280" s="150" t="str">
        <f>HLOOKUP(Deckblatt!$C$12,Language!$C$1:$D$730,353,FALSE)</f>
        <v xml:space="preserve">Übergeordnetes Gestaltungskonzept
</v>
      </c>
      <c r="F280" s="363"/>
      <c r="G280" s="69"/>
      <c r="H280" s="18">
        <v>4</v>
      </c>
      <c r="I280" s="379"/>
      <c r="J280" s="340"/>
      <c r="K280" s="341"/>
      <c r="L280" s="341"/>
      <c r="M280" s="341"/>
      <c r="N280" s="342"/>
      <c r="P280" s="18">
        <f t="shared" si="4"/>
        <v>0</v>
      </c>
      <c r="Q280" s="338"/>
      <c r="R280" s="344"/>
      <c r="S280" s="344"/>
      <c r="T280" s="344"/>
      <c r="U280" s="475"/>
    </row>
    <row r="281" spans="2:21" ht="26.4" x14ac:dyDescent="0.25">
      <c r="B281" s="375"/>
      <c r="C281" s="390"/>
      <c r="D281" s="160" t="s">
        <v>186</v>
      </c>
      <c r="E281" s="150" t="str">
        <f>HLOOKUP(Deckblatt!$C$12,Language!$C$1:$D$730,354,FALSE)</f>
        <v xml:space="preserve">Regelwerk für die Charakteristika von Baukörpern
</v>
      </c>
      <c r="F281" s="363"/>
      <c r="G281" s="69"/>
      <c r="H281" s="18">
        <v>4</v>
      </c>
      <c r="I281" s="379"/>
      <c r="J281" s="340"/>
      <c r="K281" s="341"/>
      <c r="L281" s="341"/>
      <c r="M281" s="341"/>
      <c r="N281" s="342"/>
      <c r="P281" s="18">
        <f t="shared" si="4"/>
        <v>0</v>
      </c>
      <c r="Q281" s="338"/>
      <c r="R281" s="344"/>
      <c r="S281" s="344"/>
      <c r="T281" s="344"/>
      <c r="U281" s="475"/>
    </row>
    <row r="282" spans="2:21" ht="26.4" x14ac:dyDescent="0.25">
      <c r="B282" s="375"/>
      <c r="C282" s="390"/>
      <c r="D282" s="160" t="s">
        <v>255</v>
      </c>
      <c r="E282" s="150" t="str">
        <f>HLOOKUP(Deckblatt!$C$12,Language!$C$1:$D$730,355,FALSE)</f>
        <v xml:space="preserve">Material, Farbe, Textur
</v>
      </c>
      <c r="F282" s="363"/>
      <c r="G282" s="69"/>
      <c r="H282" s="18">
        <v>4</v>
      </c>
      <c r="I282" s="379"/>
      <c r="J282" s="340"/>
      <c r="K282" s="341"/>
      <c r="L282" s="341"/>
      <c r="M282" s="341"/>
      <c r="N282" s="342"/>
      <c r="P282" s="18">
        <f t="shared" ref="P282:P355" si="5">IF(G282&gt;H282,H282,G282)</f>
        <v>0</v>
      </c>
      <c r="Q282" s="338"/>
      <c r="R282" s="344"/>
      <c r="S282" s="344"/>
      <c r="T282" s="344"/>
      <c r="U282" s="475"/>
    </row>
    <row r="283" spans="2:21" ht="26.4" x14ac:dyDescent="0.25">
      <c r="B283" s="375"/>
      <c r="C283" s="390"/>
      <c r="D283" s="160" t="s">
        <v>256</v>
      </c>
      <c r="E283" s="150" t="str">
        <f>HLOOKUP(Deckblatt!$C$12,Language!$C$1:$D$730,356,FALSE)</f>
        <v xml:space="preserve">Gestaltung von städtebaulich prägnanten Gebäuden
</v>
      </c>
      <c r="F283" s="363"/>
      <c r="G283" s="69"/>
      <c r="H283" s="18">
        <v>4</v>
      </c>
      <c r="I283" s="379"/>
      <c r="J283" s="340"/>
      <c r="K283" s="341"/>
      <c r="L283" s="341"/>
      <c r="M283" s="341"/>
      <c r="N283" s="342"/>
      <c r="P283" s="18">
        <f t="shared" si="5"/>
        <v>0</v>
      </c>
      <c r="Q283" s="338"/>
      <c r="R283" s="344"/>
      <c r="S283" s="344"/>
      <c r="T283" s="344"/>
      <c r="U283" s="475"/>
    </row>
    <row r="284" spans="2:21" ht="26.4" x14ac:dyDescent="0.25">
      <c r="B284" s="375"/>
      <c r="C284" s="390"/>
      <c r="D284" s="160" t="s">
        <v>257</v>
      </c>
      <c r="E284" s="150" t="str">
        <f>HLOOKUP(Deckblatt!$C$12,Language!$C$1:$D$730,357,FALSE)</f>
        <v xml:space="preserve">Gestaltung von privaten Stellplätzen und Nebenanlagen
</v>
      </c>
      <c r="F284" s="363"/>
      <c r="G284" s="69"/>
      <c r="H284" s="18">
        <v>4</v>
      </c>
      <c r="I284" s="379"/>
      <c r="J284" s="340"/>
      <c r="K284" s="341"/>
      <c r="L284" s="341"/>
      <c r="M284" s="341"/>
      <c r="N284" s="342"/>
      <c r="P284" s="18">
        <f t="shared" si="5"/>
        <v>0</v>
      </c>
      <c r="Q284" s="338"/>
      <c r="R284" s="344"/>
      <c r="S284" s="344"/>
      <c r="T284" s="344"/>
      <c r="U284" s="475"/>
    </row>
    <row r="285" spans="2:21" ht="13.2" customHeight="1" x14ac:dyDescent="0.25">
      <c r="B285" s="375"/>
      <c r="C285" s="390" t="s">
        <v>64</v>
      </c>
      <c r="D285" s="352" t="str">
        <f>HLOOKUP(Deckblatt!$C$12,Language!$C$1:$D$730,358,FALSE)</f>
        <v xml:space="preserve">Impuls / Attraktor </v>
      </c>
      <c r="E285" s="353"/>
      <c r="F285" s="363"/>
      <c r="G285" s="113"/>
      <c r="H285" s="21">
        <v>30</v>
      </c>
      <c r="I285" s="379"/>
      <c r="J285" s="340"/>
      <c r="K285" s="341"/>
      <c r="L285" s="341"/>
      <c r="M285" s="341"/>
      <c r="N285" s="342"/>
      <c r="P285" s="18">
        <f t="shared" si="5"/>
        <v>0</v>
      </c>
      <c r="Q285" s="338"/>
      <c r="R285" s="344"/>
      <c r="S285" s="344"/>
      <c r="T285" s="344"/>
      <c r="U285" s="475"/>
    </row>
    <row r="286" spans="2:21" x14ac:dyDescent="0.25">
      <c r="B286" s="375"/>
      <c r="C286" s="390"/>
      <c r="D286" s="19" t="s">
        <v>66</v>
      </c>
      <c r="E286" s="134" t="str">
        <f>HLOOKUP(Deckblatt!$C$12,Language!$C$1:$D$730,359,FALSE)</f>
        <v>Impuls durch die Nutzung</v>
      </c>
      <c r="F286" s="363"/>
      <c r="G286" s="69"/>
      <c r="H286" s="18">
        <v>15</v>
      </c>
      <c r="I286" s="379"/>
      <c r="J286" s="340"/>
      <c r="K286" s="341"/>
      <c r="L286" s="341"/>
      <c r="M286" s="341"/>
      <c r="N286" s="342"/>
      <c r="P286" s="18">
        <f t="shared" si="5"/>
        <v>0</v>
      </c>
      <c r="Q286" s="338"/>
      <c r="R286" s="344"/>
      <c r="S286" s="344"/>
      <c r="T286" s="344"/>
      <c r="U286" s="475"/>
    </row>
    <row r="287" spans="2:21" x14ac:dyDescent="0.25">
      <c r="B287" s="375"/>
      <c r="C287" s="390"/>
      <c r="D287" s="71" t="s">
        <v>188</v>
      </c>
      <c r="E287" s="134" t="str">
        <f>HLOOKUP(Deckblatt!$C$12,Language!$C$1:$D$730,360,FALSE)</f>
        <v>Impuls durch räumliche und gestalterische Aspekte</v>
      </c>
      <c r="F287" s="363"/>
      <c r="G287" s="69"/>
      <c r="H287" s="18">
        <v>15</v>
      </c>
      <c r="I287" s="379"/>
      <c r="J287" s="340"/>
      <c r="K287" s="341"/>
      <c r="L287" s="341"/>
      <c r="M287" s="341"/>
      <c r="N287" s="342"/>
      <c r="P287" s="18">
        <f t="shared" si="5"/>
        <v>0</v>
      </c>
      <c r="Q287" s="338"/>
      <c r="R287" s="344"/>
      <c r="S287" s="344"/>
      <c r="T287" s="344"/>
      <c r="U287" s="475"/>
    </row>
    <row r="288" spans="2:21" ht="69.75" customHeight="1" x14ac:dyDescent="0.25">
      <c r="B288" s="375"/>
      <c r="C288" s="360"/>
      <c r="D288" s="71" t="s">
        <v>755</v>
      </c>
      <c r="E288"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88" s="363"/>
      <c r="G288" s="69"/>
      <c r="H288" s="18">
        <v>30</v>
      </c>
      <c r="I288" s="379"/>
      <c r="J288" s="340"/>
      <c r="K288" s="341"/>
      <c r="L288" s="341"/>
      <c r="M288" s="341"/>
      <c r="N288" s="342"/>
      <c r="P288" s="18">
        <f t="shared" si="5"/>
        <v>0</v>
      </c>
      <c r="Q288" s="339"/>
      <c r="R288" s="365"/>
      <c r="S288" s="344"/>
      <c r="T288" s="344"/>
      <c r="U288" s="475"/>
    </row>
    <row r="289" spans="2:21" x14ac:dyDescent="0.25">
      <c r="B289" s="55" t="s">
        <v>362</v>
      </c>
      <c r="C289" s="354" t="str">
        <f>HLOOKUP(Deckblatt!$C$12,Language!$C$1:$D$730,362,FALSE)</f>
        <v>Soziale und Funktionale Mischung</v>
      </c>
      <c r="D289" s="354"/>
      <c r="E289" s="355"/>
      <c r="F289" s="66">
        <f>Q289</f>
        <v>0</v>
      </c>
      <c r="G289" s="372"/>
      <c r="H289" s="21">
        <v>100</v>
      </c>
      <c r="I289" s="176">
        <v>4</v>
      </c>
      <c r="J289" s="340"/>
      <c r="K289" s="341"/>
      <c r="L289" s="341"/>
      <c r="M289" s="341"/>
      <c r="N289" s="342"/>
      <c r="P289" s="18">
        <f t="shared" si="5"/>
        <v>0</v>
      </c>
      <c r="Q289" s="337">
        <f>SUM(P291:P303)</f>
        <v>0</v>
      </c>
      <c r="R289" s="343">
        <f>Q289/100</f>
        <v>0</v>
      </c>
      <c r="S289" s="344"/>
      <c r="T289" s="344"/>
      <c r="U289" s="475"/>
    </row>
    <row r="290" spans="2:21" ht="13.2" customHeight="1" x14ac:dyDescent="0.25">
      <c r="B290" s="375"/>
      <c r="C290" s="351" t="s">
        <v>54</v>
      </c>
      <c r="D290" s="352" t="str">
        <f>HLOOKUP(Deckblatt!$C$12,Language!$C$1:$D$730,363,FALSE)</f>
        <v>Soziale und funktionale Einbindung</v>
      </c>
      <c r="E290" s="353"/>
      <c r="F290" s="363"/>
      <c r="G290" s="374"/>
      <c r="H290" s="21">
        <v>20</v>
      </c>
      <c r="I290" s="379"/>
      <c r="J290" s="340"/>
      <c r="K290" s="341"/>
      <c r="L290" s="341"/>
      <c r="M290" s="341"/>
      <c r="N290" s="342"/>
      <c r="P290" s="18">
        <f t="shared" si="5"/>
        <v>0</v>
      </c>
      <c r="Q290" s="338"/>
      <c r="R290" s="344"/>
      <c r="S290" s="344"/>
      <c r="T290" s="344"/>
      <c r="U290" s="475"/>
    </row>
    <row r="291" spans="2:21" ht="26.4" x14ac:dyDescent="0.25">
      <c r="B291" s="375"/>
      <c r="C291" s="351"/>
      <c r="D291" s="160" t="s">
        <v>58</v>
      </c>
      <c r="E291" s="229" t="str">
        <f>HLOOKUP(Deckblatt!$C$12,Language!$C$1:$D$730,364,FALSE)</f>
        <v xml:space="preserve">Einbindung in den sozialen und funktionalen Kontext
</v>
      </c>
      <c r="F291" s="363"/>
      <c r="G291" s="69"/>
      <c r="H291" s="18">
        <v>15</v>
      </c>
      <c r="I291" s="379"/>
      <c r="J291" s="340"/>
      <c r="K291" s="341"/>
      <c r="L291" s="341"/>
      <c r="M291" s="341"/>
      <c r="N291" s="342"/>
      <c r="P291" s="18">
        <f t="shared" si="5"/>
        <v>0</v>
      </c>
      <c r="Q291" s="338"/>
      <c r="R291" s="344"/>
      <c r="S291" s="344"/>
      <c r="T291" s="344"/>
      <c r="U291" s="475"/>
    </row>
    <row r="292" spans="2:21" ht="39.6" x14ac:dyDescent="0.25">
      <c r="B292" s="375"/>
      <c r="C292" s="351"/>
      <c r="D292" s="160" t="s">
        <v>181</v>
      </c>
      <c r="E292" s="134" t="str">
        <f>HLOOKUP(Deckblatt!$C$12,Language!$C$1:$D$730,365,FALSE)</f>
        <v xml:space="preserve">Einbindung bestehender sozialer Strukturen oder Nutzungen
Schutz, Erhalt von vorher vorhandenen Strukturen. z. B. Kleingärtner
</v>
      </c>
      <c r="F292" s="363"/>
      <c r="G292" s="69"/>
      <c r="H292" s="18">
        <v>5</v>
      </c>
      <c r="I292" s="379"/>
      <c r="J292" s="340"/>
      <c r="K292" s="341"/>
      <c r="L292" s="341"/>
      <c r="M292" s="341"/>
      <c r="N292" s="342"/>
      <c r="P292" s="18">
        <f t="shared" si="5"/>
        <v>0</v>
      </c>
      <c r="Q292" s="338"/>
      <c r="R292" s="344"/>
      <c r="S292" s="344"/>
      <c r="T292" s="344"/>
      <c r="U292" s="475"/>
    </row>
    <row r="293" spans="2:21" ht="13.2" customHeight="1" x14ac:dyDescent="0.25">
      <c r="B293" s="375"/>
      <c r="C293" s="351" t="s">
        <v>61</v>
      </c>
      <c r="D293" s="352" t="str">
        <f>HLOOKUP(Deckblatt!$C$12,Language!$C$1:$D$730,366,FALSE)</f>
        <v>Qualifizierung der sozialen Mischung</v>
      </c>
      <c r="E293" s="353"/>
      <c r="F293" s="363"/>
      <c r="G293" s="113"/>
      <c r="H293" s="21">
        <v>70</v>
      </c>
      <c r="I293" s="379"/>
      <c r="J293" s="340"/>
      <c r="K293" s="341"/>
      <c r="L293" s="341"/>
      <c r="M293" s="341"/>
      <c r="N293" s="342"/>
      <c r="P293" s="18">
        <f t="shared" si="5"/>
        <v>0</v>
      </c>
      <c r="Q293" s="338"/>
      <c r="R293" s="344"/>
      <c r="S293" s="344"/>
      <c r="T293" s="344"/>
      <c r="U293" s="475"/>
    </row>
    <row r="294" spans="2:21" ht="26.4" x14ac:dyDescent="0.25">
      <c r="B294" s="375"/>
      <c r="C294" s="351"/>
      <c r="D294" s="160" t="s">
        <v>63</v>
      </c>
      <c r="E294" s="229" t="str">
        <f>HLOOKUP(Deckblatt!$C$12,Language!$C$1:$D$730,367,FALSE)</f>
        <v xml:space="preserve">Demographische Mischung
</v>
      </c>
      <c r="F294" s="363"/>
      <c r="G294" s="69"/>
      <c r="H294" s="18">
        <v>8</v>
      </c>
      <c r="I294" s="379"/>
      <c r="J294" s="340"/>
      <c r="K294" s="341"/>
      <c r="L294" s="341"/>
      <c r="M294" s="341"/>
      <c r="N294" s="342"/>
      <c r="P294" s="18">
        <f t="shared" si="5"/>
        <v>0</v>
      </c>
      <c r="Q294" s="338"/>
      <c r="R294" s="344"/>
      <c r="S294" s="344"/>
      <c r="T294" s="344"/>
      <c r="U294" s="475"/>
    </row>
    <row r="295" spans="2:21" x14ac:dyDescent="0.25">
      <c r="B295" s="375"/>
      <c r="C295" s="351"/>
      <c r="D295" s="160" t="s">
        <v>255</v>
      </c>
      <c r="E295" s="229" t="str">
        <f>HLOOKUP(Deckblatt!$C$12,Language!$C$1:$D$730,369,FALSE)</f>
        <v>Grundstücksangebot</v>
      </c>
      <c r="F295" s="363"/>
      <c r="G295" s="69"/>
      <c r="H295" s="18">
        <v>4</v>
      </c>
      <c r="I295" s="379"/>
      <c r="J295" s="340"/>
      <c r="K295" s="341"/>
      <c r="L295" s="341"/>
      <c r="M295" s="341"/>
      <c r="N295" s="342"/>
      <c r="P295" s="18">
        <f t="shared" si="5"/>
        <v>0</v>
      </c>
      <c r="Q295" s="338"/>
      <c r="R295" s="344"/>
      <c r="S295" s="344"/>
      <c r="T295" s="344"/>
      <c r="U295" s="475"/>
    </row>
    <row r="296" spans="2:21" ht="26.4" x14ac:dyDescent="0.25">
      <c r="B296" s="375"/>
      <c r="C296" s="351"/>
      <c r="D296" s="160" t="s">
        <v>256</v>
      </c>
      <c r="E296" s="229" t="str">
        <f>HLOOKUP(Deckblatt!$C$12,Language!$C$1:$D$730,370,FALSE)</f>
        <v xml:space="preserve">Differenzierte Bautypen/Formen von Arbeitsstätten
</v>
      </c>
      <c r="F296" s="363"/>
      <c r="G296" s="69"/>
      <c r="H296" s="18">
        <v>12</v>
      </c>
      <c r="I296" s="379"/>
      <c r="J296" s="340"/>
      <c r="K296" s="341"/>
      <c r="L296" s="341"/>
      <c r="M296" s="341"/>
      <c r="N296" s="342"/>
      <c r="P296" s="18">
        <f t="shared" si="5"/>
        <v>0</v>
      </c>
      <c r="Q296" s="338"/>
      <c r="R296" s="344"/>
      <c r="S296" s="344"/>
      <c r="T296" s="344"/>
      <c r="U296" s="475"/>
    </row>
    <row r="297" spans="2:21" ht="15.75" customHeight="1" x14ac:dyDescent="0.25">
      <c r="B297" s="375"/>
      <c r="C297" s="351"/>
      <c r="D297" s="160" t="s">
        <v>257</v>
      </c>
      <c r="E297" s="229" t="str">
        <f>HLOOKUP(Deckblatt!$C$12,Language!$C$1:$D$730,371,FALSE)</f>
        <v xml:space="preserve">Belebte Erdgeschosszone
</v>
      </c>
      <c r="F297" s="363"/>
      <c r="G297" s="69"/>
      <c r="H297" s="18">
        <v>5</v>
      </c>
      <c r="I297" s="379"/>
      <c r="J297" s="340"/>
      <c r="K297" s="341"/>
      <c r="L297" s="341"/>
      <c r="M297" s="341"/>
      <c r="N297" s="342"/>
      <c r="P297" s="18">
        <f t="shared" si="5"/>
        <v>0</v>
      </c>
      <c r="Q297" s="338"/>
      <c r="R297" s="344"/>
      <c r="S297" s="344"/>
      <c r="T297" s="344"/>
      <c r="U297" s="475"/>
    </row>
    <row r="298" spans="2:21" ht="158.4" x14ac:dyDescent="0.25">
      <c r="B298" s="375"/>
      <c r="C298" s="351"/>
      <c r="D298" s="160" t="s">
        <v>259</v>
      </c>
      <c r="E298" s="134" t="str">
        <f>HLOOKUP(Deckblatt!$C$12,Language!$C$1:$D$730,373,FALSE)</f>
        <v>Unterschiedliche Firmengrößen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v>
      </c>
      <c r="F298" s="363"/>
      <c r="G298" s="69"/>
      <c r="H298" s="18">
        <v>8</v>
      </c>
      <c r="I298" s="379"/>
      <c r="J298" s="340"/>
      <c r="K298" s="341"/>
      <c r="L298" s="341"/>
      <c r="M298" s="341"/>
      <c r="N298" s="342"/>
      <c r="P298" s="18">
        <f t="shared" si="5"/>
        <v>0</v>
      </c>
      <c r="Q298" s="338"/>
      <c r="R298" s="344"/>
      <c r="S298" s="344"/>
      <c r="T298" s="344"/>
      <c r="U298" s="475"/>
    </row>
    <row r="299" spans="2:21" ht="52.8" x14ac:dyDescent="0.25">
      <c r="B299" s="375"/>
      <c r="C299" s="351"/>
      <c r="D299" s="160" t="s">
        <v>366</v>
      </c>
      <c r="E299" s="134" t="str">
        <f>HLOOKUP(Deckblatt!$C$12,Language!$C$1:$D$730,374,FALSE)</f>
        <v xml:space="preserve">Differenzierte Branchenstruktur
Das Quartier besteht aus zwei oder mehreren Branchen (Beispiele siehe Methode), wovon jede mindestens 10 % der Gesamt-BGF 
</v>
      </c>
      <c r="F299" s="363"/>
      <c r="G299" s="69"/>
      <c r="H299" s="18">
        <v>33</v>
      </c>
      <c r="I299" s="379"/>
      <c r="J299" s="340"/>
      <c r="K299" s="341"/>
      <c r="L299" s="341"/>
      <c r="M299" s="341"/>
      <c r="N299" s="342"/>
      <c r="P299" s="18">
        <f t="shared" si="5"/>
        <v>0</v>
      </c>
      <c r="Q299" s="338"/>
      <c r="R299" s="344"/>
      <c r="S299" s="344"/>
      <c r="T299" s="344"/>
      <c r="U299" s="475"/>
    </row>
    <row r="300" spans="2:21" ht="13.2" customHeight="1" x14ac:dyDescent="0.25">
      <c r="B300" s="375"/>
      <c r="C300" s="351" t="s">
        <v>64</v>
      </c>
      <c r="D300" s="352" t="str">
        <f>HLOOKUP(Deckblatt!$C$12,Language!$C$1:$D$730,375,FALSE)</f>
        <v>Nutzungsanteil</v>
      </c>
      <c r="E300" s="353"/>
      <c r="F300" s="363"/>
      <c r="G300" s="113"/>
      <c r="H300" s="21">
        <v>15</v>
      </c>
      <c r="I300" s="379"/>
      <c r="J300" s="340"/>
      <c r="K300" s="341"/>
      <c r="L300" s="341"/>
      <c r="M300" s="341"/>
      <c r="N300" s="342"/>
      <c r="P300" s="18">
        <f t="shared" si="5"/>
        <v>0</v>
      </c>
      <c r="Q300" s="338"/>
      <c r="R300" s="344"/>
      <c r="S300" s="344"/>
      <c r="T300" s="344"/>
      <c r="U300" s="475"/>
    </row>
    <row r="301" spans="2:21" ht="26.4" x14ac:dyDescent="0.25">
      <c r="B301" s="375"/>
      <c r="C301" s="351"/>
      <c r="D301" s="376" t="s">
        <v>188</v>
      </c>
      <c r="E301" s="229" t="str">
        <f>HLOOKUP(Deckblatt!$C$12,Language!$C$1:$D$730,377,FALSE)</f>
        <v xml:space="preserve">Stärkung der lokalen Ökonomie
</v>
      </c>
      <c r="F301" s="363"/>
      <c r="G301" s="113"/>
      <c r="H301" s="21">
        <v>15</v>
      </c>
      <c r="I301" s="379"/>
      <c r="J301" s="340"/>
      <c r="K301" s="341"/>
      <c r="L301" s="341"/>
      <c r="M301" s="341"/>
      <c r="N301" s="342"/>
      <c r="P301" s="18">
        <f t="shared" si="5"/>
        <v>0</v>
      </c>
      <c r="Q301" s="338"/>
      <c r="R301" s="344"/>
      <c r="S301" s="344"/>
      <c r="T301" s="344"/>
      <c r="U301" s="475"/>
    </row>
    <row r="302" spans="2:21" ht="39.6" x14ac:dyDescent="0.25">
      <c r="B302" s="375"/>
      <c r="C302" s="351"/>
      <c r="D302" s="376"/>
      <c r="E302" s="134" t="str">
        <f>HLOOKUP(Deckblatt!$C$12,Language!$C$1:$D$730,378,FALSE)</f>
        <v xml:space="preserve">Es gibt ein übergreifendes Konzept, die lokale Ökonomie zu stärken – sowohl im Projektgebiet als auch im Umfeld.
</v>
      </c>
      <c r="F302" s="363"/>
      <c r="G302" s="69"/>
      <c r="H302" s="18">
        <v>5</v>
      </c>
      <c r="I302" s="379"/>
      <c r="J302" s="340"/>
      <c r="K302" s="341"/>
      <c r="L302" s="341"/>
      <c r="M302" s="341"/>
      <c r="N302" s="342"/>
      <c r="P302" s="18">
        <f t="shared" si="5"/>
        <v>0</v>
      </c>
      <c r="Q302" s="338"/>
      <c r="R302" s="344"/>
      <c r="S302" s="344"/>
      <c r="T302" s="344"/>
      <c r="U302" s="475"/>
    </row>
    <row r="303" spans="2:21" ht="26.4" x14ac:dyDescent="0.25">
      <c r="B303" s="375"/>
      <c r="C303" s="351"/>
      <c r="D303" s="376"/>
      <c r="E303" s="134" t="str">
        <f>HLOOKUP(Deckblatt!$C$12,Language!$C$1:$D$730,379,FALSE)</f>
        <v xml:space="preserve">Maßnahmen aus dem Konzept wurden umgesetzt.
</v>
      </c>
      <c r="F303" s="363"/>
      <c r="G303" s="69"/>
      <c r="H303" s="18">
        <v>10</v>
      </c>
      <c r="I303" s="379"/>
      <c r="J303" s="340"/>
      <c r="K303" s="341"/>
      <c r="L303" s="341"/>
      <c r="M303" s="341"/>
      <c r="N303" s="342"/>
      <c r="P303" s="18">
        <f t="shared" si="5"/>
        <v>0</v>
      </c>
      <c r="Q303" s="339"/>
      <c r="R303" s="365"/>
      <c r="S303" s="344"/>
      <c r="T303" s="344"/>
      <c r="U303" s="475"/>
    </row>
    <row r="304" spans="2:21" x14ac:dyDescent="0.25">
      <c r="B304" s="55" t="s">
        <v>372</v>
      </c>
      <c r="C304" s="354" t="str">
        <f>HLOOKUP(Deckblatt!$C$12,Language!$C$1:$D$730,380,FALSE)</f>
        <v>Soziale und Erwerbswirtschaftliche Infrastruktur</v>
      </c>
      <c r="D304" s="354"/>
      <c r="E304" s="355"/>
      <c r="F304" s="66">
        <f>Q304</f>
        <v>0</v>
      </c>
      <c r="G304" s="372"/>
      <c r="H304" s="21">
        <v>110</v>
      </c>
      <c r="I304" s="176">
        <v>3</v>
      </c>
      <c r="J304" s="340"/>
      <c r="K304" s="341"/>
      <c r="L304" s="341"/>
      <c r="M304" s="341"/>
      <c r="N304" s="342"/>
      <c r="P304" s="18">
        <f t="shared" si="5"/>
        <v>0</v>
      </c>
      <c r="Q304" s="337">
        <f>SUM(SUM(P306:P309),IF(SUM(P311:P317)&gt;50,50,SUM(P311:P317)),P319)</f>
        <v>0</v>
      </c>
      <c r="R304" s="343">
        <f>Q304/100</f>
        <v>0</v>
      </c>
      <c r="S304" s="344"/>
      <c r="T304" s="344"/>
      <c r="U304" s="475"/>
    </row>
    <row r="305" spans="2:22" ht="13.2" customHeight="1" x14ac:dyDescent="0.25">
      <c r="B305" s="375"/>
      <c r="C305" s="351" t="s">
        <v>54</v>
      </c>
      <c r="D305" s="352" t="str">
        <f>HLOOKUP(Deckblatt!$C$12,Language!$C$1:$D$730,381,FALSE)</f>
        <v>Soziale Infrastruktur</v>
      </c>
      <c r="E305" s="353"/>
      <c r="F305" s="363"/>
      <c r="G305" s="374"/>
      <c r="H305" s="21">
        <v>50</v>
      </c>
      <c r="I305" s="379"/>
      <c r="J305" s="340"/>
      <c r="K305" s="341"/>
      <c r="L305" s="341"/>
      <c r="M305" s="341"/>
      <c r="N305" s="342"/>
      <c r="P305" s="18">
        <f t="shared" si="5"/>
        <v>0</v>
      </c>
      <c r="Q305" s="338"/>
      <c r="R305" s="344"/>
      <c r="S305" s="344"/>
      <c r="T305" s="344"/>
      <c r="U305" s="475"/>
    </row>
    <row r="306" spans="2:22" ht="47.4" customHeight="1" x14ac:dyDescent="0.25">
      <c r="B306" s="375"/>
      <c r="C306" s="351"/>
      <c r="D306" s="71" t="s">
        <v>58</v>
      </c>
      <c r="E306" s="134" t="str">
        <f>HLOOKUP(Deckblatt!$C$12,Language!$C$1:$D$730,382,FALSE)</f>
        <v>Bildung 1: Kinderbetreuung und Grundschule</v>
      </c>
      <c r="F306" s="363"/>
      <c r="G306" s="69"/>
      <c r="H306" s="18">
        <v>15</v>
      </c>
      <c r="I306" s="379"/>
      <c r="J306" s="340"/>
      <c r="K306" s="341"/>
      <c r="L306" s="341"/>
      <c r="M306" s="341"/>
      <c r="N306" s="342"/>
      <c r="P306" s="18">
        <f t="shared" si="5"/>
        <v>0</v>
      </c>
      <c r="Q306" s="338"/>
      <c r="R306" s="344"/>
      <c r="S306" s="344"/>
      <c r="T306" s="344"/>
      <c r="U306" s="475"/>
    </row>
    <row r="307" spans="2:22" ht="39.6" x14ac:dyDescent="0.25">
      <c r="B307" s="375"/>
      <c r="C307" s="351"/>
      <c r="D307" s="71" t="s">
        <v>181</v>
      </c>
      <c r="E307" s="134" t="str">
        <f>HLOOKUP(Deckblatt!$C$12,Language!$C$1:$D$730,383,FALSE)</f>
        <v xml:space="preserve">Bildung 2: Weiterführende oder Berufsbildende Schule (Max. Geh-/Fahrzeit mit ÖPNV 15 Min, Max. Entfernung Luftlinie 1300 m)
</v>
      </c>
      <c r="F307" s="363"/>
      <c r="G307" s="69"/>
      <c r="H307" s="18">
        <v>10</v>
      </c>
      <c r="I307" s="379"/>
      <c r="J307" s="340"/>
      <c r="K307" s="341"/>
      <c r="L307" s="341"/>
      <c r="M307" s="341"/>
      <c r="N307" s="342"/>
      <c r="P307" s="18">
        <f t="shared" si="5"/>
        <v>0</v>
      </c>
      <c r="Q307" s="338"/>
      <c r="R307" s="344"/>
      <c r="S307" s="344"/>
      <c r="T307" s="344"/>
      <c r="U307" s="475"/>
    </row>
    <row r="308" spans="2:22" ht="39.6" x14ac:dyDescent="0.25">
      <c r="B308" s="375"/>
      <c r="C308" s="351"/>
      <c r="D308" s="71" t="s">
        <v>246</v>
      </c>
      <c r="E308" s="134" t="str">
        <f>HLOOKUP(Deckblatt!$C$12,Language!$C$1:$D$730,384,FALSE)</f>
        <v xml:space="preserve">Freizeit: Kunst und Kultur (Kino, Theater, Galerien, (Werks-)Museen), Bücherei, Quartierszentrum, Bürgerhaus, Jugendraum, Seniorentreff etc. 
</v>
      </c>
      <c r="F308" s="363"/>
      <c r="G308" s="69"/>
      <c r="H308" s="18">
        <v>15</v>
      </c>
      <c r="I308" s="379"/>
      <c r="J308" s="340"/>
      <c r="K308" s="341"/>
      <c r="L308" s="341"/>
      <c r="M308" s="341"/>
      <c r="N308" s="342"/>
      <c r="P308" s="18">
        <f t="shared" si="5"/>
        <v>0</v>
      </c>
      <c r="Q308" s="338"/>
      <c r="R308" s="344"/>
      <c r="S308" s="344"/>
      <c r="T308" s="344"/>
      <c r="U308" s="475"/>
    </row>
    <row r="309" spans="2:22" ht="39.6" x14ac:dyDescent="0.25">
      <c r="B309" s="375"/>
      <c r="C309" s="351"/>
      <c r="D309" s="71" t="s">
        <v>121</v>
      </c>
      <c r="E309" s="134" t="str">
        <f>HLOOKUP(Deckblatt!$C$12,Language!$C$1:$D$730,386,FALSE)</f>
        <v xml:space="preserve">Sportstätten: Turn- und Sporthalle, Sportfreigelände/Sportplatz mit Leichtathletik, Hallen- oder Freibad, etc. 
</v>
      </c>
      <c r="F309" s="363"/>
      <c r="G309" s="69"/>
      <c r="H309" s="18">
        <v>10</v>
      </c>
      <c r="I309" s="379"/>
      <c r="J309" s="340"/>
      <c r="K309" s="341"/>
      <c r="L309" s="341"/>
      <c r="M309" s="341"/>
      <c r="N309" s="342"/>
      <c r="P309" s="18">
        <f t="shared" si="5"/>
        <v>0</v>
      </c>
      <c r="Q309" s="338"/>
      <c r="R309" s="344"/>
      <c r="S309" s="344"/>
      <c r="T309" s="344"/>
      <c r="U309" s="475"/>
    </row>
    <row r="310" spans="2:22" ht="13.2" customHeight="1" x14ac:dyDescent="0.25">
      <c r="B310" s="375"/>
      <c r="C310" s="359" t="s">
        <v>61</v>
      </c>
      <c r="D310" s="352" t="str">
        <f>HLOOKUP(Deckblatt!$C$12,Language!$C$1:$D$730,387,FALSE)</f>
        <v>Erwerbswirtschaftliche Infrastruktur</v>
      </c>
      <c r="E310" s="353"/>
      <c r="F310" s="363"/>
      <c r="G310" s="113"/>
      <c r="H310" s="21">
        <v>50</v>
      </c>
      <c r="I310" s="379"/>
      <c r="J310" s="340"/>
      <c r="K310" s="341"/>
      <c r="L310" s="341"/>
      <c r="M310" s="341"/>
      <c r="N310" s="342"/>
      <c r="P310" s="18">
        <f t="shared" si="5"/>
        <v>0</v>
      </c>
      <c r="Q310" s="338"/>
      <c r="R310" s="344"/>
      <c r="S310" s="344"/>
      <c r="T310" s="344"/>
      <c r="U310" s="475"/>
    </row>
    <row r="311" spans="2:22" ht="39.6" x14ac:dyDescent="0.25">
      <c r="B311" s="375"/>
      <c r="C311" s="390"/>
      <c r="D311" s="71" t="s">
        <v>63</v>
      </c>
      <c r="E311" s="134" t="str">
        <f>HLOOKUP(Deckblatt!$C$12,Language!$C$1:$D$730,388,FALSE)</f>
        <v xml:space="preserve">Es gibt ein Handels-/Zentrenkonzept in welches das Quartier/der Standort eingebunden ist
</v>
      </c>
      <c r="F311" s="363"/>
      <c r="G311" s="69"/>
      <c r="H311" s="18">
        <v>10</v>
      </c>
      <c r="I311" s="379"/>
      <c r="J311" s="340"/>
      <c r="K311" s="341"/>
      <c r="L311" s="341"/>
      <c r="M311" s="341"/>
      <c r="N311" s="342"/>
      <c r="P311" s="18">
        <f t="shared" si="5"/>
        <v>0</v>
      </c>
      <c r="Q311" s="338"/>
      <c r="R311" s="344"/>
      <c r="S311" s="344"/>
      <c r="T311" s="344"/>
      <c r="U311" s="475"/>
    </row>
    <row r="312" spans="2:22" ht="26.4" x14ac:dyDescent="0.25">
      <c r="B312" s="375"/>
      <c r="C312" s="390"/>
      <c r="D312" s="71" t="s">
        <v>186</v>
      </c>
      <c r="E312" s="134" t="str">
        <f>HLOOKUP(Deckblatt!$C$12,Language!$C$1:$D$730,389,FALSE)</f>
        <v>Nahversorgung 1: Angebot von Gütern des täglichen Bedarfs ist vor Ort vorhanden (ausgenommen Bestellungen von E-Commerce Plattformen).</v>
      </c>
      <c r="F312" s="363"/>
      <c r="G312" s="69"/>
      <c r="H312" s="18">
        <v>15</v>
      </c>
      <c r="I312" s="379"/>
      <c r="J312" s="340"/>
      <c r="K312" s="341"/>
      <c r="L312" s="341"/>
      <c r="M312" s="341"/>
      <c r="N312" s="342"/>
      <c r="P312" s="18">
        <f t="shared" si="5"/>
        <v>0</v>
      </c>
      <c r="Q312" s="338"/>
      <c r="R312" s="344"/>
      <c r="S312" s="344"/>
      <c r="T312" s="344"/>
      <c r="U312" s="475"/>
    </row>
    <row r="313" spans="2:22" ht="52.8" x14ac:dyDescent="0.25">
      <c r="B313" s="375"/>
      <c r="C313" s="390"/>
      <c r="D313" s="71" t="s">
        <v>255</v>
      </c>
      <c r="E313" s="134" t="str">
        <f>HLOOKUP(Deckblatt!$C$12,Language!$C$1:$D$730,390,FALSE)</f>
        <v xml:space="preserve">Nahversorgung 2: Kleinteiliger Einzelhandel (Bäckerei, Metzgerei, Drogerie etc.) (Max. Geh-/Fahrzeit mit ÖPNV 10 Min), (Max. Entfernung Luftlinie 700 m)
</v>
      </c>
      <c r="F313" s="363"/>
      <c r="G313" s="69"/>
      <c r="H313" s="18">
        <v>10</v>
      </c>
      <c r="I313" s="379"/>
      <c r="J313" s="340"/>
      <c r="K313" s="341"/>
      <c r="L313" s="341"/>
      <c r="M313" s="341"/>
      <c r="N313" s="342"/>
      <c r="P313" s="18">
        <f t="shared" si="5"/>
        <v>0</v>
      </c>
      <c r="Q313" s="338"/>
      <c r="R313" s="344"/>
      <c r="S313" s="344"/>
      <c r="T313" s="344"/>
      <c r="U313" s="475"/>
    </row>
    <row r="314" spans="2:22" ht="26.4" x14ac:dyDescent="0.25">
      <c r="B314" s="375"/>
      <c r="C314" s="390"/>
      <c r="D314" s="71" t="s">
        <v>257</v>
      </c>
      <c r="E314" s="134" t="str">
        <f>HLOOKUP(Deckblatt!$C$12,Language!$C$1:$D$730,392,FALSE)</f>
        <v xml:space="preserve">Gastronomie: Restaurant, Café, Bäckerei, Kantine, Mensa, etc. 
</v>
      </c>
      <c r="F314" s="363"/>
      <c r="G314" s="69"/>
      <c r="H314" s="18">
        <v>10</v>
      </c>
      <c r="I314" s="379"/>
      <c r="J314" s="340"/>
      <c r="K314" s="341"/>
      <c r="L314" s="341"/>
      <c r="M314" s="341"/>
      <c r="N314" s="342"/>
      <c r="P314" s="18">
        <f t="shared" si="5"/>
        <v>0</v>
      </c>
      <c r="Q314" s="338"/>
      <c r="R314" s="344"/>
      <c r="S314" s="344"/>
      <c r="T314" s="344"/>
      <c r="U314" s="475"/>
    </row>
    <row r="315" spans="2:22" ht="52.8" x14ac:dyDescent="0.25">
      <c r="B315" s="375"/>
      <c r="C315" s="390"/>
      <c r="D315" s="71" t="s">
        <v>258</v>
      </c>
      <c r="E315" s="134" t="str">
        <f>HLOOKUP(Deckblatt!$C$12,Language!$C$1:$D$730,393,FALSE)</f>
        <v xml:space="preserve">Sonstige Dienstleistungen: Bank, Post, (dienstleisterunabhängige) Paketstation, Friseur, Wellness etc. 
</v>
      </c>
      <c r="F315" s="363"/>
      <c r="G315" s="69"/>
      <c r="H315" s="18">
        <v>5</v>
      </c>
      <c r="I315" s="379"/>
      <c r="J315" s="340"/>
      <c r="K315" s="341"/>
      <c r="L315" s="341"/>
      <c r="M315" s="341"/>
      <c r="N315" s="342"/>
      <c r="P315" s="18">
        <f t="shared" si="5"/>
        <v>0</v>
      </c>
      <c r="Q315" s="338"/>
      <c r="R315" s="344"/>
      <c r="S315" s="344"/>
      <c r="T315" s="344"/>
      <c r="U315" s="475"/>
    </row>
    <row r="316" spans="2:22" ht="66" x14ac:dyDescent="0.25">
      <c r="B316" s="345"/>
      <c r="C316" s="390"/>
      <c r="D316" s="71" t="s">
        <v>259</v>
      </c>
      <c r="E316" s="134" t="str">
        <f>HLOOKUP(Deckblatt!$C$12,Language!$C$1:$D$730,394,FALSE)</f>
        <v xml:space="preserve">Medizinische Versorgung 1: Allgemeinmediziner, Apotheke, (Max. Geh-/Fahrzeit mit ÖPNV 10 Min.)
- Allgemeinmediziner (7 Punkte)
- Apotheke (3 Punkte)
</v>
      </c>
      <c r="F316" s="357"/>
      <c r="G316" s="69"/>
      <c r="H316" s="74">
        <v>10</v>
      </c>
      <c r="I316" s="349"/>
      <c r="J316" s="340"/>
      <c r="K316" s="341"/>
      <c r="L316" s="341"/>
      <c r="M316" s="341"/>
      <c r="N316" s="342"/>
      <c r="P316" s="18">
        <f t="shared" si="5"/>
        <v>0</v>
      </c>
      <c r="Q316" s="338"/>
      <c r="R316" s="344"/>
      <c r="S316" s="344"/>
      <c r="T316" s="344"/>
      <c r="U316" s="475"/>
    </row>
    <row r="317" spans="2:22" ht="39.6" x14ac:dyDescent="0.25">
      <c r="B317" s="345"/>
      <c r="C317" s="360"/>
      <c r="D317" s="71" t="s">
        <v>366</v>
      </c>
      <c r="E317" s="134" t="str">
        <f>HLOOKUP(Deckblatt!$C$12,Language!$C$1:$D$730,395,FALSE)</f>
        <v xml:space="preserve">Medizinische Versorgung 2: Facharzt, Krankenhaus, etc. (Max. Geh-/Fahrzeit mit ÖPNV 30 Min.)
</v>
      </c>
      <c r="F317" s="357"/>
      <c r="G317" s="69"/>
      <c r="H317" s="74">
        <v>5</v>
      </c>
      <c r="I317" s="349"/>
      <c r="J317" s="340"/>
      <c r="K317" s="341"/>
      <c r="L317" s="341"/>
      <c r="M317" s="341"/>
      <c r="N317" s="342"/>
      <c r="P317" s="18">
        <f t="shared" si="5"/>
        <v>0</v>
      </c>
      <c r="Q317" s="338"/>
      <c r="R317" s="344"/>
      <c r="S317" s="344"/>
      <c r="T317" s="344"/>
      <c r="U317" s="475"/>
    </row>
    <row r="318" spans="2:22" s="76" customFormat="1" ht="27" customHeight="1" x14ac:dyDescent="0.25">
      <c r="B318" s="345"/>
      <c r="C318" s="369" t="s">
        <v>67</v>
      </c>
      <c r="D318" s="400" t="str">
        <f>HLOOKUP(Deckblatt!$C$12,Language!$C$1:$D$730,398,FALSE)</f>
        <v>CIRCULAR ECONOMY BONUS – ANGEBOTE FÜR DIE TÄGLICHE VERSORGUNG UND ZUM AUSTAUSCH</v>
      </c>
      <c r="E318" s="401"/>
      <c r="F318" s="347"/>
      <c r="G318" s="113"/>
      <c r="H318" s="75">
        <v>10</v>
      </c>
      <c r="I318" s="349"/>
      <c r="J318" s="340"/>
      <c r="K318" s="341"/>
      <c r="L318" s="341"/>
      <c r="M318" s="341"/>
      <c r="N318" s="342"/>
      <c r="P318" s="18">
        <f t="shared" si="5"/>
        <v>0</v>
      </c>
      <c r="Q318" s="338"/>
      <c r="R318" s="344"/>
      <c r="S318" s="344"/>
      <c r="T318" s="344"/>
      <c r="U318" s="475"/>
      <c r="V318" s="183"/>
    </row>
    <row r="319" spans="2:22" ht="79.8" thickBot="1" x14ac:dyDescent="0.3">
      <c r="B319" s="377"/>
      <c r="C319" s="486"/>
      <c r="D319" s="121" t="s">
        <v>69</v>
      </c>
      <c r="E319"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19" s="378"/>
      <c r="G319" s="70"/>
      <c r="H319" s="59">
        <v>10</v>
      </c>
      <c r="I319" s="380"/>
      <c r="J319" s="340"/>
      <c r="K319" s="341"/>
      <c r="L319" s="341"/>
      <c r="M319" s="341"/>
      <c r="N319" s="342"/>
      <c r="P319" s="18">
        <f t="shared" si="5"/>
        <v>0</v>
      </c>
      <c r="Q319" s="339"/>
      <c r="R319" s="365"/>
      <c r="S319" s="365"/>
      <c r="T319" s="365"/>
      <c r="U319" s="475"/>
    </row>
    <row r="320" spans="2:22" x14ac:dyDescent="0.25">
      <c r="B320" s="49" t="s">
        <v>378</v>
      </c>
      <c r="C320" s="395" t="str">
        <f>HLOOKUP(Deckblatt!$C$12,Language!$C$1:$D$730,400,FALSE)</f>
        <v>Energieinfrastruktur</v>
      </c>
      <c r="D320" s="396"/>
      <c r="E320" s="397"/>
      <c r="F320" s="62">
        <f>Q320</f>
        <v>0</v>
      </c>
      <c r="G320" s="487"/>
      <c r="H320" s="51">
        <v>120</v>
      </c>
      <c r="I320" s="178">
        <v>4</v>
      </c>
      <c r="J320" s="340"/>
      <c r="K320" s="341"/>
      <c r="L320" s="341"/>
      <c r="M320" s="341"/>
      <c r="N320" s="342"/>
      <c r="P320" s="18">
        <f t="shared" si="5"/>
        <v>0</v>
      </c>
      <c r="Q320" s="337">
        <f>SUM(P322:P326,P328,P330,P332,P334,P336,P338,P340)</f>
        <v>0</v>
      </c>
      <c r="R320" s="343">
        <f>Q320/100</f>
        <v>0</v>
      </c>
      <c r="S320" s="474">
        <v>0.2</v>
      </c>
      <c r="T320" s="343">
        <f>IF((R320*I320+R341*I341+R369*I369+R382*I382+R409*I409)/(I320+I341+I369+I382+I409)&gt;1,1,(R320*I320+R341*I341+R369*I369+R382*I382+R409*I409)/(I320+I341+I369+I382+I409))</f>
        <v>0</v>
      </c>
      <c r="U320" s="475"/>
    </row>
    <row r="321" spans="2:21" ht="13.2" customHeight="1" x14ac:dyDescent="0.25">
      <c r="B321" s="345"/>
      <c r="C321" s="359" t="s">
        <v>54</v>
      </c>
      <c r="D321" s="352" t="str">
        <f>HLOOKUP(Deckblatt!$C$12,Language!$C$1:$D$730,401,FALSE)</f>
        <v>Integrales Energiekonzept</v>
      </c>
      <c r="E321" s="353"/>
      <c r="F321" s="347"/>
      <c r="G321" s="374"/>
      <c r="H321" s="21">
        <v>30</v>
      </c>
      <c r="I321" s="349"/>
      <c r="J321" s="340"/>
      <c r="K321" s="341"/>
      <c r="L321" s="341"/>
      <c r="M321" s="341"/>
      <c r="N321" s="342"/>
      <c r="P321" s="18">
        <f t="shared" si="5"/>
        <v>0</v>
      </c>
      <c r="Q321" s="338"/>
      <c r="R321" s="344"/>
      <c r="S321" s="474"/>
      <c r="T321" s="344"/>
      <c r="U321" s="475"/>
    </row>
    <row r="322" spans="2:21" ht="26.4" x14ac:dyDescent="0.25">
      <c r="B322" s="346"/>
      <c r="C322" s="390"/>
      <c r="D322" s="71" t="s">
        <v>58</v>
      </c>
      <c r="E322" s="229" t="str">
        <f>HLOOKUP(Deckblatt!$C$12,Language!$C$1:$D$730,402,FALSE)</f>
        <v xml:space="preserve">Energiebedarf
</v>
      </c>
      <c r="F322" s="348"/>
      <c r="G322" s="69"/>
      <c r="H322" s="18">
        <v>7</v>
      </c>
      <c r="I322" s="350"/>
      <c r="J322" s="340"/>
      <c r="K322" s="341"/>
      <c r="L322" s="341"/>
      <c r="M322" s="341"/>
      <c r="N322" s="342"/>
      <c r="P322" s="18">
        <f t="shared" si="5"/>
        <v>0</v>
      </c>
      <c r="Q322" s="338"/>
      <c r="R322" s="344"/>
      <c r="S322" s="474"/>
      <c r="T322" s="344"/>
      <c r="U322" s="475"/>
    </row>
    <row r="323" spans="2:21" x14ac:dyDescent="0.25">
      <c r="B323" s="346"/>
      <c r="C323" s="390"/>
      <c r="D323" s="71" t="s">
        <v>181</v>
      </c>
      <c r="E323" s="229" t="str">
        <f>HLOOKUP(Deckblatt!$C$12,Language!$C$1:$D$730,403,FALSE)</f>
        <v>Energiepotential</v>
      </c>
      <c r="F323" s="348"/>
      <c r="G323" s="69"/>
      <c r="H323" s="18">
        <v>7</v>
      </c>
      <c r="I323" s="350"/>
      <c r="J323" s="340"/>
      <c r="K323" s="341"/>
      <c r="L323" s="341"/>
      <c r="M323" s="341"/>
      <c r="N323" s="342"/>
      <c r="P323" s="18">
        <f t="shared" si="5"/>
        <v>0</v>
      </c>
      <c r="Q323" s="338"/>
      <c r="R323" s="344"/>
      <c r="S323" s="474"/>
      <c r="T323" s="344"/>
      <c r="U323" s="475"/>
    </row>
    <row r="324" spans="2:21" ht="26.4" x14ac:dyDescent="0.25">
      <c r="B324" s="346"/>
      <c r="C324" s="390"/>
      <c r="D324" s="71" t="s">
        <v>246</v>
      </c>
      <c r="E324" s="229" t="str">
        <f>HLOOKUP(Deckblatt!$C$12,Language!$C$1:$D$730,404,FALSE)</f>
        <v xml:space="preserve">Energiebilanz
</v>
      </c>
      <c r="F324" s="348"/>
      <c r="G324" s="69"/>
      <c r="H324" s="18">
        <v>4</v>
      </c>
      <c r="I324" s="350"/>
      <c r="J324" s="340"/>
      <c r="K324" s="341"/>
      <c r="L324" s="341"/>
      <c r="M324" s="341"/>
      <c r="N324" s="342"/>
      <c r="P324" s="18">
        <f t="shared" si="5"/>
        <v>0</v>
      </c>
      <c r="Q324" s="338"/>
      <c r="R324" s="344"/>
      <c r="S324" s="474"/>
      <c r="T324" s="344"/>
      <c r="U324" s="475"/>
    </row>
    <row r="325" spans="2:21" ht="26.4" x14ac:dyDescent="0.25">
      <c r="B325" s="346"/>
      <c r="C325" s="390"/>
      <c r="D325" s="71" t="s">
        <v>250</v>
      </c>
      <c r="E325" s="229" t="str">
        <f>HLOOKUP(Deckblatt!$C$12,Language!$C$1:$D$730,405,FALSE)</f>
        <v xml:space="preserve">Energieversorgungsvarianten
</v>
      </c>
      <c r="F325" s="348"/>
      <c r="G325" s="69"/>
      <c r="H325" s="18">
        <v>7</v>
      </c>
      <c r="I325" s="350"/>
      <c r="J325" s="340"/>
      <c r="K325" s="341"/>
      <c r="L325" s="341"/>
      <c r="M325" s="341"/>
      <c r="N325" s="342"/>
      <c r="P325" s="18">
        <f t="shared" si="5"/>
        <v>0</v>
      </c>
      <c r="Q325" s="338"/>
      <c r="R325" s="344"/>
      <c r="S325" s="474"/>
      <c r="T325" s="344"/>
      <c r="U325" s="475"/>
    </row>
    <row r="326" spans="2:21" ht="26.4" x14ac:dyDescent="0.25">
      <c r="B326" s="346"/>
      <c r="C326" s="360"/>
      <c r="D326" s="71" t="s">
        <v>121</v>
      </c>
      <c r="E326" s="229" t="str">
        <f>HLOOKUP(Deckblatt!$C$12,Language!$C$1:$D$730,406,FALSE)</f>
        <v xml:space="preserve">Investitionen und Betriebskosten
</v>
      </c>
      <c r="F326" s="348"/>
      <c r="G326" s="69"/>
      <c r="H326" s="18">
        <v>5</v>
      </c>
      <c r="I326" s="350"/>
      <c r="J326" s="340"/>
      <c r="K326" s="341"/>
      <c r="L326" s="341"/>
      <c r="M326" s="341"/>
      <c r="N326" s="342"/>
      <c r="P326" s="18">
        <f t="shared" si="5"/>
        <v>0</v>
      </c>
      <c r="Q326" s="338"/>
      <c r="R326" s="344"/>
      <c r="S326" s="474"/>
      <c r="T326" s="344"/>
      <c r="U326" s="475"/>
    </row>
    <row r="327" spans="2:21" ht="13.2" customHeight="1" x14ac:dyDescent="0.25">
      <c r="B327" s="346"/>
      <c r="C327" s="351" t="s">
        <v>61</v>
      </c>
      <c r="D327" s="352" t="str">
        <f>HLOOKUP(Deckblatt!$C$12,Language!$C$1:$D$730,407,FALSE)</f>
        <v>Kohärente Versorgungsstruktur</v>
      </c>
      <c r="E327" s="353"/>
      <c r="F327" s="348"/>
      <c r="G327" s="113"/>
      <c r="H327" s="21">
        <v>10</v>
      </c>
      <c r="I327" s="350"/>
      <c r="J327" s="340"/>
      <c r="K327" s="341"/>
      <c r="L327" s="341"/>
      <c r="M327" s="341"/>
      <c r="N327" s="342"/>
      <c r="P327" s="18">
        <f t="shared" si="5"/>
        <v>0</v>
      </c>
      <c r="Q327" s="338"/>
      <c r="R327" s="344"/>
      <c r="S327" s="474"/>
      <c r="T327" s="344"/>
      <c r="U327" s="475"/>
    </row>
    <row r="328" spans="2:21" ht="39.6" x14ac:dyDescent="0.25">
      <c r="B328" s="346"/>
      <c r="C328" s="351"/>
      <c r="D328" s="71" t="s">
        <v>63</v>
      </c>
      <c r="E328" s="229" t="str">
        <f>HLOOKUP(Deckblatt!$C$12,Language!$C$1:$D$730,408,FALSE)</f>
        <v xml:space="preserve">Wärme- und Kälteversorgungsstruktur
Eine kohärente Wärme- bzw. Kälteversorgungsstruktur ist gegeben.
</v>
      </c>
      <c r="F328" s="348"/>
      <c r="G328" s="69"/>
      <c r="H328" s="18">
        <v>10</v>
      </c>
      <c r="I328" s="350"/>
      <c r="J328" s="340"/>
      <c r="K328" s="341"/>
      <c r="L328" s="341"/>
      <c r="M328" s="341"/>
      <c r="N328" s="342"/>
      <c r="P328" s="18">
        <f t="shared" si="5"/>
        <v>0</v>
      </c>
      <c r="Q328" s="338"/>
      <c r="R328" s="344"/>
      <c r="S328" s="474"/>
      <c r="T328" s="344"/>
      <c r="U328" s="475"/>
    </row>
    <row r="329" spans="2:21" ht="13.2" customHeight="1" x14ac:dyDescent="0.25">
      <c r="B329" s="346"/>
      <c r="C329" s="351" t="s">
        <v>64</v>
      </c>
      <c r="D329" s="352" t="str">
        <f>HLOOKUP(Deckblatt!$C$12,Language!$C$1:$D$730,409,FALSE)</f>
        <v>Nutzung von Synergien</v>
      </c>
      <c r="E329" s="353"/>
      <c r="F329" s="348"/>
      <c r="G329" s="113"/>
      <c r="H329" s="21">
        <v>40</v>
      </c>
      <c r="I329" s="350"/>
      <c r="J329" s="340"/>
      <c r="K329" s="341"/>
      <c r="L329" s="341"/>
      <c r="M329" s="341"/>
      <c r="N329" s="342"/>
      <c r="P329" s="18">
        <f t="shared" si="5"/>
        <v>0</v>
      </c>
      <c r="Q329" s="338"/>
      <c r="R329" s="344"/>
      <c r="S329" s="474"/>
      <c r="T329" s="344"/>
      <c r="U329" s="475"/>
    </row>
    <row r="330" spans="2:21" ht="52.8" x14ac:dyDescent="0.25">
      <c r="B330" s="346"/>
      <c r="C330" s="351"/>
      <c r="D330" s="71" t="s">
        <v>66</v>
      </c>
      <c r="E330" s="134" t="str">
        <f>HLOOKUP(Deckblatt!$C$12,Language!$C$1:$D$730,410,FALSE)</f>
        <v xml:space="preserve">Synergien und Energiekreisläufe
Durch die gemeinsame Planung von Gebäuden und Anlagen werden integrale Energiekreisläufe für Strom,  Wärme und Kälte in signifikantem  Umfang geschaffen. </v>
      </c>
      <c r="F330" s="348"/>
      <c r="G330" s="69"/>
      <c r="H330" s="18">
        <v>30</v>
      </c>
      <c r="I330" s="350"/>
      <c r="J330" s="340"/>
      <c r="K330" s="341"/>
      <c r="L330" s="341"/>
      <c r="M330" s="341"/>
      <c r="N330" s="342"/>
      <c r="P330" s="18">
        <f t="shared" si="5"/>
        <v>0</v>
      </c>
      <c r="Q330" s="338"/>
      <c r="R330" s="344"/>
      <c r="S330" s="474"/>
      <c r="T330" s="344"/>
      <c r="U330" s="475"/>
    </row>
    <row r="331" spans="2:21" ht="31.95" customHeight="1" x14ac:dyDescent="0.25">
      <c r="B331" s="346"/>
      <c r="C331" s="351"/>
      <c r="D331" s="398" t="s">
        <v>188</v>
      </c>
      <c r="E331" s="54" t="str">
        <f>HLOOKUP(Deckblatt!$C$12,Language!$C$1:$D$730,411,FALSE)</f>
        <v>AGENDA 2030 BONUS – NUTZUNG ERNEUERBARER ENERGIETRÄGER UND ENERGIEERZEUGUNG</v>
      </c>
      <c r="F331" s="348"/>
      <c r="G331" s="113"/>
      <c r="H331" s="21">
        <v>10</v>
      </c>
      <c r="I331" s="350"/>
      <c r="J331" s="340"/>
      <c r="K331" s="341"/>
      <c r="L331" s="341"/>
      <c r="M331" s="341"/>
      <c r="N331" s="342"/>
      <c r="P331" s="18">
        <f t="shared" si="5"/>
        <v>0</v>
      </c>
      <c r="Q331" s="338"/>
      <c r="R331" s="344"/>
      <c r="S331" s="474"/>
      <c r="T331" s="344"/>
      <c r="U331" s="475"/>
    </row>
    <row r="332" spans="2:21" ht="105.6" x14ac:dyDescent="0.25">
      <c r="B332" s="346"/>
      <c r="C332" s="351"/>
      <c r="D332" s="399"/>
      <c r="E332"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32" s="348"/>
      <c r="G332" s="69"/>
      <c r="H332" s="18">
        <v>10</v>
      </c>
      <c r="I332" s="350"/>
      <c r="J332" s="340"/>
      <c r="K332" s="341"/>
      <c r="L332" s="341"/>
      <c r="M332" s="341"/>
      <c r="N332" s="342"/>
      <c r="P332" s="18">
        <f t="shared" si="5"/>
        <v>0</v>
      </c>
      <c r="Q332" s="338"/>
      <c r="R332" s="344"/>
      <c r="S332" s="474"/>
      <c r="T332" s="344"/>
      <c r="U332" s="475"/>
    </row>
    <row r="333" spans="2:21" ht="13.2" customHeight="1" x14ac:dyDescent="0.25">
      <c r="B333" s="346"/>
      <c r="C333" s="369" t="s">
        <v>67</v>
      </c>
      <c r="D333" s="352" t="str">
        <f>HLOOKUP(Deckblatt!$C$12,Language!$C$1:$D$730,413,FALSE)</f>
        <v>Energiemanagement und Energieaudits</v>
      </c>
      <c r="E333" s="353"/>
      <c r="F333" s="348"/>
      <c r="G333" s="113"/>
      <c r="H333" s="21">
        <v>10</v>
      </c>
      <c r="I333" s="350"/>
      <c r="J333" s="340"/>
      <c r="K333" s="341"/>
      <c r="L333" s="341"/>
      <c r="M333" s="341"/>
      <c r="N333" s="342"/>
      <c r="P333" s="18">
        <f t="shared" si="5"/>
        <v>0</v>
      </c>
      <c r="Q333" s="338"/>
      <c r="R333" s="344"/>
      <c r="S333" s="474"/>
      <c r="T333" s="344"/>
      <c r="U333" s="475"/>
    </row>
    <row r="334" spans="2:21" ht="66" x14ac:dyDescent="0.25">
      <c r="B334" s="346"/>
      <c r="C334" s="479"/>
      <c r="D334" s="71" t="s">
        <v>69</v>
      </c>
      <c r="E334"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34" s="348"/>
      <c r="G334" s="69"/>
      <c r="H334" s="18">
        <v>10</v>
      </c>
      <c r="I334" s="350"/>
      <c r="J334" s="340"/>
      <c r="K334" s="341"/>
      <c r="L334" s="341"/>
      <c r="M334" s="341"/>
      <c r="N334" s="342"/>
      <c r="P334" s="18">
        <f t="shared" si="5"/>
        <v>0</v>
      </c>
      <c r="Q334" s="338"/>
      <c r="R334" s="344"/>
      <c r="S334" s="474"/>
      <c r="T334" s="344"/>
      <c r="U334" s="475"/>
    </row>
    <row r="335" spans="2:21" ht="13.2" customHeight="1" x14ac:dyDescent="0.25">
      <c r="B335" s="346"/>
      <c r="C335" s="369" t="s">
        <v>154</v>
      </c>
      <c r="D335" s="352" t="str">
        <f>HLOOKUP(Deckblatt!$C$12,Language!$C$1:$D$730,415,FALSE)</f>
        <v>Lastmanagement</v>
      </c>
      <c r="E335" s="353"/>
      <c r="F335" s="348"/>
      <c r="G335" s="113"/>
      <c r="H335" s="21">
        <v>10</v>
      </c>
      <c r="I335" s="350"/>
      <c r="J335" s="340"/>
      <c r="K335" s="341"/>
      <c r="L335" s="341"/>
      <c r="M335" s="341"/>
      <c r="N335" s="342"/>
      <c r="P335" s="18">
        <f t="shared" si="5"/>
        <v>0</v>
      </c>
      <c r="Q335" s="338"/>
      <c r="R335" s="344"/>
      <c r="S335" s="474"/>
      <c r="T335" s="344"/>
      <c r="U335" s="475"/>
    </row>
    <row r="336" spans="2:21" ht="52.8" x14ac:dyDescent="0.25">
      <c r="B336" s="346"/>
      <c r="C336" s="479"/>
      <c r="D336" s="71" t="s">
        <v>156</v>
      </c>
      <c r="E336" s="134" t="str">
        <f>HLOOKUP(Deckblatt!$C$12,Language!$C$1:$D$730,416,FALSE)</f>
        <v xml:space="preserve">Lastmanagement auf Quartierebene
Es wurde ein Lastmanagement auf Ebene des Quartiers bzw. für große Verbraucher eingeführt.
</v>
      </c>
      <c r="F336" s="348"/>
      <c r="G336" s="69"/>
      <c r="H336" s="18">
        <v>10</v>
      </c>
      <c r="I336" s="350"/>
      <c r="J336" s="340"/>
      <c r="K336" s="341"/>
      <c r="L336" s="341"/>
      <c r="M336" s="341"/>
      <c r="N336" s="342"/>
      <c r="P336" s="18">
        <f t="shared" si="5"/>
        <v>0</v>
      </c>
      <c r="Q336" s="338"/>
      <c r="R336" s="344"/>
      <c r="S336" s="474"/>
      <c r="T336" s="344"/>
      <c r="U336" s="475"/>
    </row>
    <row r="337" spans="2:21" ht="13.2" customHeight="1" x14ac:dyDescent="0.25">
      <c r="B337" s="346"/>
      <c r="C337" s="359" t="s">
        <v>157</v>
      </c>
      <c r="D337" s="352" t="str">
        <f>HLOOKUP(Deckblatt!$C$12,Language!$C$1:$D$730,417,FALSE)</f>
        <v>Energieerzeugung im Quartier</v>
      </c>
      <c r="E337" s="353"/>
      <c r="F337" s="348"/>
      <c r="G337" s="113"/>
      <c r="H337" s="21">
        <v>20</v>
      </c>
      <c r="I337" s="350"/>
      <c r="J337" s="340"/>
      <c r="K337" s="341"/>
      <c r="L337" s="341"/>
      <c r="M337" s="341"/>
      <c r="N337" s="342"/>
      <c r="P337" s="18">
        <f t="shared" si="5"/>
        <v>0</v>
      </c>
      <c r="Q337" s="338"/>
      <c r="R337" s="344"/>
      <c r="S337" s="474"/>
      <c r="T337" s="344"/>
      <c r="U337" s="475"/>
    </row>
    <row r="338" spans="2:21" ht="52.8" x14ac:dyDescent="0.25">
      <c r="B338" s="346"/>
      <c r="C338" s="390"/>
      <c r="D338" s="71" t="s">
        <v>159</v>
      </c>
      <c r="E338" s="134" t="str">
        <f>HLOOKUP(Deckblatt!$C$12,Language!$C$1:$D$730,418,FALSE)</f>
        <v xml:space="preserve">Nutzung der Dachflächen zur Energiegewinnung
Prozentualer Anteil der Dachflächen die zur regenerative Energieerzeugung genutzt werden
</v>
      </c>
      <c r="F338" s="348"/>
      <c r="G338" s="69"/>
      <c r="H338" s="18">
        <v>10</v>
      </c>
      <c r="I338" s="350"/>
      <c r="J338" s="340"/>
      <c r="K338" s="341"/>
      <c r="L338" s="341"/>
      <c r="M338" s="341"/>
      <c r="N338" s="342"/>
      <c r="P338" s="18">
        <f t="shared" si="5"/>
        <v>0</v>
      </c>
      <c r="Q338" s="338"/>
      <c r="R338" s="344"/>
      <c r="S338" s="474"/>
      <c r="T338" s="344"/>
      <c r="U338" s="475"/>
    </row>
    <row r="339" spans="2:21" ht="26.4" x14ac:dyDescent="0.25">
      <c r="B339" s="346"/>
      <c r="C339" s="390"/>
      <c r="D339" s="398" t="s">
        <v>160</v>
      </c>
      <c r="E339" s="54" t="str">
        <f>HLOOKUP(Deckblatt!$C$12,Language!$C$1:$D$730,419,FALSE)</f>
        <v>AGENDA 2030 BONUS – NUTZUNG DER FASSADENFLÄCHEN ZUR ENERGIEGEWINNUNG</v>
      </c>
      <c r="F339" s="348"/>
      <c r="G339" s="113"/>
      <c r="H339" s="21">
        <v>10</v>
      </c>
      <c r="I339" s="350"/>
      <c r="J339" s="340"/>
      <c r="K339" s="341"/>
      <c r="L339" s="341"/>
      <c r="M339" s="341"/>
      <c r="N339" s="342"/>
      <c r="P339" s="18">
        <f t="shared" si="5"/>
        <v>0</v>
      </c>
      <c r="Q339" s="338"/>
      <c r="R339" s="344"/>
      <c r="S339" s="474"/>
      <c r="T339" s="344"/>
      <c r="U339" s="475"/>
    </row>
    <row r="340" spans="2:21" ht="70.2" customHeight="1" x14ac:dyDescent="0.25">
      <c r="B340" s="370"/>
      <c r="C340" s="360"/>
      <c r="D340" s="399"/>
      <c r="E340"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40" s="371"/>
      <c r="G340" s="69"/>
      <c r="H340" s="18">
        <v>10</v>
      </c>
      <c r="I340" s="366"/>
      <c r="J340" s="340"/>
      <c r="K340" s="341"/>
      <c r="L340" s="341"/>
      <c r="M340" s="341"/>
      <c r="N340" s="342"/>
      <c r="P340" s="18">
        <f t="shared" si="5"/>
        <v>0</v>
      </c>
      <c r="Q340" s="339"/>
      <c r="R340" s="365"/>
      <c r="S340" s="474"/>
      <c r="T340" s="344"/>
      <c r="U340" s="475"/>
    </row>
    <row r="341" spans="2:21" x14ac:dyDescent="0.25">
      <c r="B341" s="55" t="s">
        <v>391</v>
      </c>
      <c r="C341" s="354" t="str">
        <f>HLOOKUP(Deckblatt!$C$12,Language!$C$1:$D$730,423,FALSE)</f>
        <v>Wertstoffmanagement</v>
      </c>
      <c r="D341" s="354"/>
      <c r="E341" s="355"/>
      <c r="F341" s="66">
        <f>Q341</f>
        <v>0</v>
      </c>
      <c r="G341" s="364"/>
      <c r="H341" s="21">
        <v>130</v>
      </c>
      <c r="I341" s="176">
        <v>2</v>
      </c>
      <c r="J341" s="340"/>
      <c r="K341" s="341"/>
      <c r="L341" s="341"/>
      <c r="M341" s="341"/>
      <c r="N341" s="342"/>
      <c r="P341" s="18">
        <f t="shared" si="5"/>
        <v>0</v>
      </c>
      <c r="Q341" s="337">
        <f>SUM(P343:P350,P352:P355,P357:P358,P360,P362:P365,P367:P368)</f>
        <v>0</v>
      </c>
      <c r="R341" s="490">
        <f>Q341/100</f>
        <v>0</v>
      </c>
      <c r="S341" s="474"/>
      <c r="T341" s="344"/>
      <c r="U341" s="475"/>
    </row>
    <row r="342" spans="2:21" ht="13.2" customHeight="1" x14ac:dyDescent="0.25">
      <c r="B342" s="375"/>
      <c r="C342" s="359" t="s">
        <v>54</v>
      </c>
      <c r="D342" s="352" t="str">
        <f>HLOOKUP(Deckblatt!$C$12,Language!$C$1:$D$730,424,FALSE)</f>
        <v>Konzept für Wertstoffnutzung</v>
      </c>
      <c r="E342" s="353"/>
      <c r="F342" s="363"/>
      <c r="G342" s="364"/>
      <c r="H342" s="21">
        <v>22</v>
      </c>
      <c r="I342" s="379"/>
      <c r="J342" s="340"/>
      <c r="K342" s="341"/>
      <c r="L342" s="341"/>
      <c r="M342" s="341"/>
      <c r="N342" s="342"/>
      <c r="P342" s="18">
        <f t="shared" si="5"/>
        <v>0</v>
      </c>
      <c r="Q342" s="338"/>
      <c r="R342" s="491"/>
      <c r="S342" s="474"/>
      <c r="T342" s="344"/>
      <c r="U342" s="475"/>
    </row>
    <row r="343" spans="2:21" ht="26.4" x14ac:dyDescent="0.25">
      <c r="B343" s="375"/>
      <c r="C343" s="390"/>
      <c r="D343" s="71" t="s">
        <v>58</v>
      </c>
      <c r="E343" s="134" t="str">
        <f>HLOOKUP(Deckblatt!$C$12,Language!$C$1:$D$730,425,FALSE)</f>
        <v xml:space="preserve">Konzept Wertstoffnutzung
</v>
      </c>
      <c r="F343" s="363"/>
      <c r="G343" s="69"/>
      <c r="H343" s="18">
        <v>10</v>
      </c>
      <c r="I343" s="379"/>
      <c r="J343" s="340"/>
      <c r="K343" s="341"/>
      <c r="L343" s="341"/>
      <c r="M343" s="341"/>
      <c r="N343" s="342"/>
      <c r="P343" s="18">
        <f t="shared" si="5"/>
        <v>0</v>
      </c>
      <c r="Q343" s="338"/>
      <c r="R343" s="491"/>
      <c r="S343" s="474"/>
      <c r="T343" s="344"/>
      <c r="U343" s="475"/>
    </row>
    <row r="344" spans="2:21" ht="26.4" x14ac:dyDescent="0.25">
      <c r="B344" s="375"/>
      <c r="C344" s="390"/>
      <c r="D344" s="71" t="s">
        <v>181</v>
      </c>
      <c r="E344" s="134" t="str">
        <f>HLOOKUP(Deckblatt!$C$12,Language!$C$1:$D$730,426,FALSE)</f>
        <v xml:space="preserve">Abfallvermeidung und Abfallverwertung
</v>
      </c>
      <c r="F344" s="363"/>
      <c r="G344" s="69"/>
      <c r="H344" s="18">
        <v>4</v>
      </c>
      <c r="I344" s="379"/>
      <c r="J344" s="340"/>
      <c r="K344" s="341"/>
      <c r="L344" s="341"/>
      <c r="M344" s="341"/>
      <c r="N344" s="342"/>
      <c r="P344" s="18">
        <f t="shared" si="5"/>
        <v>0</v>
      </c>
      <c r="Q344" s="338"/>
      <c r="R344" s="491"/>
      <c r="S344" s="474"/>
      <c r="T344" s="344"/>
      <c r="U344" s="475"/>
    </row>
    <row r="345" spans="2:21" ht="26.4" x14ac:dyDescent="0.25">
      <c r="B345" s="375"/>
      <c r="C345" s="390"/>
      <c r="D345" s="71" t="s">
        <v>246</v>
      </c>
      <c r="E345" s="134" t="str">
        <f>HLOOKUP(Deckblatt!$C$12,Language!$C$1:$D$730,427,FALSE)</f>
        <v xml:space="preserve">Methoden, Anlagen und Einrichtungen
</v>
      </c>
      <c r="F345" s="363"/>
      <c r="G345" s="69"/>
      <c r="H345" s="18">
        <v>2</v>
      </c>
      <c r="I345" s="379"/>
      <c r="J345" s="340"/>
      <c r="K345" s="341"/>
      <c r="L345" s="341"/>
      <c r="M345" s="341"/>
      <c r="N345" s="342"/>
      <c r="P345" s="18">
        <f t="shared" si="5"/>
        <v>0</v>
      </c>
      <c r="Q345" s="338"/>
      <c r="R345" s="491"/>
      <c r="S345" s="474"/>
      <c r="T345" s="344"/>
      <c r="U345" s="475"/>
    </row>
    <row r="346" spans="2:21" ht="26.4" x14ac:dyDescent="0.25">
      <c r="B346" s="375"/>
      <c r="C346" s="390"/>
      <c r="D346" s="71" t="s">
        <v>250</v>
      </c>
      <c r="E346" s="134" t="str">
        <f>HLOOKUP(Deckblatt!$C$12,Language!$C$1:$D$730,428,FALSE)</f>
        <v xml:space="preserve">Laufzeit Abfallentsorgungsanlage
</v>
      </c>
      <c r="F346" s="363"/>
      <c r="G346" s="69"/>
      <c r="H346" s="18">
        <v>2</v>
      </c>
      <c r="I346" s="379"/>
      <c r="J346" s="340"/>
      <c r="K346" s="341"/>
      <c r="L346" s="341"/>
      <c r="M346" s="341"/>
      <c r="N346" s="342"/>
      <c r="P346" s="18">
        <f t="shared" si="5"/>
        <v>0</v>
      </c>
      <c r="Q346" s="338"/>
      <c r="R346" s="491"/>
      <c r="S346" s="474"/>
      <c r="T346" s="344"/>
      <c r="U346" s="475"/>
    </row>
    <row r="347" spans="2:21" ht="26.4" x14ac:dyDescent="0.25">
      <c r="B347" s="375"/>
      <c r="C347" s="390"/>
      <c r="D347" s="71" t="s">
        <v>121</v>
      </c>
      <c r="E347" s="134" t="str">
        <f>HLOOKUP(Deckblatt!$C$12,Language!$C$1:$D$730,429,FALSE)</f>
        <v xml:space="preserve">Maßnahmen, Zeitpläne, Standorte
</v>
      </c>
      <c r="F347" s="363"/>
      <c r="G347" s="69"/>
      <c r="H347" s="18">
        <v>2</v>
      </c>
      <c r="I347" s="379"/>
      <c r="J347" s="340"/>
      <c r="K347" s="341"/>
      <c r="L347" s="341"/>
      <c r="M347" s="341"/>
      <c r="N347" s="342"/>
      <c r="P347" s="18">
        <f t="shared" si="5"/>
        <v>0</v>
      </c>
      <c r="Q347" s="338"/>
      <c r="R347" s="491"/>
      <c r="S347" s="474"/>
      <c r="T347" s="344"/>
      <c r="U347" s="475"/>
    </row>
    <row r="348" spans="2:21" ht="26.4" x14ac:dyDescent="0.25">
      <c r="B348" s="375"/>
      <c r="C348" s="360"/>
      <c r="D348" s="71" t="s">
        <v>824</v>
      </c>
      <c r="E348" s="134" t="str">
        <f>HLOOKUP(Deckblatt!$C$12,Language!$C$1:$D$730,430,FALSE)</f>
        <v xml:space="preserve">Darstellung Entsorgungsträger
</v>
      </c>
      <c r="F348" s="363"/>
      <c r="G348" s="69"/>
      <c r="H348" s="18">
        <v>2</v>
      </c>
      <c r="I348" s="379"/>
      <c r="J348" s="340"/>
      <c r="K348" s="341"/>
      <c r="L348" s="341"/>
      <c r="M348" s="341"/>
      <c r="N348" s="342"/>
      <c r="P348" s="18">
        <f t="shared" si="5"/>
        <v>0</v>
      </c>
      <c r="Q348" s="338"/>
      <c r="R348" s="491"/>
      <c r="S348" s="474"/>
      <c r="T348" s="344"/>
      <c r="U348" s="475"/>
    </row>
    <row r="349" spans="2:21" ht="13.2" customHeight="1" x14ac:dyDescent="0.25">
      <c r="B349" s="375"/>
      <c r="C349" s="369" t="s">
        <v>61</v>
      </c>
      <c r="D349" s="352" t="str">
        <f>HLOOKUP(Deckblatt!$C$12,Language!$C$1:$D$730,431,FALSE)</f>
        <v>Abfallmanagement</v>
      </c>
      <c r="E349" s="353"/>
      <c r="F349" s="363"/>
      <c r="G349" s="113"/>
      <c r="H349" s="21">
        <v>10</v>
      </c>
      <c r="I349" s="379"/>
      <c r="J349" s="340"/>
      <c r="K349" s="341"/>
      <c r="L349" s="341"/>
      <c r="M349" s="341"/>
      <c r="N349" s="342"/>
      <c r="P349" s="18">
        <f t="shared" si="5"/>
        <v>0</v>
      </c>
      <c r="Q349" s="338"/>
      <c r="R349" s="491"/>
      <c r="S349" s="474"/>
      <c r="T349" s="344"/>
      <c r="U349" s="475"/>
    </row>
    <row r="350" spans="2:21" ht="39.6" x14ac:dyDescent="0.25">
      <c r="B350" s="375"/>
      <c r="C350" s="360"/>
      <c r="D350" s="71" t="s">
        <v>63</v>
      </c>
      <c r="E350" s="134" t="str">
        <f>HLOOKUP(Deckblatt!$C$12,Language!$C$1:$D$730,432,FALSE)</f>
        <v xml:space="preserve">Zentrales Abfallmanagement
Es gibt ein quartiersbezogenes zentrales Abfallmanagement.
</v>
      </c>
      <c r="F350" s="363"/>
      <c r="G350" s="69"/>
      <c r="H350" s="18">
        <v>10</v>
      </c>
      <c r="I350" s="379"/>
      <c r="J350" s="340"/>
      <c r="K350" s="341"/>
      <c r="L350" s="341"/>
      <c r="M350" s="341"/>
      <c r="N350" s="342"/>
      <c r="P350" s="18">
        <f t="shared" si="5"/>
        <v>0</v>
      </c>
      <c r="Q350" s="338"/>
      <c r="R350" s="491"/>
      <c r="S350" s="474"/>
      <c r="T350" s="344"/>
      <c r="U350" s="475"/>
    </row>
    <row r="351" spans="2:21" ht="13.2" customHeight="1" x14ac:dyDescent="0.25">
      <c r="B351" s="375"/>
      <c r="C351" s="351" t="s">
        <v>64</v>
      </c>
      <c r="D351" s="352" t="str">
        <f>HLOOKUP(Deckblatt!$C$12,Language!$C$1:$D$730,433,FALSE)</f>
        <v>Abfallvermeidung</v>
      </c>
      <c r="E351" s="353"/>
      <c r="F351" s="363"/>
      <c r="G351" s="113"/>
      <c r="H351" s="21">
        <v>23</v>
      </c>
      <c r="I351" s="379"/>
      <c r="J351" s="340"/>
      <c r="K351" s="341"/>
      <c r="L351" s="341"/>
      <c r="M351" s="341"/>
      <c r="N351" s="342"/>
      <c r="P351" s="18">
        <f t="shared" si="5"/>
        <v>0</v>
      </c>
      <c r="Q351" s="338"/>
      <c r="R351" s="491"/>
      <c r="S351" s="474"/>
      <c r="T351" s="344"/>
      <c r="U351" s="475"/>
    </row>
    <row r="352" spans="2:21" ht="26.4" x14ac:dyDescent="0.25">
      <c r="B352" s="375"/>
      <c r="C352" s="351"/>
      <c r="D352" s="71" t="s">
        <v>66</v>
      </c>
      <c r="E352" s="134" t="str">
        <f>HLOOKUP(Deckblatt!$C$12,Language!$C$1:$D$730,434,FALSE)</f>
        <v xml:space="preserve">Förderung Informations- und Aufklärungskampagnen
</v>
      </c>
      <c r="F352" s="363"/>
      <c r="G352" s="69"/>
      <c r="H352" s="18">
        <v>6</v>
      </c>
      <c r="I352" s="379"/>
      <c r="J352" s="340"/>
      <c r="K352" s="341"/>
      <c r="L352" s="341"/>
      <c r="M352" s="341"/>
      <c r="N352" s="342"/>
      <c r="P352" s="18">
        <f t="shared" si="5"/>
        <v>0</v>
      </c>
      <c r="Q352" s="338"/>
      <c r="R352" s="491"/>
      <c r="S352" s="474"/>
      <c r="T352" s="344"/>
      <c r="U352" s="475"/>
    </row>
    <row r="353" spans="2:21" ht="26.4" x14ac:dyDescent="0.25">
      <c r="B353" s="375"/>
      <c r="C353" s="351"/>
      <c r="D353" s="71" t="s">
        <v>188</v>
      </c>
      <c r="E353" s="134" t="str">
        <f>HLOOKUP(Deckblatt!$C$12,Language!$C$1:$D$730,435,FALSE)</f>
        <v xml:space="preserve">Quartiersbezogenes Wertstofferfassungssystem
</v>
      </c>
      <c r="F353" s="363"/>
      <c r="G353" s="69"/>
      <c r="H353" s="18">
        <v>7</v>
      </c>
      <c r="I353" s="379"/>
      <c r="J353" s="340"/>
      <c r="K353" s="341"/>
      <c r="L353" s="341"/>
      <c r="M353" s="341"/>
      <c r="N353" s="342"/>
      <c r="P353" s="18">
        <f t="shared" si="5"/>
        <v>0</v>
      </c>
      <c r="Q353" s="338"/>
      <c r="R353" s="491"/>
      <c r="S353" s="474"/>
      <c r="T353" s="344"/>
      <c r="U353" s="475"/>
    </row>
    <row r="354" spans="2:21" ht="26.4" x14ac:dyDescent="0.25">
      <c r="B354" s="375"/>
      <c r="C354" s="351"/>
      <c r="D354" s="71" t="s">
        <v>377</v>
      </c>
      <c r="E354" s="134" t="str">
        <f>HLOOKUP(Deckblatt!$C$12,Language!$C$1:$D$730,437,FALSE)</f>
        <v xml:space="preserve">Abfallvermeidung für Mieter/Gewerbetreibende
</v>
      </c>
      <c r="F354" s="363"/>
      <c r="G354" s="69"/>
      <c r="H354" s="18">
        <v>5</v>
      </c>
      <c r="I354" s="379"/>
      <c r="J354" s="340"/>
      <c r="K354" s="341"/>
      <c r="L354" s="341"/>
      <c r="M354" s="341"/>
      <c r="N354" s="342"/>
      <c r="P354" s="18">
        <f t="shared" si="5"/>
        <v>0</v>
      </c>
      <c r="Q354" s="338"/>
      <c r="R354" s="491"/>
      <c r="S354" s="474"/>
      <c r="T354" s="344"/>
      <c r="U354" s="475"/>
    </row>
    <row r="355" spans="2:21" ht="26.4" x14ac:dyDescent="0.25">
      <c r="B355" s="375"/>
      <c r="C355" s="351"/>
      <c r="D355" s="71" t="s">
        <v>190</v>
      </c>
      <c r="E355" s="134" t="str">
        <f>HLOOKUP(Deckblatt!$C$12,Language!$C$1:$D$730,439,FALSE)</f>
        <v xml:space="preserve">Schulung der Mitarbeiter
</v>
      </c>
      <c r="F355" s="363"/>
      <c r="G355" s="69"/>
      <c r="H355" s="18">
        <v>5</v>
      </c>
      <c r="I355" s="379"/>
      <c r="J355" s="340"/>
      <c r="K355" s="341"/>
      <c r="L355" s="341"/>
      <c r="M355" s="341"/>
      <c r="N355" s="342"/>
      <c r="P355" s="18">
        <f t="shared" si="5"/>
        <v>0</v>
      </c>
      <c r="Q355" s="338"/>
      <c r="R355" s="491"/>
      <c r="S355" s="474"/>
      <c r="T355" s="344"/>
      <c r="U355" s="475"/>
    </row>
    <row r="356" spans="2:21" ht="13.2" customHeight="1" x14ac:dyDescent="0.25">
      <c r="B356" s="375"/>
      <c r="C356" s="351" t="s">
        <v>67</v>
      </c>
      <c r="D356" s="352" t="str">
        <f>HLOOKUP(Deckblatt!$C$12,Language!$C$1:$D$730,441,FALSE)</f>
        <v>Wiederverwendung</v>
      </c>
      <c r="E356" s="353"/>
      <c r="F356" s="363"/>
      <c r="G356" s="113"/>
      <c r="H356" s="21">
        <v>20</v>
      </c>
      <c r="I356" s="379"/>
      <c r="J356" s="340"/>
      <c r="K356" s="341"/>
      <c r="L356" s="341"/>
      <c r="M356" s="341"/>
      <c r="N356" s="342"/>
      <c r="P356" s="18">
        <f t="shared" ref="P356:P420" si="6">IF(G356&gt;H356,H356,G356)</f>
        <v>0</v>
      </c>
      <c r="Q356" s="338"/>
      <c r="R356" s="491"/>
      <c r="S356" s="474"/>
      <c r="T356" s="344"/>
      <c r="U356" s="475"/>
    </row>
    <row r="357" spans="2:21" ht="39.6" x14ac:dyDescent="0.25">
      <c r="B357" s="375"/>
      <c r="C357" s="351"/>
      <c r="D357" s="71" t="s">
        <v>69</v>
      </c>
      <c r="E357" s="134" t="str">
        <f>HLOOKUP(Deckblatt!$C$12,Language!$C$1:$D$730,442,FALSE)</f>
        <v xml:space="preserve">Wiederverwendungs- und Reparaturservices
Einrichtung von Wiederverwendungs- und Reparaturservices
</v>
      </c>
      <c r="F357" s="363"/>
      <c r="G357" s="69"/>
      <c r="H357" s="18">
        <v>5</v>
      </c>
      <c r="I357" s="379"/>
      <c r="J357" s="340"/>
      <c r="K357" s="341"/>
      <c r="L357" s="341"/>
      <c r="M357" s="341"/>
      <c r="N357" s="342"/>
      <c r="P357" s="18">
        <f t="shared" si="6"/>
        <v>0</v>
      </c>
      <c r="Q357" s="338"/>
      <c r="R357" s="491"/>
      <c r="S357" s="474"/>
      <c r="T357" s="344"/>
      <c r="U357" s="475"/>
    </row>
    <row r="358" spans="2:21" ht="67.95" customHeight="1" x14ac:dyDescent="0.25">
      <c r="B358" s="375"/>
      <c r="C358" s="351"/>
      <c r="D358" s="71" t="s">
        <v>78</v>
      </c>
      <c r="E358"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8" s="363"/>
      <c r="G358" s="69"/>
      <c r="H358" s="18">
        <v>15</v>
      </c>
      <c r="I358" s="379"/>
      <c r="J358" s="340"/>
      <c r="K358" s="341"/>
      <c r="L358" s="341"/>
      <c r="M358" s="341"/>
      <c r="N358" s="342"/>
      <c r="P358" s="18">
        <f t="shared" si="6"/>
        <v>0</v>
      </c>
      <c r="Q358" s="338"/>
      <c r="R358" s="491"/>
      <c r="S358" s="474"/>
      <c r="T358" s="344"/>
      <c r="U358" s="475"/>
    </row>
    <row r="359" spans="2:21" ht="13.2" customHeight="1" x14ac:dyDescent="0.25">
      <c r="B359" s="375"/>
      <c r="C359" s="351" t="s">
        <v>154</v>
      </c>
      <c r="D359" s="352" t="str">
        <f>HLOOKUP(Deckblatt!$C$12,Language!$C$1:$D$730,444,FALSE)</f>
        <v>Wertstoffrecycling</v>
      </c>
      <c r="E359" s="353"/>
      <c r="F359" s="363"/>
      <c r="G359" s="113"/>
      <c r="H359" s="21">
        <v>35</v>
      </c>
      <c r="I359" s="379"/>
      <c r="J359" s="340"/>
      <c r="K359" s="341"/>
      <c r="L359" s="341"/>
      <c r="M359" s="341"/>
      <c r="N359" s="342"/>
      <c r="P359" s="18">
        <f t="shared" si="6"/>
        <v>0</v>
      </c>
      <c r="Q359" s="338"/>
      <c r="R359" s="491"/>
      <c r="S359" s="474"/>
      <c r="T359" s="344"/>
      <c r="U359" s="475"/>
    </row>
    <row r="360" spans="2:21" x14ac:dyDescent="0.25">
      <c r="B360" s="375"/>
      <c r="C360" s="351"/>
      <c r="D360" s="71" t="s">
        <v>156</v>
      </c>
      <c r="E360" s="134" t="str">
        <f>HLOOKUP(Deckblatt!$C$12,Language!$C$1:$D$730,445,FALSE)</f>
        <v>Abfallrecyclingsystem</v>
      </c>
      <c r="F360" s="363"/>
      <c r="G360" s="69"/>
      <c r="H360" s="18">
        <v>10</v>
      </c>
      <c r="I360" s="379"/>
      <c r="J360" s="340"/>
      <c r="K360" s="341"/>
      <c r="L360" s="341"/>
      <c r="M360" s="341"/>
      <c r="N360" s="342"/>
      <c r="P360" s="18">
        <f t="shared" si="6"/>
        <v>0</v>
      </c>
      <c r="Q360" s="338"/>
      <c r="R360" s="491"/>
      <c r="S360" s="474"/>
      <c r="T360" s="344"/>
      <c r="U360" s="475"/>
    </row>
    <row r="361" spans="2:21" ht="15" customHeight="1" x14ac:dyDescent="0.25">
      <c r="B361" s="375"/>
      <c r="C361" s="351"/>
      <c r="D361" s="361" t="s">
        <v>218</v>
      </c>
      <c r="E361" s="68" t="str">
        <f>HLOOKUP(Deckblatt!$C$12,Language!$C$1:$D$730,446,FALSE)</f>
        <v>CIRCULAR ECONOMY BONUS – URBAN MINING</v>
      </c>
      <c r="F361" s="363"/>
      <c r="G361" s="113"/>
      <c r="H361" s="21">
        <v>10</v>
      </c>
      <c r="I361" s="379"/>
      <c r="J361" s="340"/>
      <c r="K361" s="341"/>
      <c r="L361" s="341"/>
      <c r="M361" s="341"/>
      <c r="N361" s="342"/>
      <c r="P361" s="18">
        <f t="shared" si="6"/>
        <v>0</v>
      </c>
      <c r="Q361" s="338"/>
      <c r="R361" s="491"/>
      <c r="S361" s="474"/>
      <c r="T361" s="344"/>
      <c r="U361" s="475"/>
    </row>
    <row r="362" spans="2:21" ht="18.600000000000001" customHeight="1" x14ac:dyDescent="0.25">
      <c r="B362" s="375"/>
      <c r="C362" s="351"/>
      <c r="D362" s="361"/>
      <c r="E362" s="134" t="str">
        <f>HLOOKUP(Deckblatt!$C$12,Language!$C$1:$D$730,447,FALSE)</f>
        <v xml:space="preserve">Es gibt ein Urban Mining Konzept für das Quartier
</v>
      </c>
      <c r="F362" s="363"/>
      <c r="G362" s="69"/>
      <c r="H362" s="18">
        <v>5</v>
      </c>
      <c r="I362" s="379"/>
      <c r="J362" s="340"/>
      <c r="K362" s="341"/>
      <c r="L362" s="341"/>
      <c r="M362" s="341"/>
      <c r="N362" s="342"/>
      <c r="P362" s="18">
        <f t="shared" si="6"/>
        <v>0</v>
      </c>
      <c r="Q362" s="338"/>
      <c r="R362" s="491"/>
      <c r="S362" s="474"/>
      <c r="T362" s="344"/>
      <c r="U362" s="475"/>
    </row>
    <row r="363" spans="2:21" ht="52.8" x14ac:dyDescent="0.25">
      <c r="B363" s="375"/>
      <c r="C363" s="351"/>
      <c r="D363" s="361"/>
      <c r="E363" s="134" t="str">
        <f>HLOOKUP(Deckblatt!$C$12,Language!$C$1:$D$730,448,FALSE)</f>
        <v xml:space="preserve">Es gibt ein Urban Mining Kataster/BIM Model in dem einige der verbauten Rohstoffe im Quartier erfasst sind (Teile der Gebäudemassen und der Freiräume)
</v>
      </c>
      <c r="F363" s="363"/>
      <c r="G363" s="69"/>
      <c r="H363" s="18">
        <v>5</v>
      </c>
      <c r="I363" s="379"/>
      <c r="J363" s="340"/>
      <c r="K363" s="341"/>
      <c r="L363" s="341"/>
      <c r="M363" s="341"/>
      <c r="N363" s="342"/>
      <c r="P363" s="18">
        <f t="shared" si="6"/>
        <v>0</v>
      </c>
      <c r="Q363" s="338"/>
      <c r="R363" s="491"/>
      <c r="S363" s="474"/>
      <c r="T363" s="344"/>
      <c r="U363" s="475"/>
    </row>
    <row r="364" spans="2:21" ht="52.8" x14ac:dyDescent="0.25">
      <c r="B364" s="375"/>
      <c r="C364" s="351"/>
      <c r="D364" s="71" t="s">
        <v>679</v>
      </c>
      <c r="E364" s="134" t="str">
        <f>HLOOKUP(Deckblatt!$C$12,Language!$C$1:$D$730,452,FALSE)</f>
        <v xml:space="preserve">Kompostierung
Einrichten von Anlagen zur Kompostierung des im Quartier (oder im Umfeld) anfallenden kompostierfähigen Abfalls.
</v>
      </c>
      <c r="F364" s="363"/>
      <c r="G364" s="69"/>
      <c r="H364" s="18">
        <v>10</v>
      </c>
      <c r="I364" s="379"/>
      <c r="J364" s="340"/>
      <c r="K364" s="341"/>
      <c r="L364" s="341"/>
      <c r="M364" s="341"/>
      <c r="N364" s="342"/>
      <c r="P364" s="18">
        <f t="shared" ref="P364:P365" si="7">IF(G364&gt;H364,H364,G364)</f>
        <v>0</v>
      </c>
      <c r="Q364" s="338"/>
      <c r="R364" s="491"/>
      <c r="S364" s="474"/>
      <c r="T364" s="344"/>
      <c r="U364" s="475"/>
    </row>
    <row r="365" spans="2:21" ht="26.4" x14ac:dyDescent="0.25">
      <c r="B365" s="375"/>
      <c r="C365" s="351"/>
      <c r="D365" s="71" t="s">
        <v>825</v>
      </c>
      <c r="E365" s="134" t="str">
        <f>HLOOKUP(Deckblatt!$C$12,Language!$C$1:$D$730,453,FALSE)</f>
        <v xml:space="preserve">Nutzung anfallender Wertstoffe
</v>
      </c>
      <c r="F365" s="363"/>
      <c r="G365" s="69"/>
      <c r="H365" s="18">
        <v>5</v>
      </c>
      <c r="I365" s="379"/>
      <c r="J365" s="340"/>
      <c r="K365" s="341"/>
      <c r="L365" s="341"/>
      <c r="M365" s="341"/>
      <c r="N365" s="342"/>
      <c r="P365" s="18">
        <f t="shared" si="7"/>
        <v>0</v>
      </c>
      <c r="Q365" s="338"/>
      <c r="R365" s="491"/>
      <c r="S365" s="474"/>
      <c r="T365" s="344"/>
      <c r="U365" s="475"/>
    </row>
    <row r="366" spans="2:21" ht="13.2" customHeight="1" x14ac:dyDescent="0.25">
      <c r="B366" s="375"/>
      <c r="C366" s="351" t="s">
        <v>157</v>
      </c>
      <c r="D366" s="352" t="str">
        <f>HLOOKUP(Deckblatt!$C$12,Language!$C$1:$D$730,454,FALSE)</f>
        <v>Technik und Logistik</v>
      </c>
      <c r="E366" s="353"/>
      <c r="F366" s="363"/>
      <c r="G366" s="113"/>
      <c r="H366" s="21">
        <v>20</v>
      </c>
      <c r="I366" s="379"/>
      <c r="J366" s="340"/>
      <c r="K366" s="341"/>
      <c r="L366" s="341"/>
      <c r="M366" s="341"/>
      <c r="N366" s="342"/>
      <c r="P366" s="18">
        <f t="shared" si="6"/>
        <v>0</v>
      </c>
      <c r="Q366" s="338"/>
      <c r="R366" s="491"/>
      <c r="S366" s="474"/>
      <c r="T366" s="344"/>
      <c r="U366" s="475"/>
    </row>
    <row r="367" spans="2:21" ht="66" x14ac:dyDescent="0.25">
      <c r="B367" s="375"/>
      <c r="C367" s="351"/>
      <c r="D367" s="71" t="s">
        <v>159</v>
      </c>
      <c r="E367" s="134" t="str">
        <f>HLOOKUP(Deckblatt!$C$12,Language!$C$1:$D$730,455,FALSE)</f>
        <v xml:space="preserve">Abfalllogistik
Innovative Abfalllogistikkonzepte im Quartier
- Es ist ein Abfalllogistikkonzept erstellt worden (5 Punkte)
- Das Abfalllogistikkonzept wurde umgesetzt (5 Punkte)
</v>
      </c>
      <c r="F367" s="363"/>
      <c r="G367" s="69"/>
      <c r="H367" s="18">
        <v>10</v>
      </c>
      <c r="I367" s="379"/>
      <c r="J367" s="340"/>
      <c r="K367" s="341"/>
      <c r="L367" s="341"/>
      <c r="M367" s="341"/>
      <c r="N367" s="342"/>
      <c r="P367" s="18">
        <f t="shared" si="6"/>
        <v>0</v>
      </c>
      <c r="Q367" s="338"/>
      <c r="R367" s="491"/>
      <c r="S367" s="474"/>
      <c r="T367" s="344"/>
      <c r="U367" s="475"/>
    </row>
    <row r="368" spans="2:21" ht="75" customHeight="1" x14ac:dyDescent="0.25">
      <c r="B368" s="375"/>
      <c r="C368" s="351"/>
      <c r="D368" s="71" t="s">
        <v>160</v>
      </c>
      <c r="E368"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8" s="363"/>
      <c r="G368" s="69"/>
      <c r="H368" s="18">
        <v>10</v>
      </c>
      <c r="I368" s="379"/>
      <c r="J368" s="340"/>
      <c r="K368" s="341"/>
      <c r="L368" s="341"/>
      <c r="M368" s="341"/>
      <c r="N368" s="342"/>
      <c r="P368" s="18">
        <f t="shared" si="6"/>
        <v>0</v>
      </c>
      <c r="Q368" s="339"/>
      <c r="R368" s="492"/>
      <c r="S368" s="474"/>
      <c r="T368" s="344"/>
      <c r="U368" s="475"/>
    </row>
    <row r="369" spans="2:21" x14ac:dyDescent="0.25">
      <c r="B369" s="55" t="s">
        <v>411</v>
      </c>
      <c r="C369" s="354" t="str">
        <f>HLOOKUP(Deckblatt!$C$12,Language!$C$1:$D$730,457,FALSE)</f>
        <v>Smart Infrastructure</v>
      </c>
      <c r="D369" s="354"/>
      <c r="E369" s="355"/>
      <c r="F369" s="66">
        <f>Q369</f>
        <v>0</v>
      </c>
      <c r="G369" s="372"/>
      <c r="H369" s="21">
        <v>100</v>
      </c>
      <c r="I369" s="176">
        <v>2</v>
      </c>
      <c r="J369" s="340"/>
      <c r="K369" s="341"/>
      <c r="L369" s="341"/>
      <c r="M369" s="341"/>
      <c r="N369" s="342"/>
      <c r="P369" s="18">
        <f t="shared" si="6"/>
        <v>0</v>
      </c>
      <c r="Q369" s="337">
        <f>SUM(P371,IF(SUM(P374:P376)&gt;30,30,SUM(P374:P376)),P378,P380:P381)</f>
        <v>0</v>
      </c>
      <c r="R369" s="343">
        <f>Q369/100</f>
        <v>0</v>
      </c>
      <c r="S369" s="474"/>
      <c r="T369" s="344"/>
      <c r="U369" s="475"/>
    </row>
    <row r="370" spans="2:21" ht="13.2" customHeight="1" x14ac:dyDescent="0.25">
      <c r="B370" s="345"/>
      <c r="C370" s="351" t="s">
        <v>54</v>
      </c>
      <c r="D370" s="352" t="str">
        <f>HLOOKUP(Deckblatt!$C$12,Language!$C$1:$D$730,458,FALSE)</f>
        <v>Integration des Themas Digitalisierung in die Quartiersplanung</v>
      </c>
      <c r="E370" s="353"/>
      <c r="F370" s="347"/>
      <c r="G370" s="374"/>
      <c r="H370" s="21">
        <v>30</v>
      </c>
      <c r="I370" s="349"/>
      <c r="J370" s="340"/>
      <c r="K370" s="341"/>
      <c r="L370" s="341"/>
      <c r="M370" s="341"/>
      <c r="N370" s="342"/>
      <c r="P370" s="18">
        <f t="shared" si="6"/>
        <v>0</v>
      </c>
      <c r="Q370" s="338"/>
      <c r="R370" s="344"/>
      <c r="S370" s="474"/>
      <c r="T370" s="344"/>
      <c r="U370" s="475"/>
    </row>
    <row r="371" spans="2:21" ht="52.8" x14ac:dyDescent="0.25">
      <c r="B371" s="346"/>
      <c r="C371" s="351"/>
      <c r="D371" s="57" t="s">
        <v>58</v>
      </c>
      <c r="E371" s="134" t="str">
        <f>HLOOKUP(Deckblatt!$C$12,Language!$C$1:$D$730,459,FALSE)</f>
        <v xml:space="preserve">Integration der Digitalisierung in die Quartiersplanung
- Pro adressiertem Handlungsfeld in der Digital Agenda / Digitalstrategie / Analyse können 6 Punkte angerechnet werden
</v>
      </c>
      <c r="F371" s="348"/>
      <c r="G371" s="69"/>
      <c r="H371" s="18">
        <v>30</v>
      </c>
      <c r="I371" s="350"/>
      <c r="J371" s="340"/>
      <c r="K371" s="341"/>
      <c r="L371" s="341"/>
      <c r="M371" s="341"/>
      <c r="N371" s="342"/>
      <c r="P371" s="18">
        <f t="shared" si="6"/>
        <v>0</v>
      </c>
      <c r="Q371" s="338"/>
      <c r="R371" s="344"/>
      <c r="S371" s="474"/>
      <c r="T371" s="344"/>
      <c r="U371" s="475"/>
    </row>
    <row r="372" spans="2:21" ht="13.2" customHeight="1" x14ac:dyDescent="0.25">
      <c r="B372" s="346"/>
      <c r="C372" s="351" t="s">
        <v>61</v>
      </c>
      <c r="D372" s="352" t="str">
        <f>HLOOKUP(Deckblatt!$C$12,Language!$C$1:$D$730,460,FALSE)</f>
        <v>Telekommunikationsinfrastruktur</v>
      </c>
      <c r="E372" s="353"/>
      <c r="F372" s="348"/>
      <c r="G372" s="488"/>
      <c r="H372" s="21">
        <v>30</v>
      </c>
      <c r="I372" s="350"/>
      <c r="J372" s="340"/>
      <c r="K372" s="341"/>
      <c r="L372" s="341"/>
      <c r="M372" s="341"/>
      <c r="N372" s="342"/>
      <c r="P372" s="18">
        <f t="shared" si="6"/>
        <v>0</v>
      </c>
      <c r="Q372" s="338"/>
      <c r="R372" s="344"/>
      <c r="S372" s="474"/>
      <c r="T372" s="344"/>
      <c r="U372" s="475"/>
    </row>
    <row r="373" spans="2:21" x14ac:dyDescent="0.25">
      <c r="B373" s="346"/>
      <c r="C373" s="351"/>
      <c r="D373" s="361" t="s">
        <v>63</v>
      </c>
      <c r="E373" s="134" t="str">
        <f>HLOOKUP(Deckblatt!$C$12,Language!$C$1:$D$730,461,FALSE)</f>
        <v>Breitband-Internetzugang</v>
      </c>
      <c r="F373" s="348"/>
      <c r="G373" s="489"/>
      <c r="H373" s="21">
        <v>25</v>
      </c>
      <c r="I373" s="350"/>
      <c r="J373" s="340"/>
      <c r="K373" s="341"/>
      <c r="L373" s="341"/>
      <c r="M373" s="341"/>
      <c r="N373" s="342"/>
      <c r="P373" s="18">
        <f t="shared" si="6"/>
        <v>0</v>
      </c>
      <c r="Q373" s="338"/>
      <c r="R373" s="344"/>
      <c r="S373" s="474"/>
      <c r="T373" s="344"/>
      <c r="U373" s="475"/>
    </row>
    <row r="374" spans="2:21" ht="79.2" x14ac:dyDescent="0.25">
      <c r="B374" s="346"/>
      <c r="C374" s="351"/>
      <c r="D374" s="361"/>
      <c r="E374" s="134" t="str">
        <f>HLOOKUP(Deckblatt!$C$12,Language!$C$1:$D$730,462,FALSE)</f>
        <v xml:space="preserve">Es gibt ein leistungsfähiges Breitbandnetz mit einer Downloadgeschwindigkeit von:
  &gt; 50 Mbit/s
  &gt; 100 Mbit/s
  &gt; 300 Mbit/s
</v>
      </c>
      <c r="F374" s="348"/>
      <c r="G374" s="69"/>
      <c r="H374" s="18">
        <v>25</v>
      </c>
      <c r="I374" s="350"/>
      <c r="J374" s="340"/>
      <c r="K374" s="341"/>
      <c r="L374" s="341"/>
      <c r="M374" s="341"/>
      <c r="N374" s="342"/>
      <c r="P374" s="18">
        <f t="shared" si="6"/>
        <v>0</v>
      </c>
      <c r="Q374" s="338"/>
      <c r="R374" s="344"/>
      <c r="S374" s="474"/>
      <c r="T374" s="344"/>
      <c r="U374" s="475"/>
    </row>
    <row r="375" spans="2:21" ht="66" x14ac:dyDescent="0.25">
      <c r="B375" s="346"/>
      <c r="C375" s="351"/>
      <c r="D375" s="71" t="s">
        <v>186</v>
      </c>
      <c r="E375"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5" s="348"/>
      <c r="G375" s="69"/>
      <c r="H375" s="18">
        <f>IF(G374=25,0,10)</f>
        <v>10</v>
      </c>
      <c r="I375" s="350"/>
      <c r="J375" s="340"/>
      <c r="K375" s="341"/>
      <c r="L375" s="341"/>
      <c r="M375" s="341"/>
      <c r="N375" s="342"/>
      <c r="P375" s="18">
        <f t="shared" si="6"/>
        <v>0</v>
      </c>
      <c r="Q375" s="338"/>
      <c r="R375" s="344"/>
      <c r="S375" s="474"/>
      <c r="T375" s="344"/>
      <c r="U375" s="475"/>
    </row>
    <row r="376" spans="2:21" ht="26.4" x14ac:dyDescent="0.25">
      <c r="B376" s="346"/>
      <c r="C376" s="351"/>
      <c r="D376" s="71" t="s">
        <v>255</v>
      </c>
      <c r="E376" s="134" t="str">
        <f>HLOOKUP(Deckblatt!$C$12,Language!$C$1:$D$730,464,FALSE)</f>
        <v xml:space="preserve">Freies WLAN im öffentlichen Raum
</v>
      </c>
      <c r="F376" s="348"/>
      <c r="G376" s="69"/>
      <c r="H376" s="18">
        <v>5</v>
      </c>
      <c r="I376" s="350"/>
      <c r="J376" s="340"/>
      <c r="K376" s="341"/>
      <c r="L376" s="341"/>
      <c r="M376" s="341"/>
      <c r="N376" s="342"/>
      <c r="P376" s="18">
        <f t="shared" si="6"/>
        <v>0</v>
      </c>
      <c r="Q376" s="338"/>
      <c r="R376" s="344"/>
      <c r="S376" s="474"/>
      <c r="T376" s="344"/>
      <c r="U376" s="475"/>
    </row>
    <row r="377" spans="2:21" ht="13.2" customHeight="1" x14ac:dyDescent="0.25">
      <c r="B377" s="346"/>
      <c r="C377" s="351" t="s">
        <v>64</v>
      </c>
      <c r="D377" s="352" t="str">
        <f>HLOOKUP(Deckblatt!$C$12,Language!$C$1:$D$730,465,FALSE)</f>
        <v>Datenauswertung</v>
      </c>
      <c r="E377" s="353"/>
      <c r="F377" s="348"/>
      <c r="G377" s="113"/>
      <c r="H377" s="21">
        <v>30</v>
      </c>
      <c r="I377" s="350"/>
      <c r="J377" s="340"/>
      <c r="K377" s="341"/>
      <c r="L377" s="341"/>
      <c r="M377" s="341"/>
      <c r="N377" s="342"/>
      <c r="P377" s="18">
        <f t="shared" si="6"/>
        <v>0</v>
      </c>
      <c r="Q377" s="338"/>
      <c r="R377" s="344"/>
      <c r="S377" s="474"/>
      <c r="T377" s="344"/>
      <c r="U377" s="475"/>
    </row>
    <row r="378" spans="2:21" ht="92.4" x14ac:dyDescent="0.25">
      <c r="B378" s="346"/>
      <c r="C378" s="351"/>
      <c r="D378" s="71" t="s">
        <v>66</v>
      </c>
      <c r="E378"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8" s="348"/>
      <c r="G378" s="69"/>
      <c r="H378" s="18">
        <v>30</v>
      </c>
      <c r="I378" s="350"/>
      <c r="J378" s="340"/>
      <c r="K378" s="341"/>
      <c r="L378" s="341"/>
      <c r="M378" s="341"/>
      <c r="N378" s="342"/>
      <c r="P378" s="18">
        <f t="shared" si="6"/>
        <v>0</v>
      </c>
      <c r="Q378" s="338"/>
      <c r="R378" s="344"/>
      <c r="S378" s="474"/>
      <c r="T378" s="344"/>
      <c r="U378" s="475"/>
    </row>
    <row r="379" spans="2:21" ht="13.2" customHeight="1" x14ac:dyDescent="0.25">
      <c r="B379" s="346"/>
      <c r="C379" s="351" t="s">
        <v>67</v>
      </c>
      <c r="D379" s="352" t="str">
        <f>HLOOKUP(Deckblatt!$C$12,Language!$C$1:$D$730,467,FALSE)</f>
        <v>Quartiersbezogene digitale Angebote</v>
      </c>
      <c r="E379" s="353"/>
      <c r="F379" s="348"/>
      <c r="G379" s="113"/>
      <c r="H379" s="21">
        <v>10</v>
      </c>
      <c r="I379" s="350"/>
      <c r="J379" s="340"/>
      <c r="K379" s="341"/>
      <c r="L379" s="341"/>
      <c r="M379" s="341"/>
      <c r="N379" s="342"/>
      <c r="P379" s="18">
        <f t="shared" si="6"/>
        <v>0</v>
      </c>
      <c r="Q379" s="338"/>
      <c r="R379" s="344"/>
      <c r="S379" s="474"/>
      <c r="T379" s="344"/>
      <c r="U379" s="475"/>
    </row>
    <row r="380" spans="2:21" ht="52.8" x14ac:dyDescent="0.25">
      <c r="B380" s="346"/>
      <c r="C380" s="351"/>
      <c r="D380" s="71" t="s">
        <v>69</v>
      </c>
      <c r="E380" s="134" t="str">
        <f>HLOOKUP(Deckblatt!$C$12,Language!$C$1:$D$730,468,FALSE)</f>
        <v xml:space="preserve">Information zu quartiersbezogenen digitalen Angeboten
Bei Einzug und bei Änderungen des Angebotes werden die Bewohner/Nutzer des Quartiers über die digitalen Angebote informiert 
</v>
      </c>
      <c r="F380" s="348"/>
      <c r="G380" s="69"/>
      <c r="H380" s="18">
        <v>2</v>
      </c>
      <c r="I380" s="350"/>
      <c r="J380" s="340"/>
      <c r="K380" s="341"/>
      <c r="L380" s="341"/>
      <c r="M380" s="341"/>
      <c r="N380" s="342"/>
      <c r="P380" s="18">
        <f t="shared" si="6"/>
        <v>0</v>
      </c>
      <c r="Q380" s="338"/>
      <c r="R380" s="344"/>
      <c r="S380" s="474"/>
      <c r="T380" s="344"/>
      <c r="U380" s="475"/>
    </row>
    <row r="381" spans="2:21" ht="79.2" x14ac:dyDescent="0.25">
      <c r="B381" s="346"/>
      <c r="C381" s="351"/>
      <c r="D381" s="71" t="s">
        <v>78</v>
      </c>
      <c r="E381"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81" s="348"/>
      <c r="G381" s="69"/>
      <c r="H381" s="18">
        <v>8</v>
      </c>
      <c r="I381" s="350"/>
      <c r="J381" s="340"/>
      <c r="K381" s="341"/>
      <c r="L381" s="341"/>
      <c r="M381" s="341"/>
      <c r="N381" s="342"/>
      <c r="P381" s="18">
        <f t="shared" si="6"/>
        <v>0</v>
      </c>
      <c r="Q381" s="338"/>
      <c r="R381" s="344"/>
      <c r="S381" s="474"/>
      <c r="T381" s="344"/>
      <c r="U381" s="475"/>
    </row>
    <row r="382" spans="2:21" x14ac:dyDescent="0.25">
      <c r="B382" s="55" t="s">
        <v>421</v>
      </c>
      <c r="C382" s="354" t="str">
        <f>HLOOKUP(Deckblatt!$C$12,Language!$C$1:$D$730,470,FALSE)</f>
        <v>Mobilitätsinfrastruktur– Motorisierter Verkehr</v>
      </c>
      <c r="D382" s="354"/>
      <c r="E382" s="355"/>
      <c r="F382" s="66">
        <f>Q382</f>
        <v>0</v>
      </c>
      <c r="G382" s="364"/>
      <c r="H382" s="21">
        <v>120</v>
      </c>
      <c r="I382" s="176">
        <v>5</v>
      </c>
      <c r="J382" s="340"/>
      <c r="K382" s="341"/>
      <c r="L382" s="341"/>
      <c r="M382" s="341"/>
      <c r="N382" s="342"/>
      <c r="P382" s="18">
        <f t="shared" si="6"/>
        <v>0</v>
      </c>
      <c r="Q382" s="337">
        <f>IF(SUM(P384,IF(P386+P387&gt;20,20,P386+P387),P390,P393,IF(SUM(P395:P396)&gt;9,9,SUM(P395:P396)),P398,P400,P402,P404:P405,P407)&gt;100,100+P391+P408,SUM(P384,IF(P386+P387&gt;20,20,P386+P387),P390,P393,IF(SUM(P395:P396)&gt;9,9,SUM(P395:P396)),P398,P400,P402,P404:P405,P407)+P391+P408)</f>
        <v>0</v>
      </c>
      <c r="R382" s="343">
        <f>Q382/100</f>
        <v>0</v>
      </c>
      <c r="S382" s="474"/>
      <c r="T382" s="344"/>
      <c r="U382" s="475"/>
    </row>
    <row r="383" spans="2:21" ht="13.2" customHeight="1" x14ac:dyDescent="0.25">
      <c r="B383" s="375"/>
      <c r="C383" s="351" t="s">
        <v>54</v>
      </c>
      <c r="D383" s="352" t="str">
        <f>HLOOKUP(Deckblatt!$C$12,Language!$C$1:$D$730,471,FALSE)</f>
        <v>Verkehrsmodell</v>
      </c>
      <c r="E383" s="353"/>
      <c r="F383" s="363"/>
      <c r="G383" s="364"/>
      <c r="H383" s="21">
        <v>5</v>
      </c>
      <c r="I383" s="379"/>
      <c r="J383" s="340"/>
      <c r="K383" s="341"/>
      <c r="L383" s="341"/>
      <c r="M383" s="341"/>
      <c r="N383" s="342"/>
      <c r="P383" s="18">
        <f t="shared" si="6"/>
        <v>0</v>
      </c>
      <c r="Q383" s="338"/>
      <c r="R383" s="344"/>
      <c r="S383" s="474"/>
      <c r="T383" s="344"/>
      <c r="U383" s="475"/>
    </row>
    <row r="384" spans="2:21" ht="26.4" x14ac:dyDescent="0.25">
      <c r="B384" s="375"/>
      <c r="C384" s="351"/>
      <c r="D384" s="71" t="s">
        <v>58</v>
      </c>
      <c r="E384" s="134" t="str">
        <f>HLOOKUP(Deckblatt!$C$12,Language!$C$1:$D$730,472,FALSE)</f>
        <v xml:space="preserve">Aktualität Verkehrsmodell
</v>
      </c>
      <c r="F384" s="363"/>
      <c r="G384" s="69"/>
      <c r="H384" s="18">
        <v>5</v>
      </c>
      <c r="I384" s="379"/>
      <c r="J384" s="340"/>
      <c r="K384" s="341"/>
      <c r="L384" s="341"/>
      <c r="M384" s="341"/>
      <c r="N384" s="342"/>
      <c r="P384" s="18">
        <f t="shared" si="6"/>
        <v>0</v>
      </c>
      <c r="Q384" s="338"/>
      <c r="R384" s="344"/>
      <c r="S384" s="474"/>
      <c r="T384" s="344"/>
      <c r="U384" s="475"/>
    </row>
    <row r="385" spans="2:21" ht="13.2" customHeight="1" x14ac:dyDescent="0.25">
      <c r="B385" s="375"/>
      <c r="C385" s="351" t="s">
        <v>61</v>
      </c>
      <c r="D385" s="352" t="str">
        <f>HLOOKUP(Deckblatt!$C$12,Language!$C$1:$D$730,473,FALSE)</f>
        <v>Modal Split</v>
      </c>
      <c r="E385" s="353"/>
      <c r="F385" s="363"/>
      <c r="G385" s="113"/>
      <c r="H385" s="21">
        <v>20</v>
      </c>
      <c r="I385" s="379"/>
      <c r="J385" s="340"/>
      <c r="K385" s="341"/>
      <c r="L385" s="341"/>
      <c r="M385" s="341"/>
      <c r="N385" s="342"/>
      <c r="P385" s="18">
        <f t="shared" si="6"/>
        <v>0</v>
      </c>
      <c r="Q385" s="338"/>
      <c r="R385" s="344"/>
      <c r="S385" s="474"/>
      <c r="T385" s="344"/>
      <c r="U385" s="475"/>
    </row>
    <row r="386" spans="2:21" ht="39.6" x14ac:dyDescent="0.25">
      <c r="B386" s="375"/>
      <c r="C386" s="351"/>
      <c r="D386" s="71" t="s">
        <v>63</v>
      </c>
      <c r="E386" s="134" t="str">
        <f>HLOOKUP(Deckblatt!$C$12,Language!$C$1:$D$730,474,FALSE)</f>
        <v xml:space="preserve">Umweltverbund
Anteil am Umweltverbund 
</v>
      </c>
      <c r="F386" s="363"/>
      <c r="G386" s="69"/>
      <c r="H386" s="18">
        <v>20</v>
      </c>
      <c r="I386" s="379"/>
      <c r="J386" s="340"/>
      <c r="K386" s="341"/>
      <c r="L386" s="341"/>
      <c r="M386" s="341"/>
      <c r="N386" s="342"/>
      <c r="P386" s="18">
        <f t="shared" si="6"/>
        <v>0</v>
      </c>
      <c r="Q386" s="338"/>
      <c r="R386" s="344"/>
      <c r="S386" s="474"/>
      <c r="T386" s="344"/>
      <c r="U386" s="475"/>
    </row>
    <row r="387" spans="2:21" ht="158.4" x14ac:dyDescent="0.25">
      <c r="B387" s="375"/>
      <c r="C387" s="351"/>
      <c r="D387" s="71" t="s">
        <v>437</v>
      </c>
      <c r="E387"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7" s="363"/>
      <c r="G387" s="69"/>
      <c r="H387" s="18">
        <v>10</v>
      </c>
      <c r="I387" s="379"/>
      <c r="J387" s="340"/>
      <c r="K387" s="341"/>
      <c r="L387" s="341"/>
      <c r="M387" s="341"/>
      <c r="N387" s="342"/>
      <c r="P387" s="18">
        <f t="shared" si="6"/>
        <v>0</v>
      </c>
      <c r="Q387" s="338"/>
      <c r="R387" s="344"/>
      <c r="S387" s="474"/>
      <c r="T387" s="344"/>
      <c r="U387" s="475"/>
    </row>
    <row r="388" spans="2:21" ht="13.2" customHeight="1" x14ac:dyDescent="0.25">
      <c r="B388" s="375"/>
      <c r="C388" s="351" t="s">
        <v>64</v>
      </c>
      <c r="D388" s="352" t="str">
        <f>HLOOKUP(Deckblatt!$C$12,Language!$C$1:$D$730,476,FALSE)</f>
        <v>Infrastruktur für alternative Antriebstechnologien</v>
      </c>
      <c r="E388" s="353"/>
      <c r="F388" s="363"/>
      <c r="G388" s="356"/>
      <c r="H388" s="21">
        <v>30</v>
      </c>
      <c r="I388" s="379"/>
      <c r="J388" s="340"/>
      <c r="K388" s="341"/>
      <c r="L388" s="341"/>
      <c r="M388" s="341"/>
      <c r="N388" s="342"/>
      <c r="P388" s="18">
        <f t="shared" si="6"/>
        <v>0</v>
      </c>
      <c r="Q388" s="338"/>
      <c r="R388" s="344"/>
      <c r="S388" s="474"/>
      <c r="T388" s="344"/>
      <c r="U388" s="475"/>
    </row>
    <row r="389" spans="2:21" x14ac:dyDescent="0.25">
      <c r="B389" s="375"/>
      <c r="C389" s="351"/>
      <c r="D389" s="361" t="s">
        <v>66</v>
      </c>
      <c r="E389" s="134" t="str">
        <f>HLOOKUP(Deckblatt!$C$12,Language!$C$1:$D$730,477,FALSE)</f>
        <v>Motorisierter Individualverkehr (MIV)</v>
      </c>
      <c r="F389" s="363"/>
      <c r="G389" s="356"/>
      <c r="H389" s="21">
        <v>20</v>
      </c>
      <c r="I389" s="379"/>
      <c r="J389" s="340"/>
      <c r="K389" s="341"/>
      <c r="L389" s="341"/>
      <c r="M389" s="341"/>
      <c r="N389" s="342"/>
      <c r="P389" s="18">
        <f t="shared" si="6"/>
        <v>0</v>
      </c>
      <c r="Q389" s="338"/>
      <c r="R389" s="344"/>
      <c r="S389" s="474"/>
      <c r="T389" s="344"/>
      <c r="U389" s="475"/>
    </row>
    <row r="390" spans="2:21" ht="52.8" x14ac:dyDescent="0.25">
      <c r="B390" s="375"/>
      <c r="C390" s="351"/>
      <c r="D390" s="361"/>
      <c r="E390" s="134" t="str">
        <f>HLOOKUP(Deckblatt!$C$12,Language!$C$1:$D$730,478,FALSE)</f>
        <v xml:space="preserve">Mobilitätsmanagement-Strategie – Ladeinfrastruktur (Variante A) 
Mobilitätsmanagement-Strategie – Keine Pkw-Stellplätze (Variante B) 
</v>
      </c>
      <c r="F390" s="363"/>
      <c r="G390" s="69"/>
      <c r="H390" s="18">
        <v>20</v>
      </c>
      <c r="I390" s="379"/>
      <c r="J390" s="340"/>
      <c r="K390" s="341"/>
      <c r="L390" s="341"/>
      <c r="M390" s="341"/>
      <c r="N390" s="342"/>
      <c r="P390" s="18">
        <f t="shared" si="6"/>
        <v>0</v>
      </c>
      <c r="Q390" s="338"/>
      <c r="R390" s="344"/>
      <c r="S390" s="474"/>
      <c r="T390" s="344"/>
      <c r="U390" s="475"/>
    </row>
    <row r="391" spans="2:21" ht="66" x14ac:dyDescent="0.25">
      <c r="B391" s="375"/>
      <c r="C391" s="351"/>
      <c r="D391" s="71" t="s">
        <v>188</v>
      </c>
      <c r="E391" s="54" t="str">
        <f>HLOOKUP(Deckblatt!$C$12,Language!$C$1:$D$730,479,FALSE)</f>
        <v xml:space="preserve">AGENDA 2030 BONUS – KLIMASCHUTZZIELE
Keine PKW-Stellplätze 
Eine Mobilitätsmanagement-Strategie nach Variante B wurde vollständig umgesetzt.
</v>
      </c>
      <c r="F391" s="363"/>
      <c r="G391" s="69"/>
      <c r="H391" s="18">
        <v>10</v>
      </c>
      <c r="I391" s="379"/>
      <c r="J391" s="340"/>
      <c r="K391" s="341"/>
      <c r="L391" s="341"/>
      <c r="M391" s="341"/>
      <c r="N391" s="342"/>
      <c r="P391" s="18">
        <f t="shared" si="6"/>
        <v>0</v>
      </c>
      <c r="Q391" s="338"/>
      <c r="R391" s="344"/>
      <c r="S391" s="474"/>
      <c r="T391" s="344"/>
      <c r="U391" s="475"/>
    </row>
    <row r="392" spans="2:21" ht="13.2" customHeight="1" x14ac:dyDescent="0.25">
      <c r="B392" s="375"/>
      <c r="C392" s="351" t="s">
        <v>67</v>
      </c>
      <c r="D392" s="352" t="str">
        <f>HLOOKUP(Deckblatt!$C$12,Language!$C$1:$D$730,480,FALSE)</f>
        <v>Fahrzeugsharing</v>
      </c>
      <c r="E392" s="353"/>
      <c r="F392" s="363"/>
      <c r="G392" s="113"/>
      <c r="H392" s="21">
        <v>10</v>
      </c>
      <c r="I392" s="379"/>
      <c r="J392" s="340"/>
      <c r="K392" s="341"/>
      <c r="L392" s="341"/>
      <c r="M392" s="341"/>
      <c r="N392" s="342"/>
      <c r="P392" s="18">
        <f t="shared" si="6"/>
        <v>0</v>
      </c>
      <c r="Q392" s="338"/>
      <c r="R392" s="344"/>
      <c r="S392" s="474"/>
      <c r="T392" s="344"/>
      <c r="U392" s="475"/>
    </row>
    <row r="393" spans="2:21" ht="79.2" x14ac:dyDescent="0.25">
      <c r="B393" s="375"/>
      <c r="C393" s="351"/>
      <c r="D393" s="71" t="s">
        <v>69</v>
      </c>
      <c r="E393" s="134" t="str">
        <f>HLOOKUP(Deckblatt!$C$12,Language!$C$1:$D$730,481,FALSE)</f>
        <v xml:space="preserve">Fahrzeugsharing Angebote
Es gibt ein Sharing-Angebot für motorisierte Fahrzeuge (Kommerzielles/Privates Sharing, Werksfahrzeuge, etc.) im Quartier/am Standort oder im direkten Umfeld (max. 5 Gehminuten). 
</v>
      </c>
      <c r="F393" s="363"/>
      <c r="G393" s="69"/>
      <c r="H393" s="18">
        <v>10</v>
      </c>
      <c r="I393" s="379"/>
      <c r="J393" s="340"/>
      <c r="K393" s="341"/>
      <c r="L393" s="341"/>
      <c r="M393" s="341"/>
      <c r="N393" s="342"/>
      <c r="P393" s="18">
        <f t="shared" si="6"/>
        <v>0</v>
      </c>
      <c r="Q393" s="338"/>
      <c r="R393" s="344"/>
      <c r="S393" s="474"/>
      <c r="T393" s="344"/>
      <c r="U393" s="475"/>
    </row>
    <row r="394" spans="2:21" ht="13.2" customHeight="1" x14ac:dyDescent="0.25">
      <c r="B394" s="375"/>
      <c r="C394" s="351" t="s">
        <v>154</v>
      </c>
      <c r="D394" s="352" t="str">
        <f>HLOOKUP(Deckblatt!$C$12,Language!$C$1:$D$730,482,FALSE)</f>
        <v>ÖPNV-Erschließungsqualität</v>
      </c>
      <c r="E394" s="353"/>
      <c r="F394" s="363"/>
      <c r="G394" s="113"/>
      <c r="H394" s="21">
        <v>9</v>
      </c>
      <c r="I394" s="379"/>
      <c r="J394" s="340"/>
      <c r="K394" s="341"/>
      <c r="L394" s="341"/>
      <c r="M394" s="341"/>
      <c r="N394" s="342"/>
      <c r="P394" s="18">
        <f t="shared" si="6"/>
        <v>0</v>
      </c>
      <c r="Q394" s="338"/>
      <c r="R394" s="344"/>
      <c r="S394" s="474"/>
      <c r="T394" s="344"/>
      <c r="U394" s="475"/>
    </row>
    <row r="395" spans="2:21" ht="66" x14ac:dyDescent="0.25">
      <c r="B395" s="375"/>
      <c r="C395" s="351"/>
      <c r="D395" s="71" t="s">
        <v>156</v>
      </c>
      <c r="E395" s="134" t="str">
        <f>HLOOKUP(Deckblatt!$C$12,Language!$C$1:$D$730,483,FALSE)</f>
        <v xml:space="preserve">ÖPNV-Erschließungsqualität
Prozentualer Anteil der Gebäude (Gemessen an BGF) die innerhalb von 350 m Luftlinie eine ÖPNV-Haltestelle erreichen können (Bus, S-Bahn, Tram)
</v>
      </c>
      <c r="F395" s="363"/>
      <c r="G395" s="69"/>
      <c r="H395" s="18">
        <v>9</v>
      </c>
      <c r="I395" s="379"/>
      <c r="J395" s="340"/>
      <c r="K395" s="341"/>
      <c r="L395" s="341"/>
      <c r="M395" s="341"/>
      <c r="N395" s="342"/>
      <c r="P395" s="18">
        <f t="shared" si="6"/>
        <v>0</v>
      </c>
      <c r="Q395" s="338"/>
      <c r="R395" s="344"/>
      <c r="S395" s="474"/>
      <c r="T395" s="344"/>
      <c r="U395" s="475"/>
    </row>
    <row r="396" spans="2:21" ht="26.4" x14ac:dyDescent="0.25">
      <c r="B396" s="375"/>
      <c r="C396" s="351"/>
      <c r="D396" s="71" t="s">
        <v>218</v>
      </c>
      <c r="E396" s="134" t="str">
        <f>HLOOKUP(Deckblatt!$C$12,Language!$C$1:$D$730,484,FALSE)</f>
        <v xml:space="preserve">Alternative zu 5.1: Angebot Bus- und Bahnlinien
</v>
      </c>
      <c r="F396" s="363"/>
      <c r="G396" s="69"/>
      <c r="H396" s="18">
        <v>9</v>
      </c>
      <c r="I396" s="379"/>
      <c r="J396" s="340"/>
      <c r="K396" s="341"/>
      <c r="L396" s="341"/>
      <c r="M396" s="341"/>
      <c r="N396" s="342"/>
      <c r="P396" s="18">
        <f t="shared" si="6"/>
        <v>0</v>
      </c>
      <c r="Q396" s="338"/>
      <c r="R396" s="344"/>
      <c r="S396" s="474"/>
      <c r="T396" s="344"/>
      <c r="U396" s="475"/>
    </row>
    <row r="397" spans="2:21" ht="13.2" customHeight="1" x14ac:dyDescent="0.25">
      <c r="B397" s="375"/>
      <c r="C397" s="351" t="s">
        <v>157</v>
      </c>
      <c r="D397" s="352" t="str">
        <f>HLOOKUP(Deckblatt!$C$12,Language!$C$1:$D$730,485,FALSE)</f>
        <v>Intermodale Plattformen</v>
      </c>
      <c r="E397" s="353"/>
      <c r="F397" s="363"/>
      <c r="G397" s="113"/>
      <c r="H397" s="21">
        <v>10</v>
      </c>
      <c r="I397" s="379"/>
      <c r="J397" s="340"/>
      <c r="K397" s="341"/>
      <c r="L397" s="341"/>
      <c r="M397" s="341"/>
      <c r="N397" s="342"/>
      <c r="P397" s="18">
        <f t="shared" si="6"/>
        <v>0</v>
      </c>
      <c r="Q397" s="338"/>
      <c r="R397" s="344"/>
      <c r="S397" s="474"/>
      <c r="T397" s="344"/>
      <c r="U397" s="475"/>
    </row>
    <row r="398" spans="2:21" ht="79.2" x14ac:dyDescent="0.25">
      <c r="B398" s="375"/>
      <c r="C398" s="351"/>
      <c r="D398" s="71" t="s">
        <v>159</v>
      </c>
      <c r="E398"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8" s="363"/>
      <c r="G398" s="69"/>
      <c r="H398" s="18">
        <v>10</v>
      </c>
      <c r="I398" s="379"/>
      <c r="J398" s="340"/>
      <c r="K398" s="341"/>
      <c r="L398" s="341"/>
      <c r="M398" s="341"/>
      <c r="N398" s="342"/>
      <c r="P398" s="18">
        <f t="shared" si="6"/>
        <v>0</v>
      </c>
      <c r="Q398" s="338"/>
      <c r="R398" s="344"/>
      <c r="S398" s="474"/>
      <c r="T398" s="344"/>
      <c r="U398" s="475"/>
    </row>
    <row r="399" spans="2:21" ht="13.2" customHeight="1" x14ac:dyDescent="0.25">
      <c r="B399" s="375"/>
      <c r="C399" s="351" t="s">
        <v>282</v>
      </c>
      <c r="D399" s="352" t="str">
        <f>HLOOKUP(Deckblatt!$C$12,Language!$C$1:$D$730,487,FALSE)</f>
        <v>Zugang zum nächstgelegenen Bahnhof</v>
      </c>
      <c r="E399" s="353"/>
      <c r="F399" s="363"/>
      <c r="G399" s="113"/>
      <c r="H399" s="21">
        <v>5</v>
      </c>
      <c r="I399" s="379"/>
      <c r="J399" s="340"/>
      <c r="K399" s="341"/>
      <c r="L399" s="341"/>
      <c r="M399" s="341"/>
      <c r="N399" s="342"/>
      <c r="P399" s="18">
        <f t="shared" si="6"/>
        <v>0</v>
      </c>
      <c r="Q399" s="338"/>
      <c r="R399" s="344"/>
      <c r="S399" s="474"/>
      <c r="T399" s="344"/>
      <c r="U399" s="475"/>
    </row>
    <row r="400" spans="2:21" ht="66" x14ac:dyDescent="0.25">
      <c r="B400" s="375"/>
      <c r="C400" s="351"/>
      <c r="D400" s="71" t="s">
        <v>284</v>
      </c>
      <c r="E400" s="134" t="str">
        <f>HLOOKUP(Deckblatt!$C$12,Language!$C$1:$D$730,488,FALSE)</f>
        <v xml:space="preserve">Öffentliche Verkehrsmittel
Zugang zum nächstgelegenen Bahnhof (S-Bahn, Regional-und/oder Fernverkehr) mit öffentlichen Verkehrsmitteln, mit dem Fahrrad oder zu Fuß.
</v>
      </c>
      <c r="F400" s="363"/>
      <c r="G400" s="69"/>
      <c r="H400" s="18">
        <v>5</v>
      </c>
      <c r="I400" s="379"/>
      <c r="J400" s="340"/>
      <c r="K400" s="341"/>
      <c r="L400" s="341"/>
      <c r="M400" s="341"/>
      <c r="N400" s="342"/>
      <c r="P400" s="18">
        <f t="shared" si="6"/>
        <v>0</v>
      </c>
      <c r="Q400" s="338"/>
      <c r="R400" s="344"/>
      <c r="S400" s="474"/>
      <c r="T400" s="344"/>
      <c r="U400" s="475"/>
    </row>
    <row r="401" spans="2:21" ht="13.2" customHeight="1" x14ac:dyDescent="0.25">
      <c r="B401" s="375"/>
      <c r="C401" s="351" t="s">
        <v>285</v>
      </c>
      <c r="D401" s="352" t="str">
        <f>HLOOKUP(Deckblatt!$C$12,Language!$C$1:$D$730,489,FALSE)</f>
        <v>Takt des ÖPNV</v>
      </c>
      <c r="E401" s="353"/>
      <c r="F401" s="363"/>
      <c r="G401" s="113"/>
      <c r="H401" s="21">
        <v>10</v>
      </c>
      <c r="I401" s="379"/>
      <c r="J401" s="340"/>
      <c r="K401" s="341"/>
      <c r="L401" s="341"/>
      <c r="M401" s="341"/>
      <c r="N401" s="342"/>
      <c r="P401" s="18">
        <f t="shared" si="6"/>
        <v>0</v>
      </c>
      <c r="Q401" s="338"/>
      <c r="R401" s="344"/>
      <c r="S401" s="474"/>
      <c r="T401" s="344"/>
      <c r="U401" s="475"/>
    </row>
    <row r="402" spans="2:21" ht="66" customHeight="1" x14ac:dyDescent="0.25">
      <c r="B402" s="375"/>
      <c r="C402" s="351"/>
      <c r="D402" s="71" t="s">
        <v>287</v>
      </c>
      <c r="E402" s="134" t="str">
        <f>HLOOKUP(Deckblatt!$C$12,Language!$C$1:$D$730,490,FALSE)</f>
        <v xml:space="preserve">Takt ÖPNV
Durchschnittlicher Takt aller ÖPNV-Linien werktags zwischen 6 und 19 Uhr. Beziehungsweise an die Schichtwechsel angepasste ÖPNV Taktung.
</v>
      </c>
      <c r="F402" s="363"/>
      <c r="G402" s="69"/>
      <c r="H402" s="18">
        <v>10</v>
      </c>
      <c r="I402" s="379"/>
      <c r="J402" s="340"/>
      <c r="K402" s="341"/>
      <c r="L402" s="341"/>
      <c r="M402" s="341"/>
      <c r="N402" s="342"/>
      <c r="P402" s="18">
        <f t="shared" si="6"/>
        <v>0</v>
      </c>
      <c r="Q402" s="338"/>
      <c r="R402" s="344"/>
      <c r="S402" s="474"/>
      <c r="T402" s="344"/>
      <c r="U402" s="475"/>
    </row>
    <row r="403" spans="2:21" ht="13.2" customHeight="1" x14ac:dyDescent="0.25">
      <c r="B403" s="375"/>
      <c r="C403" s="351" t="s">
        <v>292</v>
      </c>
      <c r="D403" s="352" t="str">
        <f>HLOOKUP(Deckblatt!$C$12,Language!$C$1:$D$730,491,FALSE)</f>
        <v>Besondere Maßnahmen zur Förderung des ÖPNV</v>
      </c>
      <c r="E403" s="353"/>
      <c r="F403" s="363"/>
      <c r="G403" s="113"/>
      <c r="H403" s="21">
        <v>16</v>
      </c>
      <c r="I403" s="379"/>
      <c r="J403" s="340"/>
      <c r="K403" s="341"/>
      <c r="L403" s="341"/>
      <c r="M403" s="341"/>
      <c r="N403" s="342"/>
      <c r="P403" s="18">
        <f t="shared" si="6"/>
        <v>0</v>
      </c>
      <c r="Q403" s="338"/>
      <c r="R403" s="344"/>
      <c r="S403" s="474"/>
      <c r="T403" s="344"/>
      <c r="U403" s="475"/>
    </row>
    <row r="404" spans="2:21" ht="26.4" x14ac:dyDescent="0.25">
      <c r="B404" s="375"/>
      <c r="C404" s="351"/>
      <c r="D404" s="71" t="s">
        <v>293</v>
      </c>
      <c r="E404" s="134" t="str">
        <f>HLOOKUP(Deckblatt!$C$12,Language!$C$1:$D$730,492,FALSE)</f>
        <v xml:space="preserve">Bauliche oder Betriebliche Maßnahmen
</v>
      </c>
      <c r="F404" s="363"/>
      <c r="G404" s="69"/>
      <c r="H404" s="18">
        <v>8</v>
      </c>
      <c r="I404" s="379"/>
      <c r="J404" s="340"/>
      <c r="K404" s="341"/>
      <c r="L404" s="341"/>
      <c r="M404" s="341"/>
      <c r="N404" s="342"/>
      <c r="P404" s="18">
        <f t="shared" si="6"/>
        <v>0</v>
      </c>
      <c r="Q404" s="338"/>
      <c r="R404" s="344"/>
      <c r="S404" s="474"/>
      <c r="T404" s="344"/>
      <c r="U404" s="475"/>
    </row>
    <row r="405" spans="2:21" ht="92.4" x14ac:dyDescent="0.25">
      <c r="B405" s="375"/>
      <c r="C405" s="351"/>
      <c r="D405" s="19" t="s">
        <v>460</v>
      </c>
      <c r="E405"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5" s="363"/>
      <c r="G405" s="69"/>
      <c r="H405" s="18">
        <v>8</v>
      </c>
      <c r="I405" s="379"/>
      <c r="J405" s="340"/>
      <c r="K405" s="341"/>
      <c r="L405" s="341"/>
      <c r="M405" s="341"/>
      <c r="N405" s="342"/>
      <c r="P405" s="18">
        <f t="shared" si="6"/>
        <v>0</v>
      </c>
      <c r="Q405" s="338"/>
      <c r="R405" s="344"/>
      <c r="S405" s="474"/>
      <c r="T405" s="344"/>
      <c r="U405" s="475"/>
    </row>
    <row r="406" spans="2:21" ht="13.2" customHeight="1" x14ac:dyDescent="0.25">
      <c r="B406" s="375"/>
      <c r="C406" s="351" t="s">
        <v>448</v>
      </c>
      <c r="D406" s="352" t="str">
        <f>HLOOKUP(Deckblatt!$C$12,Language!$C$1:$D$730,494,FALSE)</f>
        <v>Konzept Wirtschaftsverkehr</v>
      </c>
      <c r="E406" s="353"/>
      <c r="F406" s="363"/>
      <c r="G406" s="113"/>
      <c r="H406" s="21">
        <v>20</v>
      </c>
      <c r="I406" s="379"/>
      <c r="J406" s="340"/>
      <c r="K406" s="341"/>
      <c r="L406" s="341"/>
      <c r="M406" s="341"/>
      <c r="N406" s="342"/>
      <c r="P406" s="18">
        <f t="shared" si="6"/>
        <v>0</v>
      </c>
      <c r="Q406" s="338"/>
      <c r="R406" s="344"/>
      <c r="S406" s="474"/>
      <c r="T406" s="344"/>
      <c r="U406" s="475"/>
    </row>
    <row r="407" spans="2:21" ht="26.4" x14ac:dyDescent="0.25">
      <c r="B407" s="375"/>
      <c r="C407" s="351"/>
      <c r="D407" s="19" t="s">
        <v>459</v>
      </c>
      <c r="E407" s="134" t="str">
        <f>HLOOKUP(Deckblatt!$C$12,Language!$C$1:$D$730,495,FALSE)</f>
        <v xml:space="preserve">Konzept Wirtschaftsverkehr
</v>
      </c>
      <c r="F407" s="363"/>
      <c r="G407" s="69"/>
      <c r="H407" s="18">
        <v>10</v>
      </c>
      <c r="I407" s="379"/>
      <c r="J407" s="340"/>
      <c r="K407" s="341"/>
      <c r="L407" s="341"/>
      <c r="M407" s="341"/>
      <c r="N407" s="342"/>
      <c r="P407" s="18">
        <f t="shared" si="6"/>
        <v>0</v>
      </c>
      <c r="Q407" s="338"/>
      <c r="R407" s="344"/>
      <c r="S407" s="474"/>
      <c r="T407" s="344"/>
      <c r="U407" s="475"/>
    </row>
    <row r="408" spans="2:21" ht="52.8" x14ac:dyDescent="0.25">
      <c r="B408" s="375"/>
      <c r="C408" s="351"/>
      <c r="D408" s="71" t="s">
        <v>458</v>
      </c>
      <c r="E408" s="54" t="str">
        <f>HLOOKUP(Deckblatt!$C$12,Language!$C$1:$D$730,496,FALSE)</f>
        <v xml:space="preserve">AGENDA 2030 BONUS – KLIMASCHUTZZIELE
Ambition zum Erreichen klimaneutraler  Logistik
</v>
      </c>
      <c r="F408" s="363"/>
      <c r="G408" s="69"/>
      <c r="H408" s="18">
        <v>10</v>
      </c>
      <c r="I408" s="379"/>
      <c r="J408" s="340"/>
      <c r="K408" s="341"/>
      <c r="L408" s="341"/>
      <c r="M408" s="341"/>
      <c r="N408" s="342"/>
      <c r="P408" s="18">
        <f t="shared" si="6"/>
        <v>0</v>
      </c>
      <c r="Q408" s="338"/>
      <c r="R408" s="344"/>
      <c r="S408" s="474"/>
      <c r="T408" s="344"/>
      <c r="U408" s="475"/>
    </row>
    <row r="409" spans="2:21" x14ac:dyDescent="0.25">
      <c r="B409" s="55" t="s">
        <v>454</v>
      </c>
      <c r="C409" s="354" t="str">
        <f>HLOOKUP(Deckblatt!$C$12,Language!$C$1:$D$730,497,FALSE)</f>
        <v>Mobilitätsinfrastruktur– Nicht Motorisierter Verkehr</v>
      </c>
      <c r="D409" s="354"/>
      <c r="E409" s="355"/>
      <c r="F409" s="66">
        <f>Q409</f>
        <v>0</v>
      </c>
      <c r="G409" s="364"/>
      <c r="H409" s="137">
        <v>100</v>
      </c>
      <c r="I409" s="176">
        <v>5</v>
      </c>
      <c r="J409" s="340"/>
      <c r="K409" s="341"/>
      <c r="L409" s="341"/>
      <c r="M409" s="341"/>
      <c r="N409" s="342"/>
      <c r="P409" s="18">
        <f t="shared" si="6"/>
        <v>0</v>
      </c>
      <c r="Q409" s="337">
        <f>IF(SUM(P411:P425)&gt;100,100,SUM(P411:P425))</f>
        <v>0</v>
      </c>
      <c r="R409" s="343">
        <f>Q409/100</f>
        <v>0</v>
      </c>
      <c r="S409" s="474"/>
      <c r="T409" s="344"/>
      <c r="U409" s="475"/>
    </row>
    <row r="410" spans="2:21" ht="13.2" customHeight="1" x14ac:dyDescent="0.25">
      <c r="B410" s="375"/>
      <c r="C410" s="351" t="s">
        <v>54</v>
      </c>
      <c r="D410" s="352" t="str">
        <f>HLOOKUP(Deckblatt!$C$12,Language!$C$1:$D$730,498,FALSE)</f>
        <v>Mobilitätselemente für Rad- und Fußgänger/innen</v>
      </c>
      <c r="E410" s="353"/>
      <c r="F410" s="363"/>
      <c r="G410" s="364"/>
      <c r="H410" s="21">
        <v>30</v>
      </c>
      <c r="I410" s="379"/>
      <c r="J410" s="340"/>
      <c r="K410" s="341"/>
      <c r="L410" s="341"/>
      <c r="M410" s="341"/>
      <c r="N410" s="342"/>
      <c r="P410" s="18">
        <f t="shared" si="6"/>
        <v>0</v>
      </c>
      <c r="Q410" s="338"/>
      <c r="R410" s="344"/>
      <c r="S410" s="474"/>
      <c r="T410" s="344"/>
      <c r="U410" s="475"/>
    </row>
    <row r="411" spans="2:21" ht="52.8" x14ac:dyDescent="0.25">
      <c r="B411" s="375"/>
      <c r="C411" s="351"/>
      <c r="D411" s="71" t="s">
        <v>58</v>
      </c>
      <c r="E411" s="134" t="str">
        <f>HLOOKUP(Deckblatt!$C$12,Language!$C$1:$D$730,499,FALSE)</f>
        <v xml:space="preserve">Rad-/Fußgängerverkehr fördernde Mobilitätselemente
Pro (innovativem) Mobilitätselement können 10 Punkte angerechnet werden. Beispiele sind unter Methode Indikator 1 aufgeführt.
</v>
      </c>
      <c r="F411" s="363"/>
      <c r="G411" s="69"/>
      <c r="H411" s="18">
        <v>30</v>
      </c>
      <c r="I411" s="379"/>
      <c r="J411" s="340"/>
      <c r="K411" s="341"/>
      <c r="L411" s="341"/>
      <c r="M411" s="341"/>
      <c r="N411" s="342"/>
      <c r="P411" s="18">
        <f t="shared" si="6"/>
        <v>0</v>
      </c>
      <c r="Q411" s="338"/>
      <c r="R411" s="344"/>
      <c r="S411" s="474"/>
      <c r="T411" s="344"/>
      <c r="U411" s="475"/>
    </row>
    <row r="412" spans="2:21" ht="13.2" customHeight="1" x14ac:dyDescent="0.25">
      <c r="B412" s="375"/>
      <c r="C412" s="359" t="s">
        <v>61</v>
      </c>
      <c r="D412" s="352" t="str">
        <f>HLOOKUP(Deckblatt!$C$12,Language!$C$1:$D$730,500,FALSE)</f>
        <v>Mobilitätsinfrastruktur für den Radverkehr</v>
      </c>
      <c r="E412" s="353"/>
      <c r="F412" s="363"/>
      <c r="G412" s="113"/>
      <c r="H412" s="21">
        <v>19</v>
      </c>
      <c r="I412" s="379"/>
      <c r="J412" s="340"/>
      <c r="K412" s="341"/>
      <c r="L412" s="341"/>
      <c r="M412" s="341"/>
      <c r="N412" s="342"/>
      <c r="P412" s="18">
        <f t="shared" si="6"/>
        <v>0</v>
      </c>
      <c r="Q412" s="338"/>
      <c r="R412" s="344"/>
      <c r="S412" s="474"/>
      <c r="T412" s="344"/>
      <c r="U412" s="475"/>
    </row>
    <row r="413" spans="2:21" ht="105.6" customHeight="1" x14ac:dyDescent="0.25">
      <c r="B413" s="375"/>
      <c r="C413" s="390"/>
      <c r="D413" s="71" t="s">
        <v>63</v>
      </c>
      <c r="E413" s="229" t="str">
        <f>HLOOKUP(Deckblatt!$C$12,Language!$C$1:$D$730,501,FALSE)</f>
        <v xml:space="preserve">Priorisierung des Radverkehrs im Quartier 
</v>
      </c>
      <c r="F413" s="363"/>
      <c r="G413" s="69"/>
      <c r="H413" s="18">
        <v>19</v>
      </c>
      <c r="I413" s="379"/>
      <c r="J413" s="340"/>
      <c r="K413" s="341"/>
      <c r="L413" s="341"/>
      <c r="M413" s="341"/>
      <c r="N413" s="342"/>
      <c r="P413" s="18">
        <f t="shared" si="6"/>
        <v>0</v>
      </c>
      <c r="Q413" s="338"/>
      <c r="R413" s="344"/>
      <c r="S413" s="474"/>
      <c r="T413" s="344"/>
      <c r="U413" s="475"/>
    </row>
    <row r="414" spans="2:21" ht="13.2" customHeight="1" x14ac:dyDescent="0.25">
      <c r="B414" s="375"/>
      <c r="C414" s="351" t="s">
        <v>64</v>
      </c>
      <c r="D414" s="352" t="str">
        <f>HLOOKUP(Deckblatt!$C$12,Language!$C$1:$D$730,504,FALSE)</f>
        <v>Qualität der Abstellanlagen für Fahrräder</v>
      </c>
      <c r="E414" s="353"/>
      <c r="F414" s="363"/>
      <c r="G414" s="113"/>
      <c r="H414" s="21">
        <v>20</v>
      </c>
      <c r="I414" s="379"/>
      <c r="J414" s="340"/>
      <c r="K414" s="341"/>
      <c r="L414" s="341"/>
      <c r="M414" s="341"/>
      <c r="N414" s="342"/>
      <c r="P414" s="18">
        <f t="shared" si="6"/>
        <v>0</v>
      </c>
      <c r="Q414" s="338"/>
      <c r="R414" s="344"/>
      <c r="S414" s="474"/>
      <c r="T414" s="344"/>
      <c r="U414" s="475"/>
    </row>
    <row r="415" spans="2:21" ht="26.4" x14ac:dyDescent="0.25">
      <c r="B415" s="375"/>
      <c r="C415" s="351"/>
      <c r="D415" s="71" t="s">
        <v>66</v>
      </c>
      <c r="E415" s="229" t="str">
        <f>HLOOKUP(Deckblatt!$C$12,Language!$C$1:$D$730,505,FALSE)</f>
        <v xml:space="preserve">Qualität der Abstellanlagen
</v>
      </c>
      <c r="F415" s="363"/>
      <c r="G415" s="69"/>
      <c r="H415" s="18">
        <v>20</v>
      </c>
      <c r="I415" s="379"/>
      <c r="J415" s="340"/>
      <c r="K415" s="341"/>
      <c r="L415" s="341"/>
      <c r="M415" s="341"/>
      <c r="N415" s="342"/>
      <c r="P415" s="18">
        <f t="shared" si="6"/>
        <v>0</v>
      </c>
      <c r="Q415" s="338"/>
      <c r="R415" s="344"/>
      <c r="S415" s="474"/>
      <c r="T415" s="344"/>
      <c r="U415" s="475"/>
    </row>
    <row r="416" spans="2:21" ht="13.2" customHeight="1" x14ac:dyDescent="0.25">
      <c r="B416" s="375"/>
      <c r="C416" s="351" t="s">
        <v>67</v>
      </c>
      <c r="D416" s="352" t="str">
        <f>HLOOKUP(Deckblatt!$C$12,Language!$C$1:$D$730,506,FALSE)</f>
        <v>Wegweisungssysteme für Radverkehr</v>
      </c>
      <c r="E416" s="353"/>
      <c r="F416" s="363"/>
      <c r="G416" s="113"/>
      <c r="H416" s="21">
        <v>10</v>
      </c>
      <c r="I416" s="379"/>
      <c r="J416" s="340"/>
      <c r="K416" s="341"/>
      <c r="L416" s="341"/>
      <c r="M416" s="341"/>
      <c r="N416" s="342"/>
      <c r="P416" s="18">
        <f t="shared" si="6"/>
        <v>0</v>
      </c>
      <c r="Q416" s="338"/>
      <c r="R416" s="344"/>
      <c r="S416" s="474"/>
      <c r="T416" s="344"/>
      <c r="U416" s="475"/>
    </row>
    <row r="417" spans="2:21" ht="26.4" x14ac:dyDescent="0.25">
      <c r="B417" s="375"/>
      <c r="C417" s="351"/>
      <c r="D417" s="71" t="s">
        <v>69</v>
      </c>
      <c r="E417" s="229" t="str">
        <f>HLOOKUP(Deckblatt!$C$12,Language!$C$1:$D$730,507,FALSE)</f>
        <v xml:space="preserve">Wegweisungssysteme
</v>
      </c>
      <c r="F417" s="363"/>
      <c r="G417" s="69"/>
      <c r="H417" s="18">
        <v>10</v>
      </c>
      <c r="I417" s="379"/>
      <c r="J417" s="340"/>
      <c r="K417" s="341"/>
      <c r="L417" s="341"/>
      <c r="M417" s="341"/>
      <c r="N417" s="342"/>
      <c r="P417" s="18">
        <f t="shared" si="6"/>
        <v>0</v>
      </c>
      <c r="Q417" s="338"/>
      <c r="R417" s="344"/>
      <c r="S417" s="474"/>
      <c r="T417" s="344"/>
      <c r="U417" s="475"/>
    </row>
    <row r="418" spans="2:21" ht="13.2" customHeight="1" x14ac:dyDescent="0.25">
      <c r="B418" s="375"/>
      <c r="C418" s="351" t="s">
        <v>154</v>
      </c>
      <c r="D418" s="352" t="str">
        <f>HLOOKUP(Deckblatt!$C$12,Language!$C$1:$D$730,508,FALSE)</f>
        <v>Fußwegenetz</v>
      </c>
      <c r="E418" s="353"/>
      <c r="F418" s="363"/>
      <c r="G418" s="113"/>
      <c r="H418" s="21">
        <v>15</v>
      </c>
      <c r="I418" s="379"/>
      <c r="J418" s="340"/>
      <c r="K418" s="341"/>
      <c r="L418" s="341"/>
      <c r="M418" s="341"/>
      <c r="N418" s="342"/>
      <c r="P418" s="18">
        <f t="shared" si="6"/>
        <v>0</v>
      </c>
      <c r="Q418" s="338"/>
      <c r="R418" s="344"/>
      <c r="S418" s="474"/>
      <c r="T418" s="344"/>
      <c r="U418" s="475"/>
    </row>
    <row r="419" spans="2:21" ht="26.4" x14ac:dyDescent="0.25">
      <c r="B419" s="375"/>
      <c r="C419" s="351"/>
      <c r="D419" s="71" t="s">
        <v>156</v>
      </c>
      <c r="E419" s="229" t="str">
        <f>HLOOKUP(Deckblatt!$C$12,Language!$C$1:$D$730,509,FALSE)</f>
        <v xml:space="preserve">Fußgängerinfrastruktur
</v>
      </c>
      <c r="F419" s="363"/>
      <c r="G419" s="69"/>
      <c r="H419" s="18">
        <v>15</v>
      </c>
      <c r="I419" s="379"/>
      <c r="J419" s="340"/>
      <c r="K419" s="341"/>
      <c r="L419" s="341"/>
      <c r="M419" s="341"/>
      <c r="N419" s="342"/>
      <c r="P419" s="18">
        <f t="shared" si="6"/>
        <v>0</v>
      </c>
      <c r="Q419" s="338"/>
      <c r="R419" s="344"/>
      <c r="S419" s="474"/>
      <c r="T419" s="344"/>
      <c r="U419" s="475"/>
    </row>
    <row r="420" spans="2:21" ht="13.2" customHeight="1" x14ac:dyDescent="0.25">
      <c r="B420" s="375"/>
      <c r="C420" s="392" t="s">
        <v>157</v>
      </c>
      <c r="D420" s="352" t="str">
        <f>HLOOKUP(Deckblatt!$C$12,Language!$C$1:$D$730,510,FALSE)</f>
        <v>Lage der Querungsmöglichkeiten für Fußgänger/-innen</v>
      </c>
      <c r="E420" s="353"/>
      <c r="F420" s="363"/>
      <c r="G420" s="113"/>
      <c r="H420" s="21">
        <v>15</v>
      </c>
      <c r="I420" s="379"/>
      <c r="J420" s="340"/>
      <c r="K420" s="341"/>
      <c r="L420" s="341"/>
      <c r="M420" s="341"/>
      <c r="N420" s="342"/>
      <c r="P420" s="18">
        <f t="shared" si="6"/>
        <v>0</v>
      </c>
      <c r="Q420" s="338"/>
      <c r="R420" s="344"/>
      <c r="S420" s="474"/>
      <c r="T420" s="344"/>
      <c r="U420" s="475"/>
    </row>
    <row r="421" spans="2:21" ht="26.4" x14ac:dyDescent="0.25">
      <c r="B421" s="375"/>
      <c r="C421" s="351"/>
      <c r="D421" s="71" t="s">
        <v>159</v>
      </c>
      <c r="E421" s="229" t="str">
        <f>HLOOKUP(Deckblatt!$C$12,Language!$C$1:$D$730,511,FALSE)</f>
        <v xml:space="preserve">Kreuzen der Wege
</v>
      </c>
      <c r="F421" s="363"/>
      <c r="G421" s="69"/>
      <c r="H421" s="18">
        <v>15</v>
      </c>
      <c r="I421" s="379"/>
      <c r="J421" s="340"/>
      <c r="K421" s="341"/>
      <c r="L421" s="341"/>
      <c r="M421" s="341"/>
      <c r="N421" s="342"/>
      <c r="P421" s="18">
        <f t="shared" ref="P421:P485" si="8">IF(G421&gt;H421,H421,G421)</f>
        <v>0</v>
      </c>
      <c r="Q421" s="338"/>
      <c r="R421" s="344"/>
      <c r="S421" s="474"/>
      <c r="T421" s="344"/>
      <c r="U421" s="475"/>
    </row>
    <row r="422" spans="2:21" ht="13.2" customHeight="1" x14ac:dyDescent="0.25">
      <c r="B422" s="375"/>
      <c r="C422" s="351" t="s">
        <v>282</v>
      </c>
      <c r="D422" s="352" t="str">
        <f>HLOOKUP(Deckblatt!$C$12,Language!$C$1:$D$730,512,FALSE)</f>
        <v>Wegweisungssysteme für Fußgänger/-innen</v>
      </c>
      <c r="E422" s="353"/>
      <c r="F422" s="363"/>
      <c r="G422" s="356"/>
      <c r="H422" s="21">
        <v>10</v>
      </c>
      <c r="I422" s="379"/>
      <c r="J422" s="340"/>
      <c r="K422" s="341"/>
      <c r="L422" s="341"/>
      <c r="M422" s="341"/>
      <c r="N422" s="342"/>
      <c r="P422" s="18">
        <f t="shared" si="8"/>
        <v>0</v>
      </c>
      <c r="Q422" s="338"/>
      <c r="R422" s="344"/>
      <c r="S422" s="474"/>
      <c r="T422" s="344"/>
      <c r="U422" s="475"/>
    </row>
    <row r="423" spans="2:21" x14ac:dyDescent="0.25">
      <c r="B423" s="375"/>
      <c r="C423" s="351"/>
      <c r="D423" s="361" t="s">
        <v>284</v>
      </c>
      <c r="E423" s="229" t="str">
        <f>HLOOKUP(Deckblatt!$C$12,Language!$C$1:$D$730,513,FALSE)</f>
        <v>Wegweisungssysteme</v>
      </c>
      <c r="F423" s="363"/>
      <c r="G423" s="356"/>
      <c r="H423" s="21">
        <v>10</v>
      </c>
      <c r="I423" s="379"/>
      <c r="J423" s="340"/>
      <c r="K423" s="341"/>
      <c r="L423" s="341"/>
      <c r="M423" s="341"/>
      <c r="N423" s="342"/>
      <c r="P423" s="18">
        <f t="shared" si="8"/>
        <v>0</v>
      </c>
      <c r="Q423" s="338"/>
      <c r="R423" s="344"/>
      <c r="S423" s="474"/>
      <c r="T423" s="344"/>
      <c r="U423" s="475"/>
    </row>
    <row r="424" spans="2:21" ht="52.95" customHeight="1" x14ac:dyDescent="0.25">
      <c r="B424" s="375"/>
      <c r="C424" s="351"/>
      <c r="D424" s="361"/>
      <c r="E424" s="134" t="str">
        <f>HLOOKUP(Deckblatt!$C$12,Language!$C$1:$D$730,514,FALSE)</f>
        <v xml:space="preserve">Flächendeckende Beschilderung (Ziele, Entfernungen, ggf. Gehminuten) ist vorhanden, die wichtigsten Ziele sind ausgeschildert.≤ 30 Minuten
</v>
      </c>
      <c r="F424" s="363"/>
      <c r="G424" s="69"/>
      <c r="H424" s="18">
        <v>5</v>
      </c>
      <c r="I424" s="379"/>
      <c r="J424" s="340"/>
      <c r="K424" s="341"/>
      <c r="L424" s="341"/>
      <c r="M424" s="341"/>
      <c r="N424" s="342"/>
      <c r="P424" s="18">
        <f t="shared" si="8"/>
        <v>0</v>
      </c>
      <c r="Q424" s="338"/>
      <c r="R424" s="344"/>
      <c r="S424" s="474"/>
      <c r="T424" s="344"/>
      <c r="U424" s="475"/>
    </row>
    <row r="425" spans="2:21" ht="40.200000000000003" thickBot="1" x14ac:dyDescent="0.3">
      <c r="B425" s="377"/>
      <c r="C425" s="351"/>
      <c r="D425" s="361"/>
      <c r="E425" s="134" t="str">
        <f>HLOOKUP(Deckblatt!$C$12,Language!$C$1:$D$730,515,FALSE)</f>
        <v xml:space="preserve">Flächendeckende Orientierungspläne (z. B. an zentralen Einrichtungen, Plätzen etc.) unterstützen die Orientierung und erhöhen die Sicherheit.
</v>
      </c>
      <c r="F425" s="378"/>
      <c r="G425" s="70"/>
      <c r="H425" s="59">
        <v>5</v>
      </c>
      <c r="I425" s="380"/>
      <c r="J425" s="340"/>
      <c r="K425" s="341"/>
      <c r="L425" s="341"/>
      <c r="M425" s="341"/>
      <c r="N425" s="342"/>
      <c r="P425" s="18">
        <f t="shared" si="8"/>
        <v>0</v>
      </c>
      <c r="Q425" s="339"/>
      <c r="R425" s="365"/>
      <c r="S425" s="474"/>
      <c r="T425" s="365"/>
      <c r="U425" s="475"/>
    </row>
    <row r="426" spans="2:21" x14ac:dyDescent="0.25">
      <c r="B426" s="49" t="s">
        <v>474</v>
      </c>
      <c r="C426" s="354" t="str">
        <f>HLOOKUP(Deckblatt!$C$12,Language!$C$1:$D$730,516,FALSE)</f>
        <v>Integrale Planung</v>
      </c>
      <c r="D426" s="354"/>
      <c r="E426" s="355"/>
      <c r="F426" s="62">
        <f>Q426</f>
        <v>0</v>
      </c>
      <c r="G426" s="391"/>
      <c r="H426" s="51">
        <v>100</v>
      </c>
      <c r="I426" s="178">
        <v>3</v>
      </c>
      <c r="J426" s="340"/>
      <c r="K426" s="341"/>
      <c r="L426" s="341"/>
      <c r="M426" s="341"/>
      <c r="N426" s="342"/>
      <c r="P426" s="18">
        <f t="shared" si="8"/>
        <v>0</v>
      </c>
      <c r="Q426" s="337">
        <f>SUM(P429:P445)</f>
        <v>0</v>
      </c>
      <c r="R426" s="343">
        <f>Q426/100</f>
        <v>0</v>
      </c>
      <c r="S426" s="474">
        <v>0.2</v>
      </c>
      <c r="T426" s="343">
        <f>IF((R426*I426+R446*I446+R473*I473+R496*I496+R509*I509+R524*I524)/(I426+I446+I473+I496+I509+I524)&gt;1,1,(R426*I426+R446*I446+R473*I473+R496*I496+R509*I509+R524*I524)/(I426+I446+I473+I496+I509+I524))</f>
        <v>0</v>
      </c>
      <c r="U426" s="475"/>
    </row>
    <row r="427" spans="2:21" ht="13.2" customHeight="1" x14ac:dyDescent="0.25">
      <c r="B427" s="375"/>
      <c r="C427" s="351" t="s">
        <v>54</v>
      </c>
      <c r="D427" s="352" t="str">
        <f>HLOOKUP(Deckblatt!$C$12,Language!$C$1:$D$730,517,FALSE)</f>
        <v>Integrales Planungsteam</v>
      </c>
      <c r="E427" s="353"/>
      <c r="F427" s="363"/>
      <c r="G427" s="364"/>
      <c r="H427" s="21">
        <v>36</v>
      </c>
      <c r="I427" s="379"/>
      <c r="J427" s="340"/>
      <c r="K427" s="341"/>
      <c r="L427" s="341"/>
      <c r="M427" s="341"/>
      <c r="N427" s="342"/>
      <c r="P427" s="18">
        <f t="shared" si="8"/>
        <v>0</v>
      </c>
      <c r="Q427" s="338"/>
      <c r="R427" s="344"/>
      <c r="S427" s="474"/>
      <c r="T427" s="344"/>
      <c r="U427" s="475"/>
    </row>
    <row r="428" spans="2:21" x14ac:dyDescent="0.25">
      <c r="B428" s="375"/>
      <c r="C428" s="351"/>
      <c r="D428" s="361" t="s">
        <v>58</v>
      </c>
      <c r="E428" s="229" t="str">
        <f>HLOOKUP(Deckblatt!$C$12,Language!$C$1:$D$730,518,FALSE)</f>
        <v>Kernplanungsteam</v>
      </c>
      <c r="F428" s="363"/>
      <c r="G428" s="364"/>
      <c r="H428" s="21">
        <v>36</v>
      </c>
      <c r="I428" s="379"/>
      <c r="J428" s="340"/>
      <c r="K428" s="341"/>
      <c r="L428" s="341"/>
      <c r="M428" s="341"/>
      <c r="N428" s="342"/>
      <c r="P428" s="18">
        <f t="shared" si="8"/>
        <v>0</v>
      </c>
      <c r="Q428" s="338"/>
      <c r="R428" s="344"/>
      <c r="S428" s="474"/>
      <c r="T428" s="344"/>
      <c r="U428" s="475"/>
    </row>
    <row r="429" spans="2:21" ht="26.4" x14ac:dyDescent="0.25">
      <c r="B429" s="375"/>
      <c r="C429" s="351"/>
      <c r="D429" s="361"/>
      <c r="E429" s="134" t="str">
        <f>HLOOKUP(Deckblatt!$C$12,Language!$C$1:$D$730,519,FALSE)</f>
        <v xml:space="preserve">Für jede Disziplin des Kern- Planungsteams (max. 4 Disziplinen / max. 24 PUNKTE) </v>
      </c>
      <c r="F429" s="363"/>
      <c r="G429" s="69"/>
      <c r="H429" s="18">
        <v>24</v>
      </c>
      <c r="I429" s="379"/>
      <c r="J429" s="340"/>
      <c r="K429" s="341"/>
      <c r="L429" s="341"/>
      <c r="M429" s="341"/>
      <c r="N429" s="342"/>
      <c r="P429" s="18">
        <f t="shared" si="8"/>
        <v>0</v>
      </c>
      <c r="Q429" s="338"/>
      <c r="R429" s="344"/>
      <c r="S429" s="474"/>
      <c r="T429" s="344"/>
      <c r="U429" s="475"/>
    </row>
    <row r="430" spans="2:21" ht="39.6" x14ac:dyDescent="0.25">
      <c r="B430" s="375"/>
      <c r="C430" s="351"/>
      <c r="D430" s="361"/>
      <c r="E430" s="134" t="str">
        <f>HLOOKUP(Deckblatt!$C$12,Language!$C$1:$D$730,520,FALSE)</f>
        <v xml:space="preserve">Für jede Disziplin der zusätzlich wünschenswerten Disziplinen (max. 4 Disziplinen / max. 12 PUNKTE) 
</v>
      </c>
      <c r="F430" s="363"/>
      <c r="G430" s="69"/>
      <c r="H430" s="18">
        <v>12</v>
      </c>
      <c r="I430" s="379"/>
      <c r="J430" s="340"/>
      <c r="K430" s="341"/>
      <c r="L430" s="341"/>
      <c r="M430" s="341"/>
      <c r="N430" s="342"/>
      <c r="P430" s="18">
        <f t="shared" si="8"/>
        <v>0</v>
      </c>
      <c r="Q430" s="338"/>
      <c r="R430" s="344"/>
      <c r="S430" s="474"/>
      <c r="T430" s="344"/>
      <c r="U430" s="475"/>
    </row>
    <row r="431" spans="2:21" ht="13.2" customHeight="1" x14ac:dyDescent="0.25">
      <c r="B431" s="375"/>
      <c r="C431" s="351" t="s">
        <v>61</v>
      </c>
      <c r="D431" s="352" t="str">
        <f>HLOOKUP(Deckblatt!$C$12,Language!$C$1:$D$730,521,FALSE)</f>
        <v>Integraler Planungsprozess</v>
      </c>
      <c r="E431" s="353"/>
      <c r="F431" s="363"/>
      <c r="G431" s="113"/>
      <c r="H431" s="21">
        <v>34</v>
      </c>
      <c r="I431" s="379"/>
      <c r="J431" s="340"/>
      <c r="K431" s="341"/>
      <c r="L431" s="341"/>
      <c r="M431" s="341"/>
      <c r="N431" s="342"/>
      <c r="P431" s="18">
        <f t="shared" si="8"/>
        <v>0</v>
      </c>
      <c r="Q431" s="338"/>
      <c r="R431" s="344"/>
      <c r="S431" s="474"/>
      <c r="T431" s="344"/>
      <c r="U431" s="475"/>
    </row>
    <row r="432" spans="2:21" ht="39.6" x14ac:dyDescent="0.25">
      <c r="B432" s="375"/>
      <c r="C432" s="351"/>
      <c r="D432" s="71" t="s">
        <v>63</v>
      </c>
      <c r="E432" s="229" t="str">
        <f>HLOOKUP(Deckblatt!$C$12,Language!$C$1:$D$730,522,FALSE)</f>
        <v xml:space="preserve">Zeitpunkt der Integration von DGNB Zertifizierungskriterien in den Planungsprozess
</v>
      </c>
      <c r="F432" s="363"/>
      <c r="G432" s="69"/>
      <c r="H432" s="18">
        <v>14</v>
      </c>
      <c r="I432" s="379"/>
      <c r="J432" s="340"/>
      <c r="K432" s="341"/>
      <c r="L432" s="341"/>
      <c r="M432" s="341"/>
      <c r="N432" s="342"/>
      <c r="P432" s="18">
        <f t="shared" si="8"/>
        <v>0</v>
      </c>
      <c r="Q432" s="338"/>
      <c r="R432" s="344"/>
      <c r="S432" s="474"/>
      <c r="T432" s="344"/>
      <c r="U432" s="475"/>
    </row>
    <row r="433" spans="2:21" ht="26.4" x14ac:dyDescent="0.25">
      <c r="B433" s="375"/>
      <c r="C433" s="351"/>
      <c r="D433" s="71" t="s">
        <v>186</v>
      </c>
      <c r="E433" s="229" t="str">
        <f>HLOOKUP(Deckblatt!$C$12,Language!$C$1:$D$730,523,FALSE)</f>
        <v xml:space="preserve">Zusammenarbeit des Planungsteam
</v>
      </c>
      <c r="F433" s="363"/>
      <c r="G433" s="69"/>
      <c r="H433" s="18">
        <v>11</v>
      </c>
      <c r="I433" s="379"/>
      <c r="J433" s="340"/>
      <c r="K433" s="341"/>
      <c r="L433" s="341"/>
      <c r="M433" s="341"/>
      <c r="N433" s="342"/>
      <c r="P433" s="18">
        <f t="shared" si="8"/>
        <v>0</v>
      </c>
      <c r="Q433" s="338"/>
      <c r="R433" s="344"/>
      <c r="S433" s="474"/>
      <c r="T433" s="344"/>
      <c r="U433" s="475"/>
    </row>
    <row r="434" spans="2:21" x14ac:dyDescent="0.25">
      <c r="B434" s="375"/>
      <c r="C434" s="351"/>
      <c r="D434" s="361" t="s">
        <v>255</v>
      </c>
      <c r="E434" s="229" t="str">
        <f>HLOOKUP(Deckblatt!$C$12,Language!$C$1:$D$730,524,FALSE)</f>
        <v>Bausteine des integralen Planungsprozesses</v>
      </c>
      <c r="F434" s="363"/>
      <c r="G434" s="113"/>
      <c r="H434" s="21">
        <v>9</v>
      </c>
      <c r="I434" s="379"/>
      <c r="J434" s="340"/>
      <c r="K434" s="341"/>
      <c r="L434" s="341"/>
      <c r="M434" s="341"/>
      <c r="N434" s="342"/>
      <c r="P434" s="18">
        <f t="shared" si="8"/>
        <v>0</v>
      </c>
      <c r="Q434" s="338"/>
      <c r="R434" s="344"/>
      <c r="S434" s="474"/>
      <c r="T434" s="344"/>
      <c r="U434" s="475"/>
    </row>
    <row r="435" spans="2:21" ht="66" x14ac:dyDescent="0.25">
      <c r="B435" s="375"/>
      <c r="C435" s="351"/>
      <c r="D435" s="361"/>
      <c r="E435"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5" s="363"/>
      <c r="G435" s="69"/>
      <c r="H435" s="18">
        <v>3</v>
      </c>
      <c r="I435" s="379"/>
      <c r="J435" s="340"/>
      <c r="K435" s="341"/>
      <c r="L435" s="341"/>
      <c r="M435" s="341"/>
      <c r="N435" s="342"/>
      <c r="P435" s="18">
        <f t="shared" si="8"/>
        <v>0</v>
      </c>
      <c r="Q435" s="338"/>
      <c r="R435" s="344"/>
      <c r="S435" s="474"/>
      <c r="T435" s="344"/>
      <c r="U435" s="475"/>
    </row>
    <row r="436" spans="2:21" ht="66" customHeight="1" x14ac:dyDescent="0.25">
      <c r="B436" s="375"/>
      <c r="C436" s="351"/>
      <c r="D436" s="361"/>
      <c r="E436"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6" s="363"/>
      <c r="G436" s="69"/>
      <c r="H436" s="18">
        <v>3</v>
      </c>
      <c r="I436" s="379"/>
      <c r="J436" s="340"/>
      <c r="K436" s="341"/>
      <c r="L436" s="341"/>
      <c r="M436" s="341"/>
      <c r="N436" s="342"/>
      <c r="P436" s="18">
        <f t="shared" si="8"/>
        <v>0</v>
      </c>
      <c r="Q436" s="338"/>
      <c r="R436" s="344"/>
      <c r="S436" s="474"/>
      <c r="T436" s="344"/>
      <c r="U436" s="475"/>
    </row>
    <row r="437" spans="2:21" ht="39.6" x14ac:dyDescent="0.25">
      <c r="B437" s="375"/>
      <c r="C437" s="351"/>
      <c r="D437" s="361"/>
      <c r="E437" s="134" t="str">
        <f>HLOOKUP(Deckblatt!$C$12,Language!$C$1:$D$730,527,FALSE)</f>
        <v xml:space="preserve">3-D-Datenmodell: Zusammenarbeit des Planungsteams mit einem 3-D-Datenmodell (GIS, CIM, BIM)
</v>
      </c>
      <c r="F437" s="363"/>
      <c r="G437" s="69"/>
      <c r="H437" s="18">
        <v>3</v>
      </c>
      <c r="I437" s="379"/>
      <c r="J437" s="340"/>
      <c r="K437" s="341"/>
      <c r="L437" s="341"/>
      <c r="M437" s="341"/>
      <c r="N437" s="342"/>
      <c r="P437" s="18">
        <f t="shared" si="8"/>
        <v>0</v>
      </c>
      <c r="Q437" s="338"/>
      <c r="R437" s="344"/>
      <c r="S437" s="474"/>
      <c r="T437" s="344"/>
      <c r="U437" s="475"/>
    </row>
    <row r="438" spans="2:21" ht="13.2" customHeight="1" x14ac:dyDescent="0.25">
      <c r="B438" s="375"/>
      <c r="C438" s="351" t="s">
        <v>64</v>
      </c>
      <c r="D438" s="352" t="str">
        <f>HLOOKUP(Deckblatt!$C$12,Language!$C$1:$D$730,528,FALSE)</f>
        <v>Planungsszenarien und -varianten</v>
      </c>
      <c r="E438" s="353"/>
      <c r="F438" s="363"/>
      <c r="G438" s="113"/>
      <c r="H438" s="21">
        <v>30</v>
      </c>
      <c r="I438" s="379"/>
      <c r="J438" s="340"/>
      <c r="K438" s="341"/>
      <c r="L438" s="341"/>
      <c r="M438" s="341"/>
      <c r="N438" s="342"/>
      <c r="P438" s="18">
        <f t="shared" si="8"/>
        <v>0</v>
      </c>
      <c r="Q438" s="338"/>
      <c r="R438" s="344"/>
      <c r="S438" s="474"/>
      <c r="T438" s="344"/>
      <c r="U438" s="475"/>
    </row>
    <row r="439" spans="2:21" ht="26.4" x14ac:dyDescent="0.25">
      <c r="B439" s="375"/>
      <c r="C439" s="351"/>
      <c r="D439" s="71" t="s">
        <v>66</v>
      </c>
      <c r="E439" s="229" t="str">
        <f>HLOOKUP(Deckblatt!$C$12,Language!$C$1:$D$730,529,FALSE)</f>
        <v xml:space="preserve">Planungsszenarien
</v>
      </c>
      <c r="F439" s="363"/>
      <c r="G439" s="69"/>
      <c r="H439" s="18">
        <v>6</v>
      </c>
      <c r="I439" s="379"/>
      <c r="J439" s="340"/>
      <c r="K439" s="341"/>
      <c r="L439" s="341"/>
      <c r="M439" s="341"/>
      <c r="N439" s="342"/>
      <c r="P439" s="18">
        <f t="shared" si="8"/>
        <v>0</v>
      </c>
      <c r="Q439" s="338"/>
      <c r="R439" s="344"/>
      <c r="S439" s="474"/>
      <c r="T439" s="344"/>
      <c r="U439" s="475"/>
    </row>
    <row r="440" spans="2:21" ht="26.4" x14ac:dyDescent="0.25">
      <c r="B440" s="375"/>
      <c r="C440" s="351"/>
      <c r="D440" s="71" t="s">
        <v>188</v>
      </c>
      <c r="E440" s="229" t="str">
        <f>HLOOKUP(Deckblatt!$C$12,Language!$C$1:$D$730,530,FALSE)</f>
        <v xml:space="preserve">Planungsvarianten 
</v>
      </c>
      <c r="F440" s="363"/>
      <c r="G440" s="69"/>
      <c r="H440" s="18">
        <v>6</v>
      </c>
      <c r="I440" s="379"/>
      <c r="J440" s="340"/>
      <c r="K440" s="341"/>
      <c r="L440" s="341"/>
      <c r="M440" s="341"/>
      <c r="N440" s="342"/>
      <c r="P440" s="18">
        <f t="shared" si="8"/>
        <v>0</v>
      </c>
      <c r="Q440" s="338"/>
      <c r="R440" s="344"/>
      <c r="S440" s="474"/>
      <c r="T440" s="344"/>
      <c r="U440" s="475"/>
    </row>
    <row r="441" spans="2:21" x14ac:dyDescent="0.25">
      <c r="B441" s="375"/>
      <c r="C441" s="351"/>
      <c r="D441" s="361" t="s">
        <v>150</v>
      </c>
      <c r="E441" s="229" t="str">
        <f>HLOOKUP(Deckblatt!$C$12,Language!$C$1:$D$730,531,FALSE)</f>
        <v>Verfahren zur gestalterischen und funktionalen Konzeptfindung</v>
      </c>
      <c r="F441" s="363"/>
      <c r="G441" s="113"/>
      <c r="H441" s="21">
        <v>18</v>
      </c>
      <c r="I441" s="379"/>
      <c r="J441" s="340"/>
      <c r="K441" s="341"/>
      <c r="L441" s="341"/>
      <c r="M441" s="341"/>
      <c r="N441" s="342"/>
      <c r="P441" s="18">
        <f t="shared" si="8"/>
        <v>0</v>
      </c>
      <c r="Q441" s="338"/>
      <c r="R441" s="344"/>
      <c r="S441" s="474"/>
      <c r="T441" s="344"/>
      <c r="U441" s="475"/>
    </row>
    <row r="442" spans="2:21" ht="39.6" x14ac:dyDescent="0.25">
      <c r="B442" s="375"/>
      <c r="C442" s="351"/>
      <c r="D442" s="361"/>
      <c r="E442" s="134" t="str">
        <f>HLOOKUP(Deckblatt!$C$12,Language!$C$1:$D$730,533,FALSE)</f>
        <v xml:space="preserve">Verfahren zur Konzeptfindung: Es wurden konkurrierende und/oder kooperative Verfahren für den städtebaulichen Entwurf durchgeführt 
</v>
      </c>
      <c r="F442" s="363"/>
      <c r="G442" s="69"/>
      <c r="H442" s="18">
        <v>9</v>
      </c>
      <c r="I442" s="379"/>
      <c r="J442" s="340"/>
      <c r="K442" s="341"/>
      <c r="L442" s="341"/>
      <c r="M442" s="341"/>
      <c r="N442" s="342"/>
      <c r="P442" s="18">
        <f t="shared" si="8"/>
        <v>0</v>
      </c>
      <c r="Q442" s="338"/>
      <c r="R442" s="344"/>
      <c r="S442" s="474"/>
      <c r="T442" s="344"/>
      <c r="U442" s="475"/>
    </row>
    <row r="443" spans="2:21" ht="66" customHeight="1" x14ac:dyDescent="0.25">
      <c r="B443" s="375"/>
      <c r="C443" s="351"/>
      <c r="D443" s="361"/>
      <c r="E443" s="134" t="str">
        <f>HLOOKUP(Deckblatt!$C$12,Language!$C$1:$D$730,534,FALSE)</f>
        <v xml:space="preserve">Beteiligung von Nutzern, Anliegern oder Interessenvertretern: An der Entscheidungsfindung wurden Repräsentanten der Nutzer, Anlieger oder Interessenvertreter beteiligt
</v>
      </c>
      <c r="F443" s="363"/>
      <c r="G443" s="69"/>
      <c r="H443" s="18">
        <v>3</v>
      </c>
      <c r="I443" s="379"/>
      <c r="J443" s="340"/>
      <c r="K443" s="341"/>
      <c r="L443" s="341"/>
      <c r="M443" s="341"/>
      <c r="N443" s="342"/>
      <c r="P443" s="18">
        <f t="shared" si="8"/>
        <v>0</v>
      </c>
      <c r="Q443" s="338"/>
      <c r="R443" s="344"/>
      <c r="S443" s="474"/>
      <c r="T443" s="344"/>
      <c r="U443" s="475"/>
    </row>
    <row r="444" spans="2:21" ht="66" customHeight="1" x14ac:dyDescent="0.25">
      <c r="B444" s="375"/>
      <c r="C444" s="351"/>
      <c r="D444" s="361"/>
      <c r="E444" s="134" t="str">
        <f>HLOOKUP(Deckblatt!$C$12,Language!$C$1:$D$730,535,FALSE)</f>
        <v xml:space="preserve">Vorprüfung nach DGNB-Kriterien: Die Vorprüfung des städtebaulichen und landschaftsplanerischen Wettbewerbs erfolgt nach DGNB-Kriterien
</v>
      </c>
      <c r="F444" s="363"/>
      <c r="G444" s="69"/>
      <c r="H444" s="18">
        <v>3</v>
      </c>
      <c r="I444" s="379"/>
      <c r="J444" s="340"/>
      <c r="K444" s="341"/>
      <c r="L444" s="341"/>
      <c r="M444" s="341"/>
      <c r="N444" s="342"/>
      <c r="P444" s="18">
        <f t="shared" si="8"/>
        <v>0</v>
      </c>
      <c r="Q444" s="338"/>
      <c r="R444" s="344"/>
      <c r="S444" s="474"/>
      <c r="T444" s="344"/>
      <c r="U444" s="475"/>
    </row>
    <row r="445" spans="2:21" ht="79.2" x14ac:dyDescent="0.25">
      <c r="B445" s="375"/>
      <c r="C445" s="351"/>
      <c r="D445" s="361"/>
      <c r="E445"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5" s="363"/>
      <c r="G445" s="69"/>
      <c r="H445" s="18">
        <v>3</v>
      </c>
      <c r="I445" s="379"/>
      <c r="J445" s="340"/>
      <c r="K445" s="341"/>
      <c r="L445" s="341"/>
      <c r="M445" s="341"/>
      <c r="N445" s="342"/>
      <c r="P445" s="18">
        <f t="shared" si="8"/>
        <v>0</v>
      </c>
      <c r="Q445" s="339"/>
      <c r="R445" s="365"/>
      <c r="S445" s="474"/>
      <c r="T445" s="344"/>
      <c r="U445" s="475"/>
    </row>
    <row r="446" spans="2:21" x14ac:dyDescent="0.25">
      <c r="B446" s="55" t="s">
        <v>495</v>
      </c>
      <c r="C446" s="354" t="str">
        <f>HLOOKUP(Deckblatt!$C$12,Language!$C$1:$D$730,538,FALSE)</f>
        <v>Partizipation</v>
      </c>
      <c r="D446" s="354"/>
      <c r="E446" s="355"/>
      <c r="F446" s="66">
        <f>Q446</f>
        <v>0</v>
      </c>
      <c r="G446" s="364"/>
      <c r="H446" s="21">
        <v>100</v>
      </c>
      <c r="I446" s="176">
        <v>2</v>
      </c>
      <c r="J446" s="340"/>
      <c r="K446" s="341"/>
      <c r="L446" s="341"/>
      <c r="M446" s="341"/>
      <c r="N446" s="342"/>
      <c r="P446" s="18">
        <f t="shared" si="8"/>
        <v>0</v>
      </c>
      <c r="Q446" s="337">
        <f>SUM(MAX(P448:P451),MAX(P453:P456),MAX(P458:P461),MAX(P463:P466),P468:P470,P472)</f>
        <v>0</v>
      </c>
      <c r="R446" s="343">
        <f>Q446/100</f>
        <v>0</v>
      </c>
      <c r="S446" s="474"/>
      <c r="T446" s="344"/>
      <c r="U446" s="475"/>
    </row>
    <row r="447" spans="2:21" ht="80.099999999999994" customHeight="1" x14ac:dyDescent="0.25">
      <c r="B447" s="375"/>
      <c r="C447" s="351" t="s">
        <v>54</v>
      </c>
      <c r="D447" s="367"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7" s="368"/>
      <c r="F447" s="363"/>
      <c r="G447" s="364"/>
      <c r="H447" s="21">
        <v>10</v>
      </c>
      <c r="I447" s="379"/>
      <c r="J447" s="340"/>
      <c r="K447" s="341"/>
      <c r="L447" s="341"/>
      <c r="M447" s="341"/>
      <c r="N447" s="342"/>
      <c r="P447" s="18">
        <f t="shared" si="8"/>
        <v>0</v>
      </c>
      <c r="Q447" s="338"/>
      <c r="R447" s="344"/>
      <c r="S447" s="474"/>
      <c r="T447" s="344"/>
      <c r="U447" s="475"/>
    </row>
    <row r="448" spans="2:21" ht="132" customHeight="1" x14ac:dyDescent="0.25">
      <c r="B448" s="375"/>
      <c r="C448" s="351"/>
      <c r="D448" s="71" t="s">
        <v>58</v>
      </c>
      <c r="E448" s="134" t="str">
        <f>HLOOKUP(Deckblatt!$C$12,Language!$C$1:$D$730,540,FALSE)</f>
        <v xml:space="preserve">Information
</v>
      </c>
      <c r="F448" s="363"/>
      <c r="G448" s="69"/>
      <c r="H448" s="18">
        <v>2</v>
      </c>
      <c r="I448" s="379"/>
      <c r="J448" s="340"/>
      <c r="K448" s="341"/>
      <c r="L448" s="341"/>
      <c r="M448" s="341"/>
      <c r="N448" s="342"/>
      <c r="P448" s="18">
        <f t="shared" si="8"/>
        <v>0</v>
      </c>
      <c r="Q448" s="338"/>
      <c r="R448" s="344"/>
      <c r="S448" s="474"/>
      <c r="T448" s="344"/>
      <c r="U448" s="475"/>
    </row>
    <row r="449" spans="2:21" ht="39.6" x14ac:dyDescent="0.25">
      <c r="B449" s="375"/>
      <c r="C449" s="351"/>
      <c r="D449" s="71" t="s">
        <v>181</v>
      </c>
      <c r="E449" s="134" t="str">
        <f>HLOOKUP(Deckblatt!$C$12,Language!$C$1:$D$730,541,FALSE)</f>
        <v xml:space="preserve">Konsultative Nutzerbeteiligung / Beratung
</v>
      </c>
      <c r="F449" s="363"/>
      <c r="G449" s="69"/>
      <c r="H449" s="18">
        <v>5</v>
      </c>
      <c r="I449" s="379"/>
      <c r="J449" s="340"/>
      <c r="K449" s="341"/>
      <c r="L449" s="341"/>
      <c r="M449" s="341"/>
      <c r="N449" s="342"/>
      <c r="P449" s="18">
        <f t="shared" si="8"/>
        <v>0</v>
      </c>
      <c r="Q449" s="338"/>
      <c r="R449" s="344"/>
      <c r="S449" s="474"/>
      <c r="T449" s="344"/>
      <c r="U449" s="475"/>
    </row>
    <row r="450" spans="2:21" ht="26.4" x14ac:dyDescent="0.25">
      <c r="B450" s="375"/>
      <c r="C450" s="351"/>
      <c r="D450" s="71" t="s">
        <v>246</v>
      </c>
      <c r="E450" s="134" t="str">
        <f>HLOOKUP(Deckblatt!$C$12,Language!$C$1:$D$730,542,FALSE)</f>
        <v xml:space="preserve">Mitbestimmung
</v>
      </c>
      <c r="F450" s="363"/>
      <c r="G450" s="69"/>
      <c r="H450" s="18">
        <v>7</v>
      </c>
      <c r="I450" s="379"/>
      <c r="J450" s="340"/>
      <c r="K450" s="341"/>
      <c r="L450" s="341"/>
      <c r="M450" s="341"/>
      <c r="N450" s="342"/>
      <c r="P450" s="18">
        <f t="shared" si="8"/>
        <v>0</v>
      </c>
      <c r="Q450" s="338"/>
      <c r="R450" s="344"/>
      <c r="S450" s="474"/>
      <c r="T450" s="344"/>
      <c r="U450" s="475"/>
    </row>
    <row r="451" spans="2:21" ht="132" customHeight="1" x14ac:dyDescent="0.25">
      <c r="B451" s="375"/>
      <c r="C451" s="351"/>
      <c r="D451" s="71" t="s">
        <v>250</v>
      </c>
      <c r="E451" s="134" t="str">
        <f>HLOOKUP(Deckblatt!$C$12,Language!$C$1:$D$730,543,FALSE)</f>
        <v xml:space="preserve">Konzeptuelle Integration
</v>
      </c>
      <c r="F451" s="363"/>
      <c r="G451" s="69"/>
      <c r="H451" s="18">
        <v>10</v>
      </c>
      <c r="I451" s="379"/>
      <c r="J451" s="340"/>
      <c r="K451" s="341"/>
      <c r="L451" s="341"/>
      <c r="M451" s="341"/>
      <c r="N451" s="342"/>
      <c r="P451" s="18">
        <f t="shared" si="8"/>
        <v>0</v>
      </c>
      <c r="Q451" s="338"/>
      <c r="R451" s="344"/>
      <c r="S451" s="474"/>
      <c r="T451" s="344"/>
      <c r="U451" s="475"/>
    </row>
    <row r="452" spans="2:21" ht="80.099999999999994" customHeight="1" x14ac:dyDescent="0.25">
      <c r="B452" s="375"/>
      <c r="C452" s="351" t="s">
        <v>61</v>
      </c>
      <c r="D452" s="367"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2" s="368"/>
      <c r="F452" s="363"/>
      <c r="G452" s="113"/>
      <c r="H452" s="21">
        <v>10</v>
      </c>
      <c r="I452" s="379"/>
      <c r="J452" s="340"/>
      <c r="K452" s="341"/>
      <c r="L452" s="341"/>
      <c r="M452" s="341"/>
      <c r="N452" s="342"/>
      <c r="P452" s="18">
        <f t="shared" si="8"/>
        <v>0</v>
      </c>
      <c r="Q452" s="338"/>
      <c r="R452" s="344"/>
      <c r="S452" s="474"/>
      <c r="T452" s="344"/>
      <c r="U452" s="475"/>
    </row>
    <row r="453" spans="2:21" ht="26.4" x14ac:dyDescent="0.25">
      <c r="B453" s="375"/>
      <c r="C453" s="351"/>
      <c r="D453" s="71" t="s">
        <v>63</v>
      </c>
      <c r="E453" s="134" t="str">
        <f>HLOOKUP(Deckblatt!$C$12,Language!$C$1:$D$730,545,FALSE)</f>
        <v xml:space="preserve">Information
</v>
      </c>
      <c r="F453" s="363"/>
      <c r="G453" s="69"/>
      <c r="H453" s="18">
        <v>2</v>
      </c>
      <c r="I453" s="379"/>
      <c r="J453" s="340"/>
      <c r="K453" s="341"/>
      <c r="L453" s="341"/>
      <c r="M453" s="341"/>
      <c r="N453" s="342"/>
      <c r="P453" s="18">
        <f t="shared" si="8"/>
        <v>0</v>
      </c>
      <c r="Q453" s="338"/>
      <c r="R453" s="344"/>
      <c r="S453" s="474"/>
      <c r="T453" s="344"/>
      <c r="U453" s="475"/>
    </row>
    <row r="454" spans="2:21" ht="39.6" x14ac:dyDescent="0.25">
      <c r="B454" s="375"/>
      <c r="C454" s="351"/>
      <c r="D454" s="71" t="s">
        <v>186</v>
      </c>
      <c r="E454" s="134" t="str">
        <f>HLOOKUP(Deckblatt!$C$12,Language!$C$1:$D$730,546,FALSE)</f>
        <v xml:space="preserve">Konsultative Nutzerbeteiligung
</v>
      </c>
      <c r="F454" s="363"/>
      <c r="G454" s="69"/>
      <c r="H454" s="18">
        <v>5</v>
      </c>
      <c r="I454" s="379"/>
      <c r="J454" s="340"/>
      <c r="K454" s="341"/>
      <c r="L454" s="341"/>
      <c r="M454" s="341"/>
      <c r="N454" s="342"/>
      <c r="P454" s="18">
        <f t="shared" si="8"/>
        <v>0</v>
      </c>
      <c r="Q454" s="338"/>
      <c r="R454" s="344"/>
      <c r="S454" s="474"/>
      <c r="T454" s="344"/>
      <c r="U454" s="475"/>
    </row>
    <row r="455" spans="2:21" ht="39.6" x14ac:dyDescent="0.25">
      <c r="B455" s="375"/>
      <c r="C455" s="351"/>
      <c r="D455" s="71" t="s">
        <v>255</v>
      </c>
      <c r="E455" s="134" t="str">
        <f>HLOOKUP(Deckblatt!$C$12,Language!$C$1:$D$730,547,FALSE)</f>
        <v xml:space="preserve">Mitbestimmung
</v>
      </c>
      <c r="F455" s="363"/>
      <c r="G455" s="69"/>
      <c r="H455" s="18">
        <v>7</v>
      </c>
      <c r="I455" s="379"/>
      <c r="J455" s="340"/>
      <c r="K455" s="341"/>
      <c r="L455" s="341"/>
      <c r="M455" s="341"/>
      <c r="N455" s="342"/>
      <c r="P455" s="18">
        <f t="shared" si="8"/>
        <v>0</v>
      </c>
      <c r="Q455" s="338"/>
      <c r="R455" s="344"/>
      <c r="S455" s="474"/>
      <c r="T455" s="344"/>
      <c r="U455" s="475"/>
    </row>
    <row r="456" spans="2:21" ht="39.6" x14ac:dyDescent="0.25">
      <c r="B456" s="375"/>
      <c r="C456" s="351"/>
      <c r="D456" s="71" t="s">
        <v>256</v>
      </c>
      <c r="E456" s="134" t="str">
        <f>HLOOKUP(Deckblatt!$C$12,Language!$C$1:$D$730,548,FALSE)</f>
        <v xml:space="preserve">Konzeptuelle Integration
</v>
      </c>
      <c r="F456" s="363"/>
      <c r="G456" s="69"/>
      <c r="H456" s="18">
        <v>10</v>
      </c>
      <c r="I456" s="379"/>
      <c r="J456" s="340"/>
      <c r="K456" s="341"/>
      <c r="L456" s="341"/>
      <c r="M456" s="341"/>
      <c r="N456" s="342"/>
      <c r="P456" s="18">
        <f t="shared" si="8"/>
        <v>0</v>
      </c>
      <c r="Q456" s="338"/>
      <c r="R456" s="344"/>
      <c r="S456" s="474"/>
      <c r="T456" s="344"/>
      <c r="U456" s="475"/>
    </row>
    <row r="457" spans="2:21" ht="80.099999999999994" customHeight="1" x14ac:dyDescent="0.25">
      <c r="B457" s="375"/>
      <c r="C457" s="351" t="s">
        <v>64</v>
      </c>
      <c r="D457" s="367"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7" s="368"/>
      <c r="F457" s="363"/>
      <c r="G457" s="113"/>
      <c r="H457" s="21">
        <v>10</v>
      </c>
      <c r="I457" s="379"/>
      <c r="J457" s="340"/>
      <c r="K457" s="341"/>
      <c r="L457" s="341"/>
      <c r="M457" s="341"/>
      <c r="N457" s="342"/>
      <c r="P457" s="18">
        <f t="shared" si="8"/>
        <v>0</v>
      </c>
      <c r="Q457" s="338"/>
      <c r="R457" s="344"/>
      <c r="S457" s="474"/>
      <c r="T457" s="344"/>
      <c r="U457" s="475"/>
    </row>
    <row r="458" spans="2:21" ht="39.6" x14ac:dyDescent="0.25">
      <c r="B458" s="375"/>
      <c r="C458" s="351"/>
      <c r="D458" s="71" t="s">
        <v>66</v>
      </c>
      <c r="E458" s="134" t="str">
        <f>HLOOKUP(Deckblatt!$C$12,Language!$C$1:$D$730,550,FALSE)</f>
        <v xml:space="preserve">Information
</v>
      </c>
      <c r="F458" s="363"/>
      <c r="G458" s="69"/>
      <c r="H458" s="18">
        <v>2</v>
      </c>
      <c r="I458" s="379"/>
      <c r="J458" s="340"/>
      <c r="K458" s="341"/>
      <c r="L458" s="341"/>
      <c r="M458" s="341"/>
      <c r="N458" s="342"/>
      <c r="P458" s="18">
        <f t="shared" si="8"/>
        <v>0</v>
      </c>
      <c r="Q458" s="338"/>
      <c r="R458" s="344"/>
      <c r="S458" s="474"/>
      <c r="T458" s="344"/>
      <c r="U458" s="475"/>
    </row>
    <row r="459" spans="2:21" ht="39.6" x14ac:dyDescent="0.25">
      <c r="B459" s="375"/>
      <c r="C459" s="351"/>
      <c r="D459" s="71" t="s">
        <v>188</v>
      </c>
      <c r="E459" s="134" t="str">
        <f>HLOOKUP(Deckblatt!$C$12,Language!$C$1:$D$730,551,FALSE)</f>
        <v xml:space="preserve">Konsultative Nutzerbeteiligung
</v>
      </c>
      <c r="F459" s="363"/>
      <c r="G459" s="69"/>
      <c r="H459" s="18">
        <v>5</v>
      </c>
      <c r="I459" s="379"/>
      <c r="J459" s="340"/>
      <c r="K459" s="341"/>
      <c r="L459" s="341"/>
      <c r="M459" s="341"/>
      <c r="N459" s="342"/>
      <c r="P459" s="18">
        <f t="shared" si="8"/>
        <v>0</v>
      </c>
      <c r="Q459" s="338"/>
      <c r="R459" s="344"/>
      <c r="S459" s="474"/>
      <c r="T459" s="344"/>
      <c r="U459" s="475"/>
    </row>
    <row r="460" spans="2:21" ht="26.4" x14ac:dyDescent="0.25">
      <c r="B460" s="375"/>
      <c r="C460" s="351"/>
      <c r="D460" s="71" t="s">
        <v>150</v>
      </c>
      <c r="E460" s="134" t="str">
        <f>HLOOKUP(Deckblatt!$C$12,Language!$C$1:$D$730,552,FALSE)</f>
        <v xml:space="preserve">Mitbestimmung
</v>
      </c>
      <c r="F460" s="363"/>
      <c r="G460" s="69"/>
      <c r="H460" s="18">
        <v>7</v>
      </c>
      <c r="I460" s="379"/>
      <c r="J460" s="340"/>
      <c r="K460" s="341"/>
      <c r="L460" s="341"/>
      <c r="M460" s="341"/>
      <c r="N460" s="342"/>
      <c r="P460" s="18">
        <f t="shared" si="8"/>
        <v>0</v>
      </c>
      <c r="Q460" s="338"/>
      <c r="R460" s="344"/>
      <c r="S460" s="474"/>
      <c r="T460" s="344"/>
      <c r="U460" s="475"/>
    </row>
    <row r="461" spans="2:21" ht="26.4" x14ac:dyDescent="0.25">
      <c r="B461" s="375"/>
      <c r="C461" s="351"/>
      <c r="D461" s="71" t="s">
        <v>377</v>
      </c>
      <c r="E461" s="134" t="str">
        <f>HLOOKUP(Deckblatt!$C$12,Language!$C$1:$D$730,553,FALSE)</f>
        <v xml:space="preserve">Konzeptuelle Integration
</v>
      </c>
      <c r="F461" s="363"/>
      <c r="G461" s="69"/>
      <c r="H461" s="18">
        <v>10</v>
      </c>
      <c r="I461" s="379"/>
      <c r="J461" s="340"/>
      <c r="K461" s="341"/>
      <c r="L461" s="341"/>
      <c r="M461" s="341"/>
      <c r="N461" s="342"/>
      <c r="P461" s="18">
        <f t="shared" si="8"/>
        <v>0</v>
      </c>
      <c r="Q461" s="338"/>
      <c r="R461" s="344"/>
      <c r="S461" s="474"/>
      <c r="T461" s="344"/>
      <c r="U461" s="475"/>
    </row>
    <row r="462" spans="2:21" ht="69.900000000000006" customHeight="1" x14ac:dyDescent="0.25">
      <c r="B462" s="375"/>
      <c r="C462" s="351" t="s">
        <v>67</v>
      </c>
      <c r="D462" s="367"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2" s="368"/>
      <c r="F462" s="363"/>
      <c r="G462" s="113"/>
      <c r="H462" s="21">
        <v>10</v>
      </c>
      <c r="I462" s="379"/>
      <c r="J462" s="340"/>
      <c r="K462" s="341"/>
      <c r="L462" s="341"/>
      <c r="M462" s="341"/>
      <c r="N462" s="342"/>
      <c r="P462" s="18">
        <f t="shared" si="8"/>
        <v>0</v>
      </c>
      <c r="Q462" s="338"/>
      <c r="R462" s="344"/>
      <c r="S462" s="474"/>
      <c r="T462" s="344"/>
      <c r="U462" s="475"/>
    </row>
    <row r="463" spans="2:21" ht="26.4" x14ac:dyDescent="0.25">
      <c r="B463" s="375"/>
      <c r="C463" s="351"/>
      <c r="D463" s="71" t="s">
        <v>69</v>
      </c>
      <c r="E463" s="134" t="str">
        <f>HLOOKUP(Deckblatt!$C$12,Language!$C$1:$D$730,555,FALSE)</f>
        <v xml:space="preserve">Information
</v>
      </c>
      <c r="F463" s="363"/>
      <c r="G463" s="69"/>
      <c r="H463" s="18">
        <v>2</v>
      </c>
      <c r="I463" s="379"/>
      <c r="J463" s="340"/>
      <c r="K463" s="341"/>
      <c r="L463" s="341"/>
      <c r="M463" s="341"/>
      <c r="N463" s="342"/>
      <c r="P463" s="18">
        <f t="shared" si="8"/>
        <v>0</v>
      </c>
      <c r="Q463" s="338"/>
      <c r="R463" s="344"/>
      <c r="S463" s="474"/>
      <c r="T463" s="344"/>
      <c r="U463" s="475"/>
    </row>
    <row r="464" spans="2:21" ht="26.4" x14ac:dyDescent="0.25">
      <c r="B464" s="375"/>
      <c r="C464" s="351"/>
      <c r="D464" s="71" t="s">
        <v>78</v>
      </c>
      <c r="E464" s="134" t="str">
        <f>HLOOKUP(Deckblatt!$C$12,Language!$C$1:$D$730,560,FALSE)</f>
        <v xml:space="preserve">Konsultative Nutzerbeteiligung
</v>
      </c>
      <c r="F464" s="363"/>
      <c r="G464" s="69"/>
      <c r="H464" s="18">
        <v>5</v>
      </c>
      <c r="I464" s="379"/>
      <c r="J464" s="340"/>
      <c r="K464" s="341"/>
      <c r="L464" s="341"/>
      <c r="M464" s="341"/>
      <c r="N464" s="342"/>
      <c r="P464" s="18">
        <f t="shared" si="8"/>
        <v>0</v>
      </c>
      <c r="Q464" s="338"/>
      <c r="R464" s="344"/>
      <c r="S464" s="474"/>
      <c r="T464" s="344"/>
      <c r="U464" s="475"/>
    </row>
    <row r="465" spans="2:21" ht="26.4" x14ac:dyDescent="0.25">
      <c r="B465" s="375"/>
      <c r="C465" s="351"/>
      <c r="D465" s="71" t="s">
        <v>214</v>
      </c>
      <c r="E465" s="134" t="str">
        <f>HLOOKUP(Deckblatt!$C$12,Language!$C$1:$D$730,561,FALSE)</f>
        <v xml:space="preserve">Mitbestimmung
</v>
      </c>
      <c r="F465" s="363"/>
      <c r="G465" s="69"/>
      <c r="H465" s="18">
        <v>7</v>
      </c>
      <c r="I465" s="379"/>
      <c r="J465" s="340"/>
      <c r="K465" s="341"/>
      <c r="L465" s="341"/>
      <c r="M465" s="341"/>
      <c r="N465" s="342"/>
      <c r="P465" s="18">
        <f t="shared" si="8"/>
        <v>0</v>
      </c>
      <c r="Q465" s="338"/>
      <c r="R465" s="344"/>
      <c r="S465" s="474"/>
      <c r="T465" s="344"/>
      <c r="U465" s="475"/>
    </row>
    <row r="466" spans="2:21" ht="26.4" x14ac:dyDescent="0.25">
      <c r="B466" s="375"/>
      <c r="C466" s="351"/>
      <c r="D466" s="71" t="s">
        <v>215</v>
      </c>
      <c r="E466" s="134" t="str">
        <f>HLOOKUP(Deckblatt!$C$12,Language!$C$1:$D$730,562,FALSE)</f>
        <v xml:space="preserve">Konzeptuelle Integration
</v>
      </c>
      <c r="F466" s="363"/>
      <c r="G466" s="69"/>
      <c r="H466" s="18">
        <v>10</v>
      </c>
      <c r="I466" s="379"/>
      <c r="J466" s="340"/>
      <c r="K466" s="341"/>
      <c r="L466" s="341"/>
      <c r="M466" s="341"/>
      <c r="N466" s="342"/>
      <c r="P466" s="18">
        <f t="shared" si="8"/>
        <v>0</v>
      </c>
      <c r="Q466" s="338"/>
      <c r="R466" s="344"/>
      <c r="S466" s="474"/>
      <c r="T466" s="344"/>
      <c r="U466" s="475"/>
    </row>
    <row r="467" spans="2:21" ht="13.2" customHeight="1" x14ac:dyDescent="0.25">
      <c r="B467" s="375"/>
      <c r="C467" s="351" t="s">
        <v>154</v>
      </c>
      <c r="D467" s="352" t="str">
        <f>HLOOKUP(Deckblatt!$C$12,Language!$C$1:$D$730,563,FALSE)</f>
        <v>Auswirkung partizipativer Prozesse auf Gesamtkonzept</v>
      </c>
      <c r="E467" s="353"/>
      <c r="F467" s="363"/>
      <c r="G467" s="113"/>
      <c r="H467" s="21">
        <v>30</v>
      </c>
      <c r="I467" s="379"/>
      <c r="J467" s="340"/>
      <c r="K467" s="341"/>
      <c r="L467" s="341"/>
      <c r="M467" s="341"/>
      <c r="N467" s="342"/>
      <c r="P467" s="18">
        <f t="shared" si="8"/>
        <v>0</v>
      </c>
      <c r="Q467" s="338"/>
      <c r="R467" s="344"/>
      <c r="S467" s="474"/>
      <c r="T467" s="344"/>
      <c r="U467" s="475"/>
    </row>
    <row r="468" spans="2:21" ht="39.6" customHeight="1" x14ac:dyDescent="0.25">
      <c r="B468" s="375"/>
      <c r="C468" s="351"/>
      <c r="D468" s="71" t="s">
        <v>156</v>
      </c>
      <c r="E468" s="134" t="str">
        <f>HLOOKUP(Deckblatt!$C$12,Language!$C$1:$D$730,564,FALSE)</f>
        <v xml:space="preserve">Rahmenplanung und städtebauliche Konzeption
</v>
      </c>
      <c r="F468" s="363"/>
      <c r="G468" s="69"/>
      <c r="H468" s="18">
        <v>16</v>
      </c>
      <c r="I468" s="379"/>
      <c r="J468" s="340"/>
      <c r="K468" s="341"/>
      <c r="L468" s="341"/>
      <c r="M468" s="341"/>
      <c r="N468" s="342"/>
      <c r="P468" s="18">
        <f t="shared" si="8"/>
        <v>0</v>
      </c>
      <c r="Q468" s="338"/>
      <c r="R468" s="344"/>
      <c r="S468" s="474"/>
      <c r="T468" s="344"/>
      <c r="U468" s="475"/>
    </row>
    <row r="469" spans="2:21" ht="26.4" x14ac:dyDescent="0.25">
      <c r="B469" s="375"/>
      <c r="C469" s="351"/>
      <c r="D469" s="71" t="s">
        <v>218</v>
      </c>
      <c r="E469" s="134" t="str">
        <f>HLOOKUP(Deckblatt!$C$12,Language!$C$1:$D$730,565,FALSE)</f>
        <v xml:space="preserve">Planung und Realisierung öffentlicher Räume
</v>
      </c>
      <c r="F469" s="363"/>
      <c r="G469" s="69"/>
      <c r="H469" s="18">
        <v>7</v>
      </c>
      <c r="I469" s="379"/>
      <c r="J469" s="340"/>
      <c r="K469" s="341"/>
      <c r="L469" s="341"/>
      <c r="M469" s="341"/>
      <c r="N469" s="342"/>
      <c r="P469" s="18">
        <f t="shared" si="8"/>
        <v>0</v>
      </c>
      <c r="Q469" s="338"/>
      <c r="R469" s="344"/>
      <c r="S469" s="474"/>
      <c r="T469" s="344"/>
      <c r="U469" s="475"/>
    </row>
    <row r="470" spans="2:21" ht="26.4" x14ac:dyDescent="0.25">
      <c r="B470" s="375"/>
      <c r="C470" s="351"/>
      <c r="D470" s="71" t="s">
        <v>219</v>
      </c>
      <c r="E470" s="134" t="str">
        <f>HLOOKUP(Deckblatt!$C$12,Language!$C$1:$D$730,566,FALSE)</f>
        <v xml:space="preserve">Planung und Realisierung Architektur und Nutzung
</v>
      </c>
      <c r="F470" s="363"/>
      <c r="G470" s="69"/>
      <c r="H470" s="18">
        <v>7</v>
      </c>
      <c r="I470" s="379"/>
      <c r="J470" s="340"/>
      <c r="K470" s="341"/>
      <c r="L470" s="341"/>
      <c r="M470" s="341"/>
      <c r="N470" s="342"/>
      <c r="P470" s="18">
        <f t="shared" si="8"/>
        <v>0</v>
      </c>
      <c r="Q470" s="338"/>
      <c r="R470" s="344"/>
      <c r="S470" s="474"/>
      <c r="T470" s="344"/>
      <c r="U470" s="475"/>
    </row>
    <row r="471" spans="2:21" ht="13.2" customHeight="1" x14ac:dyDescent="0.25">
      <c r="B471" s="375"/>
      <c r="C471" s="351" t="s">
        <v>157</v>
      </c>
      <c r="D471" s="352" t="str">
        <f>HLOOKUP(Deckblatt!$C$12,Language!$C$1:$D$730,566,FALSE)</f>
        <v xml:space="preserve">Planung und Realisierung Architektur und Nutzung
</v>
      </c>
      <c r="E471" s="353"/>
      <c r="F471" s="363"/>
      <c r="G471" s="113"/>
      <c r="H471" s="21">
        <v>30</v>
      </c>
      <c r="I471" s="379"/>
      <c r="J471" s="340"/>
      <c r="K471" s="341"/>
      <c r="L471" s="341"/>
      <c r="M471" s="341"/>
      <c r="N471" s="342"/>
      <c r="P471" s="18">
        <f t="shared" si="8"/>
        <v>0</v>
      </c>
      <c r="Q471" s="338"/>
      <c r="R471" s="344"/>
      <c r="S471" s="474"/>
      <c r="T471" s="344"/>
      <c r="U471" s="475"/>
    </row>
    <row r="472" spans="2:21" ht="105.6" customHeight="1" x14ac:dyDescent="0.25">
      <c r="B472" s="375"/>
      <c r="C472" s="351"/>
      <c r="D472" s="71" t="s">
        <v>159</v>
      </c>
      <c r="E472"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2" s="363"/>
      <c r="G472" s="69"/>
      <c r="H472" s="18">
        <v>30</v>
      </c>
      <c r="I472" s="379"/>
      <c r="J472" s="340"/>
      <c r="K472" s="341"/>
      <c r="L472" s="341"/>
      <c r="M472" s="341"/>
      <c r="N472" s="342"/>
      <c r="P472" s="18">
        <f t="shared" si="8"/>
        <v>0</v>
      </c>
      <c r="Q472" s="339"/>
      <c r="R472" s="365"/>
      <c r="S472" s="474"/>
      <c r="T472" s="344"/>
      <c r="U472" s="475"/>
    </row>
    <row r="473" spans="2:21" x14ac:dyDescent="0.25">
      <c r="B473" s="55" t="s">
        <v>497</v>
      </c>
      <c r="C473" s="354" t="str">
        <f>HLOOKUP(Deckblatt!$C$12,Language!$C$1:$D$730,569,FALSE)</f>
        <v>Projektmanagement</v>
      </c>
      <c r="D473" s="354"/>
      <c r="E473" s="355"/>
      <c r="F473" s="66">
        <f>Q473</f>
        <v>0</v>
      </c>
      <c r="G473" s="364"/>
      <c r="H473" s="21">
        <v>100</v>
      </c>
      <c r="I473" s="176">
        <v>2</v>
      </c>
      <c r="J473" s="340"/>
      <c r="K473" s="341"/>
      <c r="L473" s="341"/>
      <c r="M473" s="341"/>
      <c r="N473" s="342"/>
      <c r="P473" s="18">
        <f t="shared" si="8"/>
        <v>0</v>
      </c>
      <c r="Q473" s="337">
        <f>SUM(P475:P495)</f>
        <v>0</v>
      </c>
      <c r="R473" s="343">
        <f>Q473/100</f>
        <v>0</v>
      </c>
      <c r="S473" s="474"/>
      <c r="T473" s="344"/>
      <c r="U473" s="475"/>
    </row>
    <row r="474" spans="2:21" ht="13.2" customHeight="1" x14ac:dyDescent="0.25">
      <c r="B474" s="375"/>
      <c r="C474" s="351" t="s">
        <v>54</v>
      </c>
      <c r="D474" s="352" t="str">
        <f>HLOOKUP(Deckblatt!$C$12,Language!$C$1:$D$730,570,FALSE)</f>
        <v>Projektsteuerung</v>
      </c>
      <c r="E474" s="353"/>
      <c r="F474" s="363"/>
      <c r="G474" s="364"/>
      <c r="H474" s="21">
        <v>15</v>
      </c>
      <c r="I474" s="379"/>
      <c r="J474" s="340"/>
      <c r="K474" s="341"/>
      <c r="L474" s="341"/>
      <c r="M474" s="341"/>
      <c r="N474" s="342"/>
      <c r="P474" s="18">
        <f t="shared" si="8"/>
        <v>0</v>
      </c>
      <c r="Q474" s="338"/>
      <c r="R474" s="344"/>
      <c r="S474" s="474"/>
      <c r="T474" s="344"/>
      <c r="U474" s="475"/>
    </row>
    <row r="475" spans="2:21" ht="26.4" x14ac:dyDescent="0.25">
      <c r="B475" s="375"/>
      <c r="C475" s="351"/>
      <c r="D475" s="160" t="s">
        <v>58</v>
      </c>
      <c r="E475" s="134" t="str">
        <f>HLOOKUP(Deckblatt!$C$12,Language!$C$1:$D$730,571,FALSE)</f>
        <v xml:space="preserve">Durchführung einer Projektsteuerung
</v>
      </c>
      <c r="F475" s="363"/>
      <c r="G475" s="69"/>
      <c r="H475" s="18">
        <v>15</v>
      </c>
      <c r="I475" s="379"/>
      <c r="J475" s="340"/>
      <c r="K475" s="341"/>
      <c r="L475" s="341"/>
      <c r="M475" s="341"/>
      <c r="N475" s="342"/>
      <c r="P475" s="18">
        <f t="shared" si="8"/>
        <v>0</v>
      </c>
      <c r="Q475" s="338"/>
      <c r="R475" s="344"/>
      <c r="S475" s="474"/>
      <c r="T475" s="344"/>
      <c r="U475" s="475"/>
    </row>
    <row r="476" spans="2:21" ht="13.2" customHeight="1" x14ac:dyDescent="0.25">
      <c r="B476" s="375"/>
      <c r="C476" s="359" t="s">
        <v>61</v>
      </c>
      <c r="D476" s="352" t="str">
        <f>HLOOKUP(Deckblatt!$C$12,Language!$C$1:$D$730,572,FALSE)</f>
        <v>Risikomanagement</v>
      </c>
      <c r="E476" s="353"/>
      <c r="F476" s="363"/>
      <c r="G476" s="356"/>
      <c r="H476" s="21">
        <v>25</v>
      </c>
      <c r="I476" s="379"/>
      <c r="J476" s="340"/>
      <c r="K476" s="341"/>
      <c r="L476" s="341"/>
      <c r="M476" s="341"/>
      <c r="N476" s="342"/>
      <c r="P476" s="18">
        <f t="shared" si="8"/>
        <v>0</v>
      </c>
      <c r="Q476" s="338"/>
      <c r="R476" s="344"/>
      <c r="S476" s="474"/>
      <c r="T476" s="344"/>
      <c r="U476" s="475"/>
    </row>
    <row r="477" spans="2:21" x14ac:dyDescent="0.25">
      <c r="B477" s="375"/>
      <c r="C477" s="390"/>
      <c r="D477" s="502" t="s">
        <v>63</v>
      </c>
      <c r="E477" s="134" t="str">
        <f>HLOOKUP(Deckblatt!$C$12,Language!$C$1:$D$730,573,FALSE)</f>
        <v>Risiko-Controlling</v>
      </c>
      <c r="F477" s="363"/>
      <c r="G477" s="356"/>
      <c r="H477" s="21">
        <v>25</v>
      </c>
      <c r="I477" s="379"/>
      <c r="J477" s="340"/>
      <c r="K477" s="341"/>
      <c r="L477" s="341"/>
      <c r="M477" s="341"/>
      <c r="N477" s="342"/>
      <c r="P477" s="18">
        <f t="shared" si="8"/>
        <v>0</v>
      </c>
      <c r="Q477" s="338"/>
      <c r="R477" s="344"/>
      <c r="S477" s="474"/>
      <c r="T477" s="344"/>
      <c r="U477" s="475"/>
    </row>
    <row r="478" spans="2:21" ht="26.4" x14ac:dyDescent="0.25">
      <c r="B478" s="375"/>
      <c r="C478" s="390"/>
      <c r="D478" s="503"/>
      <c r="E478" s="134" t="str">
        <f>HLOOKUP(Deckblatt!$C$12,Language!$C$1:$D$730,574,FALSE)</f>
        <v xml:space="preserve">Ein vorbeugendes Risikomanagement wurde durchgeführt.
</v>
      </c>
      <c r="F478" s="363"/>
      <c r="G478" s="69"/>
      <c r="H478" s="18">
        <v>10</v>
      </c>
      <c r="I478" s="379"/>
      <c r="J478" s="340"/>
      <c r="K478" s="341"/>
      <c r="L478" s="341"/>
      <c r="M478" s="341"/>
      <c r="N478" s="342"/>
      <c r="P478" s="18">
        <f t="shared" si="8"/>
        <v>0</v>
      </c>
      <c r="Q478" s="338"/>
      <c r="R478" s="344"/>
      <c r="S478" s="474"/>
      <c r="T478" s="344"/>
      <c r="U478" s="475"/>
    </row>
    <row r="479" spans="2:21" ht="39.6" x14ac:dyDescent="0.25">
      <c r="B479" s="375"/>
      <c r="C479" s="390"/>
      <c r="D479" s="503"/>
      <c r="E479" s="134" t="str">
        <f>HLOOKUP(Deckblatt!$C$12,Language!$C$1:$D$730,575,FALSE)</f>
        <v xml:space="preserve">Die Risikoidentifizierung wurde mithilfe von Stakeholder- und/oder Projektbeteiligtenworkshops durchgeführt.
</v>
      </c>
      <c r="F479" s="363"/>
      <c r="G479" s="69"/>
      <c r="H479" s="18">
        <v>5</v>
      </c>
      <c r="I479" s="379"/>
      <c r="J479" s="340"/>
      <c r="K479" s="341"/>
      <c r="L479" s="341"/>
      <c r="M479" s="341"/>
      <c r="N479" s="342"/>
      <c r="P479" s="18">
        <f t="shared" si="8"/>
        <v>0</v>
      </c>
      <c r="Q479" s="338"/>
      <c r="R479" s="344"/>
      <c r="S479" s="474"/>
      <c r="T479" s="344"/>
      <c r="U479" s="475"/>
    </row>
    <row r="480" spans="2:21" ht="26.4" x14ac:dyDescent="0.25">
      <c r="B480" s="375"/>
      <c r="C480" s="360"/>
      <c r="D480" s="504"/>
      <c r="E480" s="134" t="str">
        <f>HLOOKUP(Deckblatt!$C$12,Language!$C$1:$D$730,576,FALSE)</f>
        <v>Zusätzlich wurde projektbegleitend ein regelmäßiges Risiko-Controlling
durchgeführt.</v>
      </c>
      <c r="F480" s="363"/>
      <c r="G480" s="69"/>
      <c r="H480" s="18">
        <v>10</v>
      </c>
      <c r="I480" s="379"/>
      <c r="J480" s="340"/>
      <c r="K480" s="341"/>
      <c r="L480" s="341"/>
      <c r="M480" s="341"/>
      <c r="N480" s="342"/>
      <c r="P480" s="18">
        <f t="shared" si="8"/>
        <v>0</v>
      </c>
      <c r="Q480" s="338"/>
      <c r="R480" s="344"/>
      <c r="S480" s="474"/>
      <c r="T480" s="344"/>
      <c r="U480" s="475"/>
    </row>
    <row r="481" spans="2:21" ht="13.2" customHeight="1" x14ac:dyDescent="0.25">
      <c r="B481" s="375"/>
      <c r="C481" s="351" t="s">
        <v>64</v>
      </c>
      <c r="D481" s="352" t="str">
        <f>HLOOKUP(Deckblatt!$C$12,Language!$C$1:$D$730,577,FALSE)</f>
        <v>Qualitätssicherheit</v>
      </c>
      <c r="E481" s="353"/>
      <c r="F481" s="363"/>
      <c r="G481" s="356"/>
      <c r="H481" s="21">
        <v>25</v>
      </c>
      <c r="I481" s="379"/>
      <c r="J481" s="340"/>
      <c r="K481" s="341"/>
      <c r="L481" s="341"/>
      <c r="M481" s="341"/>
      <c r="N481" s="342"/>
      <c r="P481" s="18">
        <f t="shared" si="8"/>
        <v>0</v>
      </c>
      <c r="Q481" s="338"/>
      <c r="R481" s="344"/>
      <c r="S481" s="474"/>
      <c r="T481" s="344"/>
      <c r="U481" s="475"/>
    </row>
    <row r="482" spans="2:21" x14ac:dyDescent="0.25">
      <c r="B482" s="375"/>
      <c r="C482" s="351"/>
      <c r="D482" s="376" t="s">
        <v>66</v>
      </c>
      <c r="E482" s="134" t="str">
        <f>HLOOKUP(Deckblatt!$C$12,Language!$C$1:$D$730,578,FALSE)</f>
        <v>Projektziele, Dokumentation, Durchführung Qualitätsüberprüfung</v>
      </c>
      <c r="F482" s="363"/>
      <c r="G482" s="356"/>
      <c r="H482" s="21">
        <v>25</v>
      </c>
      <c r="I482" s="379"/>
      <c r="J482" s="340"/>
      <c r="K482" s="341"/>
      <c r="L482" s="341"/>
      <c r="M482" s="341"/>
      <c r="N482" s="342"/>
      <c r="P482" s="18">
        <f t="shared" si="8"/>
        <v>0</v>
      </c>
      <c r="Q482" s="338"/>
      <c r="R482" s="344"/>
      <c r="S482" s="474"/>
      <c r="T482" s="344"/>
      <c r="U482" s="475"/>
    </row>
    <row r="483" spans="2:21" ht="52.95" customHeight="1" x14ac:dyDescent="0.25">
      <c r="B483" s="375"/>
      <c r="C483" s="351"/>
      <c r="D483" s="376"/>
      <c r="E483" s="134" t="str">
        <f>HLOOKUP(Deckblatt!$C$12,Language!$C$1:$D$730,579,FALSE)</f>
        <v xml:space="preserve">Definition konkreter ökologischer, ökonomischer und soziokultureller Projektziele (inkl. Gestaltung) vor Beginn der Vergabe von Bauleistungen
</v>
      </c>
      <c r="F483" s="363"/>
      <c r="G483" s="69"/>
      <c r="H483" s="18">
        <v>5</v>
      </c>
      <c r="I483" s="379"/>
      <c r="J483" s="340"/>
      <c r="K483" s="341"/>
      <c r="L483" s="341"/>
      <c r="M483" s="341"/>
      <c r="N483" s="342"/>
      <c r="P483" s="18">
        <f t="shared" si="8"/>
        <v>0</v>
      </c>
      <c r="Q483" s="338"/>
      <c r="R483" s="344"/>
      <c r="S483" s="474"/>
      <c r="T483" s="344"/>
      <c r="U483" s="475"/>
    </row>
    <row r="484" spans="2:21" ht="52.8" x14ac:dyDescent="0.25">
      <c r="B484" s="375"/>
      <c r="C484" s="351"/>
      <c r="D484" s="376"/>
      <c r="E484" s="134" t="str">
        <f>HLOOKUP(Deckblatt!$C$12,Language!$C$1:$D$730,580,FALSE)</f>
        <v xml:space="preserve">Dokumentation der vertraglichen Vereinbarung (verbindlich) der konkreten ökologischen, ökonomischen und soziokulturellen Projektzielen (Gestaltungshandbuch, Verträge, Qualitätsstandards)
</v>
      </c>
      <c r="F484" s="363"/>
      <c r="G484" s="69"/>
      <c r="H484" s="18">
        <v>5</v>
      </c>
      <c r="I484" s="379"/>
      <c r="J484" s="340"/>
      <c r="K484" s="341"/>
      <c r="L484" s="341"/>
      <c r="M484" s="341"/>
      <c r="N484" s="342"/>
      <c r="P484" s="18">
        <f t="shared" si="8"/>
        <v>0</v>
      </c>
      <c r="Q484" s="338"/>
      <c r="R484" s="344"/>
      <c r="S484" s="474"/>
      <c r="T484" s="344"/>
      <c r="U484" s="475"/>
    </row>
    <row r="485" spans="2:21" ht="39.6" x14ac:dyDescent="0.25">
      <c r="B485" s="375"/>
      <c r="C485" s="351"/>
      <c r="D485" s="376"/>
      <c r="E485" s="134" t="str">
        <f>HLOOKUP(Deckblatt!$C$12,Language!$C$1:$D$730,581,FALSE)</f>
        <v xml:space="preserve">Die Projektziele werden allen Planungsbeteiligten (inkl. Auftragnehmer) klar kommuniziert und bei Änderungen aktualisiert.
</v>
      </c>
      <c r="F485" s="363"/>
      <c r="G485" s="69"/>
      <c r="H485" s="18">
        <v>5</v>
      </c>
      <c r="I485" s="379"/>
      <c r="J485" s="340"/>
      <c r="K485" s="341"/>
      <c r="L485" s="341"/>
      <c r="M485" s="341"/>
      <c r="N485" s="342"/>
      <c r="P485" s="18">
        <f t="shared" si="8"/>
        <v>0</v>
      </c>
      <c r="Q485" s="338"/>
      <c r="R485" s="344"/>
      <c r="S485" s="474"/>
      <c r="T485" s="344"/>
      <c r="U485" s="475"/>
    </row>
    <row r="486" spans="2:21" ht="39.6" x14ac:dyDescent="0.25">
      <c r="B486" s="375"/>
      <c r="C486" s="351"/>
      <c r="D486" s="376"/>
      <c r="E486" s="134" t="str">
        <f>HLOOKUP(Deckblatt!$C$12,Language!$C$1:$D$730,582,FALSE)</f>
        <v xml:space="preserve">Es wird eine regelmäßige Qualitätsüberprüfung durchgeführt und dokumentiert.
</v>
      </c>
      <c r="F486" s="363"/>
      <c r="G486" s="69"/>
      <c r="H486" s="18">
        <v>5</v>
      </c>
      <c r="I486" s="379"/>
      <c r="J486" s="340"/>
      <c r="K486" s="341"/>
      <c r="L486" s="341"/>
      <c r="M486" s="341"/>
      <c r="N486" s="342"/>
      <c r="P486" s="18">
        <f t="shared" ref="P486:P540" si="9">IF(G486&gt;H486,H486,G486)</f>
        <v>0</v>
      </c>
      <c r="Q486" s="338"/>
      <c r="R486" s="344"/>
      <c r="S486" s="474"/>
      <c r="T486" s="344"/>
      <c r="U486" s="475"/>
    </row>
    <row r="487" spans="2:21" ht="39.6" x14ac:dyDescent="0.25">
      <c r="B487" s="375"/>
      <c r="C487" s="351"/>
      <c r="D487" s="376"/>
      <c r="E487" s="134" t="str">
        <f>HLOOKUP(Deckblatt!$C$12,Language!$C$1:$D$730,583,FALSE)</f>
        <v xml:space="preserve">Es wird nach Projektabschluss eine Qualitätsüberprüfung durchgeführt, die die Projektziele und das Ergebnis vergleichend betrachtet.
</v>
      </c>
      <c r="F487" s="363"/>
      <c r="G487" s="69"/>
      <c r="H487" s="18">
        <v>5</v>
      </c>
      <c r="I487" s="379"/>
      <c r="J487" s="340"/>
      <c r="K487" s="341"/>
      <c r="L487" s="341"/>
      <c r="M487" s="341"/>
      <c r="N487" s="342"/>
      <c r="P487" s="18">
        <f t="shared" si="9"/>
        <v>0</v>
      </c>
      <c r="Q487" s="338"/>
      <c r="R487" s="344"/>
      <c r="S487" s="474"/>
      <c r="T487" s="344"/>
      <c r="U487" s="475"/>
    </row>
    <row r="488" spans="2:21" ht="13.2" customHeight="1" x14ac:dyDescent="0.25">
      <c r="B488" s="375"/>
      <c r="C488" s="351" t="s">
        <v>67</v>
      </c>
      <c r="D488" s="352" t="str">
        <f>HLOOKUP(Deckblatt!$C$12,Language!$C$1:$D$730,584,FALSE)</f>
        <v>Terminplanung</v>
      </c>
      <c r="E488" s="353"/>
      <c r="F488" s="363"/>
      <c r="G488" s="113"/>
      <c r="H488" s="21">
        <v>10</v>
      </c>
      <c r="I488" s="379"/>
      <c r="J488" s="340"/>
      <c r="K488" s="341"/>
      <c r="L488" s="341"/>
      <c r="M488" s="341"/>
      <c r="N488" s="342"/>
      <c r="P488" s="18">
        <f t="shared" si="9"/>
        <v>0</v>
      </c>
      <c r="Q488" s="338"/>
      <c r="R488" s="344"/>
      <c r="S488" s="474"/>
      <c r="T488" s="344"/>
      <c r="U488" s="475"/>
    </row>
    <row r="489" spans="2:21" ht="26.4" x14ac:dyDescent="0.25">
      <c r="B489" s="375"/>
      <c r="C489" s="351"/>
      <c r="D489" s="160" t="s">
        <v>69</v>
      </c>
      <c r="E489" s="134" t="str">
        <f>HLOOKUP(Deckblatt!$C$12,Language!$C$1:$D$730,585,FALSE)</f>
        <v xml:space="preserve">Rahmenterminplan
</v>
      </c>
      <c r="F489" s="363"/>
      <c r="G489" s="69"/>
      <c r="H489" s="18">
        <v>10</v>
      </c>
      <c r="I489" s="379"/>
      <c r="J489" s="340"/>
      <c r="K489" s="341"/>
      <c r="L489" s="341"/>
      <c r="M489" s="341"/>
      <c r="N489" s="342"/>
      <c r="P489" s="18">
        <f t="shared" si="9"/>
        <v>0</v>
      </c>
      <c r="Q489" s="338"/>
      <c r="R489" s="344"/>
      <c r="S489" s="474"/>
      <c r="T489" s="344"/>
      <c r="U489" s="475"/>
    </row>
    <row r="490" spans="2:21" ht="13.2" customHeight="1" x14ac:dyDescent="0.25">
      <c r="B490" s="375"/>
      <c r="C490" s="351" t="s">
        <v>154</v>
      </c>
      <c r="D490" s="352" t="str">
        <f>HLOOKUP(Deckblatt!$C$12,Language!$C$1:$D$730,586,FALSE)</f>
        <v>Kostenkontrolle</v>
      </c>
      <c r="E490" s="353"/>
      <c r="F490" s="363"/>
      <c r="G490" s="356"/>
      <c r="H490" s="21">
        <v>25</v>
      </c>
      <c r="I490" s="379"/>
      <c r="J490" s="340"/>
      <c r="K490" s="341"/>
      <c r="L490" s="341"/>
      <c r="M490" s="341"/>
      <c r="N490" s="342"/>
      <c r="P490" s="18">
        <f t="shared" si="9"/>
        <v>0</v>
      </c>
      <c r="Q490" s="338"/>
      <c r="R490" s="344"/>
      <c r="S490" s="474"/>
      <c r="T490" s="344"/>
      <c r="U490" s="475"/>
    </row>
    <row r="491" spans="2:21" x14ac:dyDescent="0.25">
      <c r="B491" s="375"/>
      <c r="C491" s="351"/>
      <c r="D491" s="376" t="s">
        <v>156</v>
      </c>
      <c r="E491" s="134" t="str">
        <f>HLOOKUP(Deckblatt!$C$12,Language!$C$1:$D$730,587,FALSE)</f>
        <v>Wirtschaftlichkeitsberechnung, Beratung und Optimierung</v>
      </c>
      <c r="F491" s="363"/>
      <c r="G491" s="356"/>
      <c r="H491" s="21">
        <v>25</v>
      </c>
      <c r="I491" s="379"/>
      <c r="J491" s="340"/>
      <c r="K491" s="341"/>
      <c r="L491" s="341"/>
      <c r="M491" s="341"/>
      <c r="N491" s="342"/>
      <c r="P491" s="18">
        <f t="shared" si="9"/>
        <v>0</v>
      </c>
      <c r="Q491" s="338"/>
      <c r="R491" s="344"/>
      <c r="S491" s="474"/>
      <c r="T491" s="344"/>
      <c r="U491" s="475"/>
    </row>
    <row r="492" spans="2:21" ht="52.8" x14ac:dyDescent="0.25">
      <c r="B492" s="375"/>
      <c r="C492" s="351"/>
      <c r="D492" s="376"/>
      <c r="E492" s="134" t="str">
        <f>HLOOKUP(Deckblatt!$C$12,Language!$C$1:$D$730,588,FALSE)</f>
        <v xml:space="preserve">Vorhandensein einer Kosten- und Einnahmenbetrachtung als statische Projektentwicklerkalkulation, ständige Überprüfung des aufgestellten Kostenrahmens
</v>
      </c>
      <c r="F492" s="363"/>
      <c r="G492" s="69"/>
      <c r="H492" s="18">
        <v>7</v>
      </c>
      <c r="I492" s="379"/>
      <c r="J492" s="340"/>
      <c r="K492" s="341"/>
      <c r="L492" s="341"/>
      <c r="M492" s="341"/>
      <c r="N492" s="342"/>
      <c r="P492" s="18">
        <f t="shared" si="9"/>
        <v>0</v>
      </c>
      <c r="Q492" s="338"/>
      <c r="R492" s="344"/>
      <c r="S492" s="474"/>
      <c r="T492" s="344"/>
      <c r="U492" s="475"/>
    </row>
    <row r="493" spans="2:21" ht="92.4" x14ac:dyDescent="0.25">
      <c r="B493" s="375"/>
      <c r="C493" s="351"/>
      <c r="D493" s="376"/>
      <c r="E493"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3" s="363"/>
      <c r="G493" s="69"/>
      <c r="H493" s="18">
        <v>6</v>
      </c>
      <c r="I493" s="379"/>
      <c r="J493" s="340"/>
      <c r="K493" s="341"/>
      <c r="L493" s="341"/>
      <c r="M493" s="341"/>
      <c r="N493" s="342"/>
      <c r="P493" s="18">
        <f t="shared" si="9"/>
        <v>0</v>
      </c>
      <c r="Q493" s="338"/>
      <c r="R493" s="344"/>
      <c r="S493" s="474"/>
      <c r="T493" s="344"/>
      <c r="U493" s="475"/>
    </row>
    <row r="494" spans="2:21" ht="66" x14ac:dyDescent="0.25">
      <c r="B494" s="375"/>
      <c r="C494" s="351"/>
      <c r="D494" s="376"/>
      <c r="E494"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4" s="363"/>
      <c r="G494" s="69"/>
      <c r="H494" s="18">
        <v>6</v>
      </c>
      <c r="I494" s="379"/>
      <c r="J494" s="340"/>
      <c r="K494" s="341"/>
      <c r="L494" s="341"/>
      <c r="M494" s="341"/>
      <c r="N494" s="342"/>
      <c r="P494" s="18">
        <f t="shared" si="9"/>
        <v>0</v>
      </c>
      <c r="Q494" s="338"/>
      <c r="R494" s="344"/>
      <c r="S494" s="474"/>
      <c r="T494" s="344"/>
      <c r="U494" s="475"/>
    </row>
    <row r="495" spans="2:21" ht="26.4" x14ac:dyDescent="0.25">
      <c r="B495" s="375"/>
      <c r="C495" s="351"/>
      <c r="D495" s="376"/>
      <c r="E495" s="134" t="str">
        <f>HLOOKUP(Deckblatt!$C$12,Language!$C$1:$D$730,591,FALSE)</f>
        <v xml:space="preserve">Es wurde eine Folgekostenberatung bzw. -betrachtung durchgeführt.
</v>
      </c>
      <c r="F495" s="363"/>
      <c r="G495" s="69"/>
      <c r="H495" s="18">
        <v>6</v>
      </c>
      <c r="I495" s="379"/>
      <c r="J495" s="340"/>
      <c r="K495" s="341"/>
      <c r="L495" s="341"/>
      <c r="M495" s="341"/>
      <c r="N495" s="342"/>
      <c r="P495" s="18">
        <f t="shared" si="9"/>
        <v>0</v>
      </c>
      <c r="Q495" s="338"/>
      <c r="R495" s="344"/>
      <c r="S495" s="474"/>
      <c r="T495" s="344"/>
      <c r="U495" s="475"/>
    </row>
    <row r="496" spans="2:21" x14ac:dyDescent="0.25">
      <c r="B496" s="55" t="s">
        <v>522</v>
      </c>
      <c r="C496" s="354" t="str">
        <f>HLOOKUP(Deckblatt!$C$12,Language!$C$1:$D$730,592,FALSE)</f>
        <v>Governance</v>
      </c>
      <c r="D496" s="354"/>
      <c r="E496" s="355"/>
      <c r="F496" s="66">
        <f>Q496</f>
        <v>0</v>
      </c>
      <c r="G496" s="67"/>
      <c r="H496" s="21">
        <v>100</v>
      </c>
      <c r="I496" s="176">
        <v>2</v>
      </c>
      <c r="J496" s="340"/>
      <c r="K496" s="341"/>
      <c r="L496" s="341"/>
      <c r="M496" s="341"/>
      <c r="N496" s="342"/>
      <c r="P496" s="18">
        <f t="shared" si="9"/>
        <v>0</v>
      </c>
      <c r="Q496" s="337">
        <f>SUM(P498:P508)</f>
        <v>0</v>
      </c>
      <c r="R496" s="343">
        <f>Q496/100</f>
        <v>0</v>
      </c>
      <c r="S496" s="474"/>
      <c r="T496" s="344"/>
      <c r="U496" s="475"/>
    </row>
    <row r="497" spans="2:21" ht="13.2" customHeight="1" x14ac:dyDescent="0.25">
      <c r="B497" s="375"/>
      <c r="C497" s="351" t="s">
        <v>54</v>
      </c>
      <c r="D497" s="352" t="str">
        <f>HLOOKUP(Deckblatt!$C$12,Language!$C$1:$D$730,593,FALSE)</f>
        <v>Rahmenbedingungen</v>
      </c>
      <c r="E497" s="353"/>
      <c r="F497" s="363"/>
      <c r="G497" s="67"/>
      <c r="H497" s="21">
        <v>45</v>
      </c>
      <c r="I497" s="379"/>
      <c r="J497" s="340"/>
      <c r="K497" s="341"/>
      <c r="L497" s="341"/>
      <c r="M497" s="341"/>
      <c r="N497" s="342"/>
      <c r="P497" s="18">
        <f t="shared" si="9"/>
        <v>0</v>
      </c>
      <c r="Q497" s="338"/>
      <c r="R497" s="344"/>
      <c r="S497" s="474"/>
      <c r="T497" s="344"/>
      <c r="U497" s="475"/>
    </row>
    <row r="498" spans="2:21" ht="26.4" x14ac:dyDescent="0.25">
      <c r="B498" s="375"/>
      <c r="C498" s="351"/>
      <c r="D498" s="71" t="s">
        <v>58</v>
      </c>
      <c r="E498" s="229" t="str">
        <f>HLOOKUP(Deckblatt!$C$12,Language!$C$1:$D$730,594,FALSE)</f>
        <v xml:space="preserve">Quartier-bzw. Gebietsmanagement
</v>
      </c>
      <c r="F498" s="363"/>
      <c r="G498" s="69"/>
      <c r="H498" s="18">
        <v>15</v>
      </c>
      <c r="I498" s="379"/>
      <c r="J498" s="340"/>
      <c r="K498" s="341"/>
      <c r="L498" s="341"/>
      <c r="M498" s="341"/>
      <c r="N498" s="342"/>
      <c r="P498" s="18">
        <f t="shared" si="9"/>
        <v>0</v>
      </c>
      <c r="Q498" s="338"/>
      <c r="R498" s="344"/>
      <c r="S498" s="474"/>
      <c r="T498" s="344"/>
      <c r="U498" s="475"/>
    </row>
    <row r="499" spans="2:21" ht="26.4" x14ac:dyDescent="0.25">
      <c r="B499" s="375"/>
      <c r="C499" s="351"/>
      <c r="D499" s="71" t="s">
        <v>181</v>
      </c>
      <c r="E499" s="229" t="str">
        <f>HLOOKUP(Deckblatt!$C$12,Language!$C$1:$D$730,595,FALSE)</f>
        <v xml:space="preserve">Beratung von (zukünftigen) Bewohnern und Nutzern
</v>
      </c>
      <c r="F499" s="363"/>
      <c r="G499" s="69"/>
      <c r="H499" s="18">
        <v>5</v>
      </c>
      <c r="I499" s="379"/>
      <c r="J499" s="340"/>
      <c r="K499" s="341"/>
      <c r="L499" s="341"/>
      <c r="M499" s="341"/>
      <c r="N499" s="342"/>
      <c r="P499" s="18">
        <f t="shared" si="9"/>
        <v>0</v>
      </c>
      <c r="Q499" s="338"/>
      <c r="R499" s="344"/>
      <c r="S499" s="474"/>
      <c r="T499" s="344"/>
      <c r="U499" s="475"/>
    </row>
    <row r="500" spans="2:21" ht="26.4" x14ac:dyDescent="0.25">
      <c r="B500" s="375"/>
      <c r="C500" s="351"/>
      <c r="D500" s="71" t="s">
        <v>246</v>
      </c>
      <c r="E500" s="229" t="str">
        <f>HLOOKUP(Deckblatt!$C$12,Language!$C$1:$D$730,596,FALSE)</f>
        <v xml:space="preserve">Selbstverwaltung
</v>
      </c>
      <c r="F500" s="363"/>
      <c r="G500" s="69"/>
      <c r="H500" s="18">
        <v>10</v>
      </c>
      <c r="I500" s="379"/>
      <c r="J500" s="340"/>
      <c r="K500" s="341"/>
      <c r="L500" s="341"/>
      <c r="M500" s="341"/>
      <c r="N500" s="342"/>
      <c r="P500" s="18">
        <f t="shared" si="9"/>
        <v>0</v>
      </c>
      <c r="Q500" s="338"/>
      <c r="R500" s="344"/>
      <c r="S500" s="474"/>
      <c r="T500" s="344"/>
      <c r="U500" s="475"/>
    </row>
    <row r="501" spans="2:21" ht="26.4" x14ac:dyDescent="0.25">
      <c r="B501" s="375"/>
      <c r="C501" s="351"/>
      <c r="D501" s="71" t="s">
        <v>250</v>
      </c>
      <c r="E501" s="229" t="str">
        <f>HLOOKUP(Deckblatt!$C$12,Language!$C$1:$D$730,597,FALSE)</f>
        <v xml:space="preserve">Stärkung bzw. Aufbau sozialer Initiativen
</v>
      </c>
      <c r="F501" s="363"/>
      <c r="G501" s="69"/>
      <c r="H501" s="18">
        <v>10</v>
      </c>
      <c r="I501" s="379"/>
      <c r="J501" s="340"/>
      <c r="K501" s="341"/>
      <c r="L501" s="341"/>
      <c r="M501" s="341"/>
      <c r="N501" s="342"/>
      <c r="P501" s="18">
        <f t="shared" si="9"/>
        <v>0</v>
      </c>
      <c r="Q501" s="338"/>
      <c r="R501" s="344"/>
      <c r="S501" s="474"/>
      <c r="T501" s="344"/>
      <c r="U501" s="475"/>
    </row>
    <row r="502" spans="2:21" ht="26.4" x14ac:dyDescent="0.25">
      <c r="B502" s="375"/>
      <c r="C502" s="351"/>
      <c r="D502" s="71" t="s">
        <v>121</v>
      </c>
      <c r="E502" s="229" t="str">
        <f>HLOOKUP(Deckblatt!$C$12,Language!$C$1:$D$730,598,FALSE)</f>
        <v xml:space="preserve">Finanzielle Anreizsysteme
</v>
      </c>
      <c r="F502" s="363"/>
      <c r="G502" s="69"/>
      <c r="H502" s="18">
        <v>5</v>
      </c>
      <c r="I502" s="379"/>
      <c r="J502" s="340"/>
      <c r="K502" s="341"/>
      <c r="L502" s="341"/>
      <c r="M502" s="341"/>
      <c r="N502" s="342"/>
      <c r="P502" s="18">
        <f t="shared" si="9"/>
        <v>0</v>
      </c>
      <c r="Q502" s="338"/>
      <c r="R502" s="344"/>
      <c r="S502" s="474"/>
      <c r="T502" s="344"/>
      <c r="U502" s="475"/>
    </row>
    <row r="503" spans="2:21" ht="13.2" customHeight="1" x14ac:dyDescent="0.25">
      <c r="B503" s="375"/>
      <c r="C503" s="351" t="s">
        <v>61</v>
      </c>
      <c r="D503" s="352" t="str">
        <f>HLOOKUP(Deckblatt!$C$12,Language!$C$1:$D$730,599,FALSE)</f>
        <v>Projektbeteiligung der Kommune und Rechenschaftspflicht</v>
      </c>
      <c r="E503" s="353"/>
      <c r="F503" s="363"/>
      <c r="G503" s="113"/>
      <c r="H503" s="21">
        <v>35</v>
      </c>
      <c r="I503" s="379"/>
      <c r="J503" s="340"/>
      <c r="K503" s="341"/>
      <c r="L503" s="341"/>
      <c r="M503" s="341"/>
      <c r="N503" s="342"/>
      <c r="P503" s="18">
        <f t="shared" si="9"/>
        <v>0</v>
      </c>
      <c r="Q503" s="338"/>
      <c r="R503" s="344"/>
      <c r="S503" s="474"/>
      <c r="T503" s="344"/>
      <c r="U503" s="475"/>
    </row>
    <row r="504" spans="2:21" ht="105.6" x14ac:dyDescent="0.25">
      <c r="B504" s="375"/>
      <c r="C504" s="351"/>
      <c r="D504" s="160" t="s">
        <v>63</v>
      </c>
      <c r="E504"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4" s="363"/>
      <c r="G504" s="69"/>
      <c r="H504" s="18">
        <v>20</v>
      </c>
      <c r="I504" s="379"/>
      <c r="J504" s="340"/>
      <c r="K504" s="341"/>
      <c r="L504" s="341"/>
      <c r="M504" s="341"/>
      <c r="N504" s="342"/>
      <c r="P504" s="18">
        <f t="shared" si="9"/>
        <v>0</v>
      </c>
      <c r="Q504" s="338"/>
      <c r="R504" s="344"/>
      <c r="S504" s="474"/>
      <c r="T504" s="344"/>
      <c r="U504" s="475"/>
    </row>
    <row r="505" spans="2:21" ht="66" customHeight="1" x14ac:dyDescent="0.25">
      <c r="B505" s="375"/>
      <c r="C505" s="351"/>
      <c r="D505" s="160" t="s">
        <v>186</v>
      </c>
      <c r="E505" s="134" t="str">
        <f>HLOOKUP(Deckblatt!$C$12,Language!$C$1:$D$730,601,FALSE)</f>
        <v xml:space="preserve">Kommunale Projekte / Dienstleistungen
Es gibt seitens der Kommune eine oder mehrere Projekte/Dienstleistungen, die die Entwicklung des Quartiers unterstützen.
</v>
      </c>
      <c r="F505" s="363"/>
      <c r="G505" s="69"/>
      <c r="H505" s="18">
        <v>15</v>
      </c>
      <c r="I505" s="379"/>
      <c r="J505" s="340"/>
      <c r="K505" s="341"/>
      <c r="L505" s="341"/>
      <c r="M505" s="341"/>
      <c r="N505" s="342"/>
      <c r="P505" s="18">
        <f t="shared" si="9"/>
        <v>0</v>
      </c>
      <c r="Q505" s="338"/>
      <c r="R505" s="344"/>
      <c r="S505" s="474"/>
      <c r="T505" s="344"/>
      <c r="U505" s="475"/>
    </row>
    <row r="506" spans="2:21" ht="13.2" customHeight="1" x14ac:dyDescent="0.25">
      <c r="B506" s="375"/>
      <c r="C506" s="351" t="s">
        <v>64</v>
      </c>
      <c r="D506" s="352" t="str">
        <f>HLOOKUP(Deckblatt!$C$12,Language!$C$1:$D$730,602,FALSE)</f>
        <v>Offenheit und Transparenz von Strukturen und Prozessen</v>
      </c>
      <c r="E506" s="353"/>
      <c r="F506" s="363"/>
      <c r="G506" s="113"/>
      <c r="H506" s="21">
        <v>20</v>
      </c>
      <c r="I506" s="379"/>
      <c r="J506" s="340"/>
      <c r="K506" s="341"/>
      <c r="L506" s="341"/>
      <c r="M506" s="341"/>
      <c r="N506" s="342"/>
      <c r="P506" s="18">
        <f t="shared" si="9"/>
        <v>0</v>
      </c>
      <c r="Q506" s="338"/>
      <c r="R506" s="344"/>
      <c r="S506" s="474"/>
      <c r="T506" s="344"/>
      <c r="U506" s="475"/>
    </row>
    <row r="507" spans="2:21" ht="118.8" x14ac:dyDescent="0.25">
      <c r="B507" s="375"/>
      <c r="C507" s="351"/>
      <c r="D507" s="160" t="s">
        <v>66</v>
      </c>
      <c r="E507"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7" s="363"/>
      <c r="G507" s="69"/>
      <c r="H507" s="18">
        <v>10</v>
      </c>
      <c r="I507" s="379"/>
      <c r="J507" s="340"/>
      <c r="K507" s="341"/>
      <c r="L507" s="341"/>
      <c r="M507" s="341"/>
      <c r="N507" s="342"/>
      <c r="P507" s="18">
        <f t="shared" si="9"/>
        <v>0</v>
      </c>
      <c r="Q507" s="338"/>
      <c r="R507" s="344"/>
      <c r="S507" s="474"/>
      <c r="T507" s="344"/>
      <c r="U507" s="475"/>
    </row>
    <row r="508" spans="2:21" ht="105.6" x14ac:dyDescent="0.25">
      <c r="B508" s="375"/>
      <c r="C508" s="351"/>
      <c r="D508" s="160" t="s">
        <v>188</v>
      </c>
      <c r="E508"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8" s="363"/>
      <c r="G508" s="69"/>
      <c r="H508" s="18">
        <v>10</v>
      </c>
      <c r="I508" s="379"/>
      <c r="J508" s="340"/>
      <c r="K508" s="341"/>
      <c r="L508" s="341"/>
      <c r="M508" s="341"/>
      <c r="N508" s="342"/>
      <c r="P508" s="18">
        <f t="shared" si="9"/>
        <v>0</v>
      </c>
      <c r="Q508" s="339"/>
      <c r="R508" s="365"/>
      <c r="S508" s="474"/>
      <c r="T508" s="344"/>
      <c r="U508" s="475"/>
    </row>
    <row r="509" spans="2:21" x14ac:dyDescent="0.25">
      <c r="B509" s="55" t="s">
        <v>536</v>
      </c>
      <c r="C509" s="354" t="str">
        <f>HLOOKUP(Deckblatt!$C$12,Language!$C$1:$D$730,627,FALSE)</f>
        <v>Baustelle, Bauprozesse</v>
      </c>
      <c r="D509" s="354"/>
      <c r="E509" s="355"/>
      <c r="F509" s="66">
        <f>Q509</f>
        <v>0</v>
      </c>
      <c r="G509" s="364"/>
      <c r="H509" s="21">
        <v>110</v>
      </c>
      <c r="I509" s="176">
        <v>1</v>
      </c>
      <c r="J509" s="340"/>
      <c r="K509" s="341"/>
      <c r="L509" s="341"/>
      <c r="M509" s="341"/>
      <c r="N509" s="342"/>
      <c r="P509" s="18">
        <f t="shared" si="9"/>
        <v>0</v>
      </c>
      <c r="Q509" s="337">
        <f>SUM(P511:P517,MAX(P519:P520),MAX(P522:P523))</f>
        <v>0</v>
      </c>
      <c r="R509" s="343">
        <f>Q509/100</f>
        <v>0</v>
      </c>
      <c r="S509" s="474"/>
      <c r="T509" s="344"/>
      <c r="U509" s="475"/>
    </row>
    <row r="510" spans="2:21" ht="13.2" customHeight="1" x14ac:dyDescent="0.25">
      <c r="B510" s="345"/>
      <c r="C510" s="359" t="s">
        <v>54</v>
      </c>
      <c r="D510" s="352" t="str">
        <f>HLOOKUP(Deckblatt!$C$12,Language!$C$1:$D$730,628,FALSE)</f>
        <v>Beschilderung und Information</v>
      </c>
      <c r="E510" s="353"/>
      <c r="F510" s="347"/>
      <c r="G510" s="364"/>
      <c r="H510" s="21">
        <v>25</v>
      </c>
      <c r="I510" s="349"/>
      <c r="J510" s="340"/>
      <c r="K510" s="341"/>
      <c r="L510" s="341"/>
      <c r="M510" s="341"/>
      <c r="N510" s="342"/>
      <c r="P510" s="18">
        <f t="shared" si="9"/>
        <v>0</v>
      </c>
      <c r="Q510" s="338"/>
      <c r="R510" s="344"/>
      <c r="S510" s="474"/>
      <c r="T510" s="344"/>
      <c r="U510" s="475"/>
    </row>
    <row r="511" spans="2:21" ht="52.8" x14ac:dyDescent="0.25">
      <c r="B511" s="346"/>
      <c r="C511" s="390"/>
      <c r="D511" s="160" t="s">
        <v>58</v>
      </c>
      <c r="E511" s="134" t="str">
        <f>HLOOKUP(Deckblatt!$C$12,Language!$C$1:$D$730,629,FALSE)</f>
        <v>Konzept und Maßnahmen
Anwohner werden über Beschilderung über das Bauvorhaben und Baustelle informiert. Hierzu zählen Bauinformationen, Wegeführung, ggf. Verantwortliche und Ansprechpartner.</v>
      </c>
      <c r="F511" s="348"/>
      <c r="G511" s="69"/>
      <c r="H511" s="18">
        <v>5</v>
      </c>
      <c r="I511" s="350"/>
      <c r="J511" s="340"/>
      <c r="K511" s="341"/>
      <c r="L511" s="341"/>
      <c r="M511" s="341"/>
      <c r="N511" s="342"/>
      <c r="P511" s="18">
        <f t="shared" si="9"/>
        <v>0</v>
      </c>
      <c r="Q511" s="338"/>
      <c r="R511" s="344"/>
      <c r="S511" s="474"/>
      <c r="T511" s="344"/>
      <c r="U511" s="475"/>
    </row>
    <row r="512" spans="2:21" ht="118.8" x14ac:dyDescent="0.25">
      <c r="B512" s="346"/>
      <c r="C512" s="360"/>
      <c r="D512" s="160" t="s">
        <v>181</v>
      </c>
      <c r="E512"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12" s="348"/>
      <c r="G512" s="69"/>
      <c r="H512" s="18">
        <v>20</v>
      </c>
      <c r="I512" s="350"/>
      <c r="J512" s="340"/>
      <c r="K512" s="341"/>
      <c r="L512" s="341"/>
      <c r="M512" s="341"/>
      <c r="N512" s="342"/>
      <c r="P512" s="18">
        <f t="shared" si="9"/>
        <v>0</v>
      </c>
      <c r="Q512" s="338"/>
      <c r="R512" s="344"/>
      <c r="S512" s="474"/>
      <c r="T512" s="344"/>
      <c r="U512" s="475"/>
    </row>
    <row r="513" spans="2:21" x14ac:dyDescent="0.25">
      <c r="B513" s="346"/>
      <c r="C513" s="351" t="s">
        <v>61</v>
      </c>
      <c r="D513" s="352" t="str">
        <f>HLOOKUP(Deckblatt!$C$12,Language!$C$1:$D$730,631,FALSE)</f>
        <v>Abfall</v>
      </c>
      <c r="E513" s="353"/>
      <c r="F513" s="348"/>
      <c r="G513" s="113"/>
      <c r="H513" s="21">
        <v>25</v>
      </c>
      <c r="I513" s="350"/>
      <c r="J513" s="340"/>
      <c r="K513" s="341"/>
      <c r="L513" s="341"/>
      <c r="M513" s="341"/>
      <c r="N513" s="342"/>
      <c r="P513" s="18">
        <f t="shared" si="9"/>
        <v>0</v>
      </c>
      <c r="Q513" s="338"/>
      <c r="R513" s="344"/>
      <c r="S513" s="474"/>
      <c r="T513" s="344"/>
      <c r="U513" s="475"/>
    </row>
    <row r="514" spans="2:21" ht="52.8" x14ac:dyDescent="0.25">
      <c r="B514" s="346"/>
      <c r="C514" s="351"/>
      <c r="D514" s="160" t="s">
        <v>63</v>
      </c>
      <c r="E514" s="134" t="str">
        <f>HLOOKUP(Deckblatt!$C$12,Language!$C$1:$D$730,632,FALSE)</f>
        <v xml:space="preserve">Abfall
(Details siehe Kriterium)
</v>
      </c>
      <c r="F514" s="348"/>
      <c r="G514" s="69"/>
      <c r="H514" s="18">
        <v>15</v>
      </c>
      <c r="I514" s="350"/>
      <c r="J514" s="340"/>
      <c r="K514" s="341"/>
      <c r="L514" s="341"/>
      <c r="M514" s="341"/>
      <c r="N514" s="342"/>
      <c r="P514" s="18">
        <f t="shared" si="9"/>
        <v>0</v>
      </c>
      <c r="Q514" s="338"/>
      <c r="R514" s="344"/>
      <c r="S514" s="474"/>
      <c r="T514" s="344"/>
      <c r="U514" s="475"/>
    </row>
    <row r="515" spans="2:21" ht="79.2" x14ac:dyDescent="0.25">
      <c r="B515" s="346"/>
      <c r="C515" s="351"/>
      <c r="D515" s="71" t="s">
        <v>186</v>
      </c>
      <c r="E515" s="239" t="str">
        <f>HLOOKUP(Deckblatt!$C$12,Language!$C$1:$D$730,633,FALSE)</f>
        <v xml:space="preserve">CIRCULAR ECONOMY BONUS – ABFALLVERMEIDUNG AUF DER BAUSTELLE
Auf der Baustelle werden neuartige und in wesentlichem Umfang abfallvermeidende Konzepte, Bauweisen oder Technologien umgesetzt.
</v>
      </c>
      <c r="F515" s="348"/>
      <c r="G515" s="69"/>
      <c r="H515" s="18">
        <v>10</v>
      </c>
      <c r="I515" s="350"/>
      <c r="J515" s="340"/>
      <c r="K515" s="341"/>
      <c r="L515" s="341"/>
      <c r="M515" s="341"/>
      <c r="N515" s="342"/>
      <c r="P515" s="18">
        <f t="shared" si="9"/>
        <v>0</v>
      </c>
      <c r="Q515" s="338"/>
      <c r="R515" s="344"/>
      <c r="S515" s="474"/>
      <c r="T515" s="344"/>
      <c r="U515" s="475"/>
    </row>
    <row r="516" spans="2:21" x14ac:dyDescent="0.25">
      <c r="B516" s="346"/>
      <c r="C516" s="351" t="s">
        <v>64</v>
      </c>
      <c r="D516" s="352" t="str">
        <f>HLOOKUP(Deckblatt!$C$12,Language!$C$1:$D$730,634,FALSE)</f>
        <v>Lärm</v>
      </c>
      <c r="E516" s="353"/>
      <c r="F516" s="348"/>
      <c r="G516" s="113"/>
      <c r="H516" s="21">
        <v>20</v>
      </c>
      <c r="I516" s="350"/>
      <c r="J516" s="340"/>
      <c r="K516" s="341"/>
      <c r="L516" s="341"/>
      <c r="M516" s="341"/>
      <c r="N516" s="342"/>
      <c r="P516" s="18">
        <f t="shared" si="9"/>
        <v>0</v>
      </c>
      <c r="Q516" s="338"/>
      <c r="R516" s="344"/>
      <c r="S516" s="474"/>
      <c r="T516" s="344"/>
      <c r="U516" s="475"/>
    </row>
    <row r="517" spans="2:21" ht="52.8" x14ac:dyDescent="0.25">
      <c r="B517" s="346"/>
      <c r="C517" s="351"/>
      <c r="D517" s="71" t="s">
        <v>66</v>
      </c>
      <c r="E517" s="134" t="str">
        <f>HLOOKUP(Deckblatt!$C$12,Language!$C$1:$D$730,635,FALSE)</f>
        <v xml:space="preserve">Lärm
(Details siehe Kriterium)
</v>
      </c>
      <c r="F517" s="348"/>
      <c r="G517" s="69"/>
      <c r="H517" s="18">
        <v>20</v>
      </c>
      <c r="I517" s="350"/>
      <c r="J517" s="340"/>
      <c r="K517" s="341"/>
      <c r="L517" s="341"/>
      <c r="M517" s="341"/>
      <c r="N517" s="342"/>
      <c r="P517" s="18">
        <f t="shared" si="9"/>
        <v>0</v>
      </c>
      <c r="Q517" s="338"/>
      <c r="R517" s="344"/>
      <c r="S517" s="474"/>
      <c r="T517" s="344"/>
      <c r="U517" s="475"/>
    </row>
    <row r="518" spans="2:21" x14ac:dyDescent="0.25">
      <c r="B518" s="346"/>
      <c r="C518" s="351" t="s">
        <v>67</v>
      </c>
      <c r="D518" s="352" t="str">
        <f>HLOOKUP(Deckblatt!$C$12,Language!$C$1:$D$730,636,FALSE)</f>
        <v>Staub</v>
      </c>
      <c r="E518" s="353"/>
      <c r="F518" s="348"/>
      <c r="G518" s="113"/>
      <c r="H518" s="21">
        <v>20</v>
      </c>
      <c r="I518" s="350"/>
      <c r="J518" s="340"/>
      <c r="K518" s="341"/>
      <c r="L518" s="341"/>
      <c r="M518" s="341"/>
      <c r="N518" s="342"/>
      <c r="P518" s="18">
        <f t="shared" si="9"/>
        <v>0</v>
      </c>
      <c r="Q518" s="338"/>
      <c r="R518" s="344"/>
      <c r="S518" s="474"/>
      <c r="T518" s="344"/>
      <c r="U518" s="475"/>
    </row>
    <row r="519" spans="2:21" ht="52.8" x14ac:dyDescent="0.25">
      <c r="B519" s="346"/>
      <c r="C519" s="351"/>
      <c r="D519" s="71" t="s">
        <v>69</v>
      </c>
      <c r="E519" s="134" t="str">
        <f>HLOOKUP(Deckblatt!$C$12,Language!$C$1:$D$730,637,FALSE)</f>
        <v xml:space="preserve">Staub
(Details siehe Kriterium)
</v>
      </c>
      <c r="F519" s="348"/>
      <c r="G519" s="69"/>
      <c r="H519" s="18">
        <v>20</v>
      </c>
      <c r="I519" s="350"/>
      <c r="J519" s="340"/>
      <c r="K519" s="341"/>
      <c r="L519" s="341"/>
      <c r="M519" s="341"/>
      <c r="N519" s="342"/>
      <c r="P519" s="18">
        <f t="shared" si="9"/>
        <v>0</v>
      </c>
      <c r="Q519" s="338"/>
      <c r="R519" s="344"/>
      <c r="S519" s="474"/>
      <c r="T519" s="344"/>
      <c r="U519" s="475"/>
    </row>
    <row r="520" spans="2:21" ht="66" x14ac:dyDescent="0.25">
      <c r="B520" s="346"/>
      <c r="C520" s="351"/>
      <c r="D520" s="57" t="s">
        <v>542</v>
      </c>
      <c r="E520"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20" s="348"/>
      <c r="G520" s="69"/>
      <c r="H520" s="18">
        <v>20</v>
      </c>
      <c r="I520" s="350"/>
      <c r="J520" s="340"/>
      <c r="K520" s="341"/>
      <c r="L520" s="341"/>
      <c r="M520" s="341"/>
      <c r="N520" s="342"/>
      <c r="P520" s="18">
        <f t="shared" si="9"/>
        <v>0</v>
      </c>
      <c r="Q520" s="338"/>
      <c r="R520" s="344"/>
      <c r="S520" s="474"/>
      <c r="T520" s="344"/>
      <c r="U520" s="475"/>
    </row>
    <row r="521" spans="2:21" ht="13.2" customHeight="1" x14ac:dyDescent="0.25">
      <c r="B521" s="346"/>
      <c r="C521" s="359" t="s">
        <v>154</v>
      </c>
      <c r="D521" s="352" t="str">
        <f>HLOOKUP(Deckblatt!$C$12,Language!$C$1:$D$730,639,FALSE)</f>
        <v>Umwelt- und Naturschutz</v>
      </c>
      <c r="E521" s="353"/>
      <c r="F521" s="348"/>
      <c r="G521" s="113"/>
      <c r="H521" s="21">
        <v>20</v>
      </c>
      <c r="I521" s="350"/>
      <c r="J521" s="340"/>
      <c r="K521" s="341"/>
      <c r="L521" s="341"/>
      <c r="M521" s="341"/>
      <c r="N521" s="342"/>
      <c r="P521" s="18">
        <f t="shared" si="9"/>
        <v>0</v>
      </c>
      <c r="Q521" s="338"/>
      <c r="R521" s="344"/>
      <c r="S521" s="474"/>
      <c r="T521" s="344"/>
      <c r="U521" s="475"/>
    </row>
    <row r="522" spans="2:21" ht="52.8" x14ac:dyDescent="0.25">
      <c r="B522" s="346"/>
      <c r="C522" s="390"/>
      <c r="D522" s="71" t="s">
        <v>156</v>
      </c>
      <c r="E522" s="134" t="str">
        <f>HLOOKUP(Deckblatt!$C$12,Language!$C$1:$D$730,640,FALSE)</f>
        <v xml:space="preserve">Umwelt- und Naturschutz
(Details siehe Kriterium)
</v>
      </c>
      <c r="F522" s="348"/>
      <c r="G522" s="69"/>
      <c r="H522" s="18">
        <v>20</v>
      </c>
      <c r="I522" s="350"/>
      <c r="J522" s="340"/>
      <c r="K522" s="341"/>
      <c r="L522" s="341"/>
      <c r="M522" s="341"/>
      <c r="N522" s="342"/>
      <c r="P522" s="18">
        <f t="shared" si="9"/>
        <v>0</v>
      </c>
      <c r="Q522" s="338"/>
      <c r="R522" s="344"/>
      <c r="S522" s="474"/>
      <c r="T522" s="344"/>
      <c r="U522" s="475"/>
    </row>
    <row r="523" spans="2:21" ht="92.4" x14ac:dyDescent="0.25">
      <c r="B523" s="370"/>
      <c r="C523" s="360"/>
      <c r="D523" s="57" t="s">
        <v>694</v>
      </c>
      <c r="E523"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3" s="371"/>
      <c r="G523" s="69"/>
      <c r="H523" s="18">
        <v>20</v>
      </c>
      <c r="I523" s="366"/>
      <c r="J523" s="340"/>
      <c r="K523" s="341"/>
      <c r="L523" s="341"/>
      <c r="M523" s="341"/>
      <c r="N523" s="342"/>
      <c r="P523" s="18">
        <f t="shared" si="9"/>
        <v>0</v>
      </c>
      <c r="Q523" s="339"/>
      <c r="R523" s="365"/>
      <c r="S523" s="474"/>
      <c r="T523" s="344"/>
      <c r="U523" s="475"/>
    </row>
    <row r="524" spans="2:21" ht="13.8" thickBot="1" x14ac:dyDescent="0.3">
      <c r="B524" s="215" t="s">
        <v>545</v>
      </c>
      <c r="C524" s="384" t="str">
        <f>HLOOKUP(Deckblatt!$C$12,Language!$C$1:$D$730,642,FALSE)</f>
        <v>Qualitätssicherung &amp; Monitoring</v>
      </c>
      <c r="D524" s="384"/>
      <c r="E524" s="385"/>
      <c r="F524" s="66">
        <f>Q524</f>
        <v>0</v>
      </c>
      <c r="G524" s="364"/>
      <c r="H524" s="21">
        <v>100</v>
      </c>
      <c r="I524" s="176">
        <v>2</v>
      </c>
      <c r="J524" s="340"/>
      <c r="K524" s="341"/>
      <c r="L524" s="341"/>
      <c r="M524" s="341"/>
      <c r="N524" s="342"/>
      <c r="P524" s="18">
        <f t="shared" si="9"/>
        <v>0</v>
      </c>
      <c r="Q524" s="337">
        <f>SUM(P526:P540)</f>
        <v>0</v>
      </c>
      <c r="R524" s="343">
        <f>Q524/100</f>
        <v>0</v>
      </c>
      <c r="S524" s="474"/>
      <c r="T524" s="344"/>
      <c r="U524" s="475"/>
    </row>
    <row r="525" spans="2:21" ht="13.2" customHeight="1" x14ac:dyDescent="0.25">
      <c r="B525" s="501"/>
      <c r="C525" s="386" t="s">
        <v>54</v>
      </c>
      <c r="D525" s="387" t="str">
        <f>HLOOKUP(Deckblatt!$C$12,Language!$C$1:$D$730,643,FALSE)</f>
        <v>Nachhaltigkeitsmanagement</v>
      </c>
      <c r="E525" s="388"/>
      <c r="F525" s="363"/>
      <c r="G525" s="364"/>
      <c r="H525" s="137">
        <v>45</v>
      </c>
      <c r="I525" s="379"/>
      <c r="J525" s="340"/>
      <c r="K525" s="341"/>
      <c r="L525" s="341"/>
      <c r="M525" s="341"/>
      <c r="N525" s="342"/>
      <c r="P525" s="18">
        <f t="shared" si="9"/>
        <v>0</v>
      </c>
      <c r="Q525" s="338"/>
      <c r="R525" s="344"/>
      <c r="S525" s="474"/>
      <c r="T525" s="344"/>
      <c r="U525" s="475"/>
    </row>
    <row r="526" spans="2:21" ht="13.2" customHeight="1" x14ac:dyDescent="0.25">
      <c r="B526" s="375"/>
      <c r="C526" s="351"/>
      <c r="D526" s="160" t="s">
        <v>58</v>
      </c>
      <c r="E526" s="134" t="str">
        <f>HLOOKUP(Deckblatt!$C$12,Language!$C$1:$D$730,644,FALSE)</f>
        <v xml:space="preserve">Standortmanagement
</v>
      </c>
      <c r="F526" s="363"/>
      <c r="G526" s="69"/>
      <c r="H526" s="138">
        <v>15</v>
      </c>
      <c r="I526" s="379"/>
      <c r="J526" s="340"/>
      <c r="K526" s="341"/>
      <c r="L526" s="341"/>
      <c r="M526" s="341"/>
      <c r="N526" s="342"/>
      <c r="P526" s="18">
        <f t="shared" si="9"/>
        <v>0</v>
      </c>
      <c r="Q526" s="338"/>
      <c r="R526" s="344"/>
      <c r="S526" s="474"/>
      <c r="T526" s="344"/>
      <c r="U526" s="475"/>
    </row>
    <row r="527" spans="2:21" ht="48" customHeight="1" x14ac:dyDescent="0.25">
      <c r="B527" s="375"/>
      <c r="C527" s="351"/>
      <c r="D527" s="160" t="s">
        <v>181</v>
      </c>
      <c r="E527" s="134" t="str">
        <f>HLOOKUP(Deckblatt!$C$12,Language!$C$1:$D$730,645,FALSE)</f>
        <v xml:space="preserve">Budget und Handlungsbefugnisse
</v>
      </c>
      <c r="F527" s="363"/>
      <c r="G527" s="69"/>
      <c r="H527" s="138">
        <v>10</v>
      </c>
      <c r="I527" s="379"/>
      <c r="J527" s="340"/>
      <c r="K527" s="341"/>
      <c r="L527" s="341"/>
      <c r="M527" s="341"/>
      <c r="N527" s="342"/>
      <c r="P527" s="18">
        <f t="shared" si="9"/>
        <v>0</v>
      </c>
      <c r="Q527" s="338"/>
      <c r="R527" s="344"/>
      <c r="S527" s="474"/>
      <c r="T527" s="344"/>
      <c r="U527" s="475"/>
    </row>
    <row r="528" spans="2:21" ht="39.6" x14ac:dyDescent="0.25">
      <c r="B528" s="375"/>
      <c r="C528" s="351"/>
      <c r="D528" s="160" t="s">
        <v>246</v>
      </c>
      <c r="E528" s="134" t="str">
        <f>HLOOKUP(Deckblatt!$C$12,Language!$C$1:$D$730,646,FALSE)</f>
        <v xml:space="preserve">Berichterstattung zu Nachhaltigkeitsthemen
</v>
      </c>
      <c r="F528" s="363"/>
      <c r="G528" s="69"/>
      <c r="H528" s="138">
        <v>10</v>
      </c>
      <c r="I528" s="379"/>
      <c r="J528" s="340"/>
      <c r="K528" s="341"/>
      <c r="L528" s="341"/>
      <c r="M528" s="341"/>
      <c r="N528" s="342"/>
      <c r="P528" s="18">
        <f t="shared" si="9"/>
        <v>0</v>
      </c>
      <c r="Q528" s="338"/>
      <c r="R528" s="344"/>
      <c r="S528" s="474"/>
      <c r="T528" s="344"/>
      <c r="U528" s="475"/>
    </row>
    <row r="529" spans="2:21" ht="26.4" x14ac:dyDescent="0.25">
      <c r="B529" s="375"/>
      <c r="C529" s="351"/>
      <c r="D529" s="160" t="s">
        <v>250</v>
      </c>
      <c r="E529" s="134" t="str">
        <f>HLOOKUP(Deckblatt!$C$12,Language!$C$1:$D$730,647,FALSE)</f>
        <v xml:space="preserve">Inhalte der Nachhaltigkeitsberichterstattung 
</v>
      </c>
      <c r="F529" s="363"/>
      <c r="G529" s="69"/>
      <c r="H529" s="138">
        <v>10</v>
      </c>
      <c r="I529" s="379"/>
      <c r="J529" s="340"/>
      <c r="K529" s="341"/>
      <c r="L529" s="341"/>
      <c r="M529" s="341"/>
      <c r="N529" s="342"/>
      <c r="P529" s="18">
        <f t="shared" si="9"/>
        <v>0</v>
      </c>
      <c r="Q529" s="338"/>
      <c r="R529" s="344"/>
      <c r="S529" s="474"/>
      <c r="T529" s="344"/>
      <c r="U529" s="475"/>
    </row>
    <row r="530" spans="2:21" ht="13.2" customHeight="1" x14ac:dyDescent="0.25">
      <c r="B530" s="375"/>
      <c r="C530" s="351" t="s">
        <v>61</v>
      </c>
      <c r="D530" s="352" t="str">
        <f>HLOOKUP(Deckblatt!$C$12,Language!$C$1:$D$730,649,FALSE)</f>
        <v>Energiemonitoring/-management</v>
      </c>
      <c r="E530" s="353"/>
      <c r="F530" s="363"/>
      <c r="G530" s="356"/>
      <c r="H530" s="137">
        <v>15</v>
      </c>
      <c r="I530" s="379"/>
      <c r="J530" s="340"/>
      <c r="K530" s="341"/>
      <c r="L530" s="341"/>
      <c r="M530" s="341"/>
      <c r="N530" s="342"/>
      <c r="P530" s="18">
        <f t="shared" si="9"/>
        <v>0</v>
      </c>
      <c r="Q530" s="338"/>
      <c r="R530" s="344"/>
      <c r="S530" s="474"/>
      <c r="T530" s="344"/>
      <c r="U530" s="475"/>
    </row>
    <row r="531" spans="2:21" x14ac:dyDescent="0.25">
      <c r="B531" s="375"/>
      <c r="C531" s="351"/>
      <c r="D531" s="376" t="s">
        <v>63</v>
      </c>
      <c r="E531" s="134" t="str">
        <f>HLOOKUP(Deckblatt!$C$12,Language!$C$1:$D$730,650,FALSE)</f>
        <v>Energiemonitoring</v>
      </c>
      <c r="F531" s="363"/>
      <c r="G531" s="356"/>
      <c r="H531" s="137">
        <v>15</v>
      </c>
      <c r="I531" s="379"/>
      <c r="J531" s="340"/>
      <c r="K531" s="341"/>
      <c r="L531" s="341"/>
      <c r="M531" s="341"/>
      <c r="N531" s="342"/>
      <c r="P531" s="18">
        <f t="shared" si="9"/>
        <v>0</v>
      </c>
      <c r="Q531" s="338"/>
      <c r="R531" s="344"/>
      <c r="S531" s="474"/>
      <c r="T531" s="344"/>
      <c r="U531" s="475"/>
    </row>
    <row r="532" spans="2:21" ht="39.6" x14ac:dyDescent="0.25">
      <c r="B532" s="375"/>
      <c r="C532" s="351"/>
      <c r="D532" s="376"/>
      <c r="E532" s="134" t="str">
        <f>HLOOKUP(Deckblatt!$C$12,Language!$C$1:$D$730,652,FALSE)</f>
        <v xml:space="preserve">Es gibt ein Energie-Monitoring für Wärme auf Quartiersebene, an dem alle Gebäudenutzer teilnehmen können.
</v>
      </c>
      <c r="F532" s="363"/>
      <c r="G532" s="69"/>
      <c r="H532" s="138">
        <v>8</v>
      </c>
      <c r="I532" s="379"/>
      <c r="J532" s="340"/>
      <c r="K532" s="341"/>
      <c r="L532" s="341"/>
      <c r="M532" s="341"/>
      <c r="N532" s="342"/>
      <c r="P532" s="18">
        <f t="shared" si="9"/>
        <v>0</v>
      </c>
      <c r="Q532" s="338"/>
      <c r="R532" s="344"/>
      <c r="S532" s="474"/>
      <c r="T532" s="344"/>
      <c r="U532" s="475"/>
    </row>
    <row r="533" spans="2:21" ht="39.6" x14ac:dyDescent="0.25">
      <c r="B533" s="375"/>
      <c r="C533" s="351"/>
      <c r="D533" s="376"/>
      <c r="E533" s="134" t="str">
        <f>HLOOKUP(Deckblatt!$C$12,Language!$C$1:$D$730,653,FALSE)</f>
        <v xml:space="preserve">Es gibt ein Energie-Monitoring für Strom auf Quartiersebene, an dem alle Gebäudenutzer teilnehmen können.
</v>
      </c>
      <c r="F533" s="363"/>
      <c r="G533" s="69"/>
      <c r="H533" s="138">
        <v>7</v>
      </c>
      <c r="I533" s="379"/>
      <c r="J533" s="340"/>
      <c r="K533" s="341"/>
      <c r="L533" s="341"/>
      <c r="M533" s="341"/>
      <c r="N533" s="342"/>
      <c r="P533" s="18">
        <f t="shared" si="9"/>
        <v>0</v>
      </c>
      <c r="Q533" s="338"/>
      <c r="R533" s="344"/>
      <c r="S533" s="474"/>
      <c r="T533" s="344"/>
      <c r="U533" s="475"/>
    </row>
    <row r="534" spans="2:21" ht="13.2" customHeight="1" x14ac:dyDescent="0.25">
      <c r="B534" s="375"/>
      <c r="C534" s="351" t="s">
        <v>64</v>
      </c>
      <c r="D534" s="352" t="str">
        <f>HLOOKUP(Deckblatt!$C$12,Language!$C$1:$D$730,660,FALSE)</f>
        <v>Wassermonitoring /-management</v>
      </c>
      <c r="E534" s="353"/>
      <c r="F534" s="363"/>
      <c r="G534" s="113"/>
      <c r="H534" s="137">
        <v>10</v>
      </c>
      <c r="I534" s="379"/>
      <c r="J534" s="340"/>
      <c r="K534" s="341"/>
      <c r="L534" s="341"/>
      <c r="M534" s="341"/>
      <c r="N534" s="342"/>
      <c r="P534" s="18">
        <f t="shared" si="9"/>
        <v>0</v>
      </c>
      <c r="Q534" s="338"/>
      <c r="R534" s="344"/>
      <c r="S534" s="474"/>
      <c r="T534" s="344"/>
      <c r="U534" s="475"/>
    </row>
    <row r="535" spans="2:21" ht="39.6" x14ac:dyDescent="0.25">
      <c r="B535" s="375"/>
      <c r="C535" s="351"/>
      <c r="D535" s="160" t="s">
        <v>66</v>
      </c>
      <c r="E535" s="134" t="str">
        <f>HLOOKUP(Deckblatt!$C$12,Language!$C$1:$D$730,661,FALSE)</f>
        <v xml:space="preserve">Wassermonitoring
</v>
      </c>
      <c r="F535" s="363"/>
      <c r="G535" s="69"/>
      <c r="H535" s="138">
        <v>10</v>
      </c>
      <c r="I535" s="379"/>
      <c r="J535" s="340"/>
      <c r="K535" s="341"/>
      <c r="L535" s="341"/>
      <c r="M535" s="341"/>
      <c r="N535" s="342"/>
      <c r="P535" s="18">
        <f t="shared" si="9"/>
        <v>0</v>
      </c>
      <c r="Q535" s="338"/>
      <c r="R535" s="344"/>
      <c r="S535" s="474"/>
      <c r="T535" s="344"/>
      <c r="U535" s="475"/>
    </row>
    <row r="536" spans="2:21" ht="13.2" customHeight="1" x14ac:dyDescent="0.25">
      <c r="B536" s="375"/>
      <c r="C536" s="351" t="s">
        <v>67</v>
      </c>
      <c r="D536" s="352" t="str">
        <f>HLOOKUP(Deckblatt!$C$12,Language!$C$1:$D$730,664,FALSE)</f>
        <v>Umsetzung von Gestaltungszielen</v>
      </c>
      <c r="E536" s="353"/>
      <c r="F536" s="363"/>
      <c r="G536" s="113"/>
      <c r="H536" s="137">
        <v>20</v>
      </c>
      <c r="I536" s="379"/>
      <c r="J536" s="340"/>
      <c r="K536" s="341"/>
      <c r="L536" s="341"/>
      <c r="M536" s="341"/>
      <c r="N536" s="342"/>
      <c r="P536" s="18">
        <f t="shared" si="9"/>
        <v>0</v>
      </c>
      <c r="Q536" s="338"/>
      <c r="R536" s="344"/>
      <c r="S536" s="474"/>
      <c r="T536" s="344"/>
      <c r="U536" s="475"/>
    </row>
    <row r="537" spans="2:21" ht="79.2" x14ac:dyDescent="0.25">
      <c r="B537" s="375"/>
      <c r="C537" s="351"/>
      <c r="D537" s="160" t="s">
        <v>69</v>
      </c>
      <c r="E537" s="134" t="str">
        <f>HLOOKUP(Deckblatt!$C$12,Language!$C$1:$D$730,665,FALSE)</f>
        <v xml:space="preserve">Prozessmethodik
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v>
      </c>
      <c r="F537" s="363"/>
      <c r="G537" s="69"/>
      <c r="H537" s="138">
        <v>10</v>
      </c>
      <c r="I537" s="379"/>
      <c r="J537" s="340"/>
      <c r="K537" s="341"/>
      <c r="L537" s="341"/>
      <c r="M537" s="341"/>
      <c r="N537" s="342"/>
      <c r="P537" s="18">
        <f t="shared" si="9"/>
        <v>0</v>
      </c>
      <c r="Q537" s="338"/>
      <c r="R537" s="344"/>
      <c r="S537" s="474"/>
      <c r="T537" s="344"/>
      <c r="U537" s="475"/>
    </row>
    <row r="538" spans="2:21" ht="52.8" x14ac:dyDescent="0.25">
      <c r="B538" s="375"/>
      <c r="C538" s="351"/>
      <c r="D538" s="160" t="s">
        <v>78</v>
      </c>
      <c r="E538" s="134" t="str">
        <f>HLOOKUP(Deckblatt!$C$12,Language!$C$1:$D$730,666,FALSE)</f>
        <v xml:space="preserve">Gestalterische Vorgaben
Die gestalterischen Vorgaben werden zugleich formell gesichert (z. B. B-Plan, Gestaltungssatzung …).
</v>
      </c>
      <c r="F538" s="363"/>
      <c r="G538" s="69"/>
      <c r="H538" s="138">
        <v>10</v>
      </c>
      <c r="I538" s="379"/>
      <c r="J538" s="340"/>
      <c r="K538" s="341"/>
      <c r="L538" s="341"/>
      <c r="M538" s="341"/>
      <c r="N538" s="342"/>
      <c r="P538" s="18">
        <f t="shared" si="9"/>
        <v>0</v>
      </c>
      <c r="Q538" s="338"/>
      <c r="R538" s="344"/>
      <c r="S538" s="474"/>
      <c r="T538" s="344"/>
      <c r="U538" s="475"/>
    </row>
    <row r="539" spans="2:21" ht="13.2" customHeight="1" x14ac:dyDescent="0.25">
      <c r="B539" s="375"/>
      <c r="C539" s="351" t="s">
        <v>154</v>
      </c>
      <c r="D539" s="352" t="str">
        <f>HLOOKUP(Deckblatt!$C$12,Language!$C$1:$D$730,667,FALSE)</f>
        <v>Datenmodelle</v>
      </c>
      <c r="E539" s="353"/>
      <c r="F539" s="363"/>
      <c r="G539" s="113"/>
      <c r="H539" s="137">
        <v>10</v>
      </c>
      <c r="I539" s="379"/>
      <c r="J539" s="340"/>
      <c r="K539" s="341"/>
      <c r="L539" s="341"/>
      <c r="M539" s="341"/>
      <c r="N539" s="342"/>
      <c r="P539" s="18">
        <f t="shared" si="9"/>
        <v>0</v>
      </c>
      <c r="Q539" s="338"/>
      <c r="R539" s="344"/>
      <c r="S539" s="474"/>
      <c r="T539" s="344"/>
      <c r="U539" s="475"/>
    </row>
    <row r="540" spans="2:21" ht="53.4" thickBot="1" x14ac:dyDescent="0.3">
      <c r="B540" s="377"/>
      <c r="C540" s="389"/>
      <c r="D540" s="165" t="s">
        <v>156</v>
      </c>
      <c r="E540" s="242" t="str">
        <f>HLOOKUP(Deckblatt!$C$12,Language!$C$1:$D$730,668,FALSE)</f>
        <v xml:space="preserve">3-D-Datenmodelle
Es gibt eine weiterführende Zusammenarbeit auf der Basis von 3-D-Datenmodellen (GIS, CIM, BIM).
</v>
      </c>
      <c r="F540" s="378"/>
      <c r="G540" s="70"/>
      <c r="H540" s="139">
        <v>10</v>
      </c>
      <c r="I540" s="380"/>
      <c r="J540" s="381"/>
      <c r="K540" s="382"/>
      <c r="L540" s="382"/>
      <c r="M540" s="382"/>
      <c r="N540" s="383"/>
      <c r="P540" s="18">
        <f t="shared" si="9"/>
        <v>0</v>
      </c>
      <c r="Q540" s="339"/>
      <c r="R540" s="365"/>
      <c r="S540" s="474"/>
      <c r="T540" s="365"/>
      <c r="U540" s="476"/>
    </row>
  </sheetData>
  <mergeCells count="1077">
    <mergeCell ref="B148:B152"/>
    <mergeCell ref="D152:E152"/>
    <mergeCell ref="J152:N152"/>
    <mergeCell ref="F148:F152"/>
    <mergeCell ref="I148:I152"/>
    <mergeCell ref="Q147:Q152"/>
    <mergeCell ref="R147:R152"/>
    <mergeCell ref="S87:S152"/>
    <mergeCell ref="T87:T152"/>
    <mergeCell ref="J27:N27"/>
    <mergeCell ref="J17:N17"/>
    <mergeCell ref="D18:D19"/>
    <mergeCell ref="J18:N18"/>
    <mergeCell ref="J19:N19"/>
    <mergeCell ref="C20:C21"/>
    <mergeCell ref="D20:E20"/>
    <mergeCell ref="J20:N20"/>
    <mergeCell ref="J21:N21"/>
    <mergeCell ref="J29:N29"/>
    <mergeCell ref="C31:C33"/>
    <mergeCell ref="D31:E31"/>
    <mergeCell ref="J31:N31"/>
    <mergeCell ref="J32:N32"/>
    <mergeCell ref="J33:N33"/>
    <mergeCell ref="C28:E28"/>
    <mergeCell ref="G28:G29"/>
    <mergeCell ref="J28:N28"/>
    <mergeCell ref="Q28:Q38"/>
    <mergeCell ref="D34:E34"/>
    <mergeCell ref="J34:N34"/>
    <mergeCell ref="J35:N35"/>
    <mergeCell ref="J36:N36"/>
    <mergeCell ref="P10:P11"/>
    <mergeCell ref="Q10:Q11"/>
    <mergeCell ref="R10:R11"/>
    <mergeCell ref="S10:S11"/>
    <mergeCell ref="T10:T11"/>
    <mergeCell ref="U10:U11"/>
    <mergeCell ref="B6:D6"/>
    <mergeCell ref="F6:G6"/>
    <mergeCell ref="H6:I6"/>
    <mergeCell ref="J6:M6"/>
    <mergeCell ref="B10:B11"/>
    <mergeCell ref="C10:D11"/>
    <mergeCell ref="E10:E11"/>
    <mergeCell ref="F10:H10"/>
    <mergeCell ref="I10:I11"/>
    <mergeCell ref="J10:N11"/>
    <mergeCell ref="J25:N25"/>
    <mergeCell ref="B8:N8"/>
    <mergeCell ref="D23:D26"/>
    <mergeCell ref="J26:N26"/>
    <mergeCell ref="T12:T86"/>
    <mergeCell ref="R28:R38"/>
    <mergeCell ref="B29:B38"/>
    <mergeCell ref="C29:C30"/>
    <mergeCell ref="D29:E29"/>
    <mergeCell ref="F29:F38"/>
    <mergeCell ref="I29:I38"/>
    <mergeCell ref="C39:E39"/>
    <mergeCell ref="G39:G40"/>
    <mergeCell ref="J39:N39"/>
    <mergeCell ref="D40:E40"/>
    <mergeCell ref="C34:C36"/>
    <mergeCell ref="B2:D2"/>
    <mergeCell ref="J2:L4"/>
    <mergeCell ref="M2:M4"/>
    <mergeCell ref="P2:U4"/>
    <mergeCell ref="B3:D3"/>
    <mergeCell ref="B4:D4"/>
    <mergeCell ref="U12:U540"/>
    <mergeCell ref="B13:B27"/>
    <mergeCell ref="C13:C16"/>
    <mergeCell ref="D13:E13"/>
    <mergeCell ref="F13:F27"/>
    <mergeCell ref="I13:I27"/>
    <mergeCell ref="J13:N13"/>
    <mergeCell ref="D14:D16"/>
    <mergeCell ref="J14:N14"/>
    <mergeCell ref="C12:E12"/>
    <mergeCell ref="G12:G14"/>
    <mergeCell ref="J12:N12"/>
    <mergeCell ref="Q12:Q27"/>
    <mergeCell ref="R12:R27"/>
    <mergeCell ref="S12:S86"/>
    <mergeCell ref="J15:N15"/>
    <mergeCell ref="J16:N16"/>
    <mergeCell ref="C17:C19"/>
    <mergeCell ref="D17:E17"/>
    <mergeCell ref="C22:C27"/>
    <mergeCell ref="D22:E22"/>
    <mergeCell ref="G22:G23"/>
    <mergeCell ref="J22:N22"/>
    <mergeCell ref="J23:N23"/>
    <mergeCell ref="J24:N24"/>
    <mergeCell ref="J30:N30"/>
    <mergeCell ref="C37:C38"/>
    <mergeCell ref="D37:E37"/>
    <mergeCell ref="J37:N37"/>
    <mergeCell ref="J38:N38"/>
    <mergeCell ref="J55:N55"/>
    <mergeCell ref="D47:D49"/>
    <mergeCell ref="J47:N47"/>
    <mergeCell ref="J48:N48"/>
    <mergeCell ref="J49:N49"/>
    <mergeCell ref="C50:C51"/>
    <mergeCell ref="D50:E50"/>
    <mergeCell ref="J50:N50"/>
    <mergeCell ref="J51:N51"/>
    <mergeCell ref="J40:N40"/>
    <mergeCell ref="J41:N41"/>
    <mergeCell ref="D42:D46"/>
    <mergeCell ref="J42:N42"/>
    <mergeCell ref="J43:N43"/>
    <mergeCell ref="J44:N44"/>
    <mergeCell ref="J45:N45"/>
    <mergeCell ref="J46:N46"/>
    <mergeCell ref="C52:C55"/>
    <mergeCell ref="D52:E52"/>
    <mergeCell ref="G52:G53"/>
    <mergeCell ref="J52:N52"/>
    <mergeCell ref="D53:D55"/>
    <mergeCell ref="J53:N53"/>
    <mergeCell ref="J54:N54"/>
    <mergeCell ref="D57:D58"/>
    <mergeCell ref="J57:N57"/>
    <mergeCell ref="J58:N58"/>
    <mergeCell ref="J67:N67"/>
    <mergeCell ref="C68:C69"/>
    <mergeCell ref="J68:N68"/>
    <mergeCell ref="J69:N69"/>
    <mergeCell ref="J60:N60"/>
    <mergeCell ref="J61:N61"/>
    <mergeCell ref="C62:C63"/>
    <mergeCell ref="J62:N62"/>
    <mergeCell ref="J63:N63"/>
    <mergeCell ref="C64:C66"/>
    <mergeCell ref="J64:N64"/>
    <mergeCell ref="D65:D66"/>
    <mergeCell ref="J65:N65"/>
    <mergeCell ref="J66:N66"/>
    <mergeCell ref="G56:G57"/>
    <mergeCell ref="J56:N56"/>
    <mergeCell ref="Q70:Q86"/>
    <mergeCell ref="R70:R86"/>
    <mergeCell ref="B71:B86"/>
    <mergeCell ref="C71:C72"/>
    <mergeCell ref="D71:E71"/>
    <mergeCell ref="F71:F86"/>
    <mergeCell ref="I71:I86"/>
    <mergeCell ref="J71:N71"/>
    <mergeCell ref="J72:N72"/>
    <mergeCell ref="C73:C74"/>
    <mergeCell ref="C70:E70"/>
    <mergeCell ref="G70:G71"/>
    <mergeCell ref="J70:N70"/>
    <mergeCell ref="C59:E59"/>
    <mergeCell ref="G59:G60"/>
    <mergeCell ref="J59:N59"/>
    <mergeCell ref="Q59:Q69"/>
    <mergeCell ref="R59:R69"/>
    <mergeCell ref="B60:B69"/>
    <mergeCell ref="C60:C61"/>
    <mergeCell ref="D60:E60"/>
    <mergeCell ref="F60:F69"/>
    <mergeCell ref="I60:I69"/>
    <mergeCell ref="C78:C81"/>
    <mergeCell ref="D78:E78"/>
    <mergeCell ref="G78:G79"/>
    <mergeCell ref="J78:N78"/>
    <mergeCell ref="D79:D81"/>
    <mergeCell ref="J79:N79"/>
    <mergeCell ref="J80:N80"/>
    <mergeCell ref="J81:N81"/>
    <mergeCell ref="J84:N84"/>
    <mergeCell ref="D93:D94"/>
    <mergeCell ref="J93:N93"/>
    <mergeCell ref="J94:N94"/>
    <mergeCell ref="D73:E73"/>
    <mergeCell ref="J73:N73"/>
    <mergeCell ref="J74:N74"/>
    <mergeCell ref="C75:C77"/>
    <mergeCell ref="D75:E75"/>
    <mergeCell ref="J75:N75"/>
    <mergeCell ref="J76:N76"/>
    <mergeCell ref="J77:N77"/>
    <mergeCell ref="B101:B122"/>
    <mergeCell ref="C101:C106"/>
    <mergeCell ref="D101:E101"/>
    <mergeCell ref="F101:F122"/>
    <mergeCell ref="I101:I122"/>
    <mergeCell ref="J101:N101"/>
    <mergeCell ref="D102:D105"/>
    <mergeCell ref="J102:N102"/>
    <mergeCell ref="J118:N118"/>
    <mergeCell ref="J119:N119"/>
    <mergeCell ref="D92:E92"/>
    <mergeCell ref="G92:G93"/>
    <mergeCell ref="C82:C83"/>
    <mergeCell ref="D82:E82"/>
    <mergeCell ref="J82:N82"/>
    <mergeCell ref="J83:N83"/>
    <mergeCell ref="C84:C86"/>
    <mergeCell ref="D84:E84"/>
    <mergeCell ref="J85:N85"/>
    <mergeCell ref="J86:N86"/>
    <mergeCell ref="J95:N95"/>
    <mergeCell ref="J96:N96"/>
    <mergeCell ref="C88:C91"/>
    <mergeCell ref="D88:E88"/>
    <mergeCell ref="J88:N88"/>
    <mergeCell ref="D89:D91"/>
    <mergeCell ref="J89:N89"/>
    <mergeCell ref="J90:N90"/>
    <mergeCell ref="C87:E87"/>
    <mergeCell ref="G87:G89"/>
    <mergeCell ref="J87:N87"/>
    <mergeCell ref="J91:N91"/>
    <mergeCell ref="C92:C96"/>
    <mergeCell ref="Q100:Q122"/>
    <mergeCell ref="R100:R122"/>
    <mergeCell ref="J136:N136"/>
    <mergeCell ref="J137:N137"/>
    <mergeCell ref="D131:E131"/>
    <mergeCell ref="J131:N131"/>
    <mergeCell ref="C97:C99"/>
    <mergeCell ref="D97:E97"/>
    <mergeCell ref="J97:N97"/>
    <mergeCell ref="J98:N98"/>
    <mergeCell ref="J99:N99"/>
    <mergeCell ref="C100:E100"/>
    <mergeCell ref="G100:G102"/>
    <mergeCell ref="J100:N100"/>
    <mergeCell ref="J114:N114"/>
    <mergeCell ref="D115:D116"/>
    <mergeCell ref="J92:N92"/>
    <mergeCell ref="J115:N115"/>
    <mergeCell ref="J116:N116"/>
    <mergeCell ref="C117:C122"/>
    <mergeCell ref="D117:E117"/>
    <mergeCell ref="G117:G118"/>
    <mergeCell ref="J117:N117"/>
    <mergeCell ref="D118:D121"/>
    <mergeCell ref="C110:C116"/>
    <mergeCell ref="D110:E110"/>
    <mergeCell ref="J110:N110"/>
    <mergeCell ref="J111:N111"/>
    <mergeCell ref="J112:N112"/>
    <mergeCell ref="J113:N113"/>
    <mergeCell ref="J103:N103"/>
    <mergeCell ref="J104:N104"/>
    <mergeCell ref="J105:N105"/>
    <mergeCell ref="J106:N106"/>
    <mergeCell ref="C107:C109"/>
    <mergeCell ref="J107:N107"/>
    <mergeCell ref="J108:N108"/>
    <mergeCell ref="J109:N109"/>
    <mergeCell ref="D107:E107"/>
    <mergeCell ref="J127:N127"/>
    <mergeCell ref="C128:E128"/>
    <mergeCell ref="G128:G129"/>
    <mergeCell ref="J128:N128"/>
    <mergeCell ref="J120:N120"/>
    <mergeCell ref="J121:N121"/>
    <mergeCell ref="J122:N122"/>
    <mergeCell ref="Q123:Q127"/>
    <mergeCell ref="R123:R127"/>
    <mergeCell ref="B124:B127"/>
    <mergeCell ref="C124:C125"/>
    <mergeCell ref="D124:E124"/>
    <mergeCell ref="F124:F127"/>
    <mergeCell ref="I124:I127"/>
    <mergeCell ref="J124:N124"/>
    <mergeCell ref="J125:N125"/>
    <mergeCell ref="C126:C127"/>
    <mergeCell ref="B129:B146"/>
    <mergeCell ref="C131:C132"/>
    <mergeCell ref="Q128:Q146"/>
    <mergeCell ref="R128:R146"/>
    <mergeCell ref="C133:C137"/>
    <mergeCell ref="D133:E133"/>
    <mergeCell ref="J133:N133"/>
    <mergeCell ref="J134:N134"/>
    <mergeCell ref="J151:N151"/>
    <mergeCell ref="J150:N150"/>
    <mergeCell ref="C138:C143"/>
    <mergeCell ref="D138:E138"/>
    <mergeCell ref="J138:N138"/>
    <mergeCell ref="J139:N139"/>
    <mergeCell ref="J140:N140"/>
    <mergeCell ref="J141:N141"/>
    <mergeCell ref="J142:N142"/>
    <mergeCell ref="J143:N143"/>
    <mergeCell ref="C123:E123"/>
    <mergeCell ref="G123:G124"/>
    <mergeCell ref="J123:N123"/>
    <mergeCell ref="J148:N148"/>
    <mergeCell ref="J149:N149"/>
    <mergeCell ref="C144:C146"/>
    <mergeCell ref="D144:E144"/>
    <mergeCell ref="J144:N144"/>
    <mergeCell ref="J145:N145"/>
    <mergeCell ref="J146:N146"/>
    <mergeCell ref="C147:E147"/>
    <mergeCell ref="J147:N147"/>
    <mergeCell ref="C129:C130"/>
    <mergeCell ref="D129:E129"/>
    <mergeCell ref="F129:F146"/>
    <mergeCell ref="I129:I146"/>
    <mergeCell ref="J129:N129"/>
    <mergeCell ref="J130:N130"/>
    <mergeCell ref="J132:N132"/>
    <mergeCell ref="J135:N135"/>
    <mergeCell ref="D126:E126"/>
    <mergeCell ref="J126:N126"/>
    <mergeCell ref="T153:T319"/>
    <mergeCell ref="B154:B163"/>
    <mergeCell ref="C154:C159"/>
    <mergeCell ref="D154:E154"/>
    <mergeCell ref="F154:F163"/>
    <mergeCell ref="I154:I163"/>
    <mergeCell ref="J154:N154"/>
    <mergeCell ref="J155:N155"/>
    <mergeCell ref="J156:N156"/>
    <mergeCell ref="J157:N157"/>
    <mergeCell ref="C153:E153"/>
    <mergeCell ref="G153:G154"/>
    <mergeCell ref="J153:N153"/>
    <mergeCell ref="Q153:Q163"/>
    <mergeCell ref="R153:R163"/>
    <mergeCell ref="S153:S319"/>
    <mergeCell ref="J158:N158"/>
    <mergeCell ref="J159:N159"/>
    <mergeCell ref="C160:C161"/>
    <mergeCell ref="D160:E160"/>
    <mergeCell ref="J168:N168"/>
    <mergeCell ref="D169:D171"/>
    <mergeCell ref="J169:N169"/>
    <mergeCell ref="J170:N170"/>
    <mergeCell ref="J171:N171"/>
    <mergeCell ref="C164:E164"/>
    <mergeCell ref="G164:G166"/>
    <mergeCell ref="J164:N164"/>
    <mergeCell ref="Q164:Q191"/>
    <mergeCell ref="C165:C177"/>
    <mergeCell ref="D165:E165"/>
    <mergeCell ref="F165:F191"/>
    <mergeCell ref="D209:E209"/>
    <mergeCell ref="G209:G210"/>
    <mergeCell ref="J209:N209"/>
    <mergeCell ref="D210:D214"/>
    <mergeCell ref="J210:N210"/>
    <mergeCell ref="J211:N211"/>
    <mergeCell ref="J212:N212"/>
    <mergeCell ref="J213:N213"/>
    <mergeCell ref="J214:N214"/>
    <mergeCell ref="I165:I191"/>
    <mergeCell ref="J160:N160"/>
    <mergeCell ref="J161:N161"/>
    <mergeCell ref="C162:C163"/>
    <mergeCell ref="D162:E162"/>
    <mergeCell ref="J162:N162"/>
    <mergeCell ref="J163:N163"/>
    <mergeCell ref="C186:C187"/>
    <mergeCell ref="D186:E186"/>
    <mergeCell ref="J186:N186"/>
    <mergeCell ref="J187:N187"/>
    <mergeCell ref="C188:C189"/>
    <mergeCell ref="D188:E188"/>
    <mergeCell ref="J188:N188"/>
    <mergeCell ref="J189:N189"/>
    <mergeCell ref="C178:C185"/>
    <mergeCell ref="D178:E178"/>
    <mergeCell ref="J178:N178"/>
    <mergeCell ref="J179:N179"/>
    <mergeCell ref="J180:N180"/>
    <mergeCell ref="J181:N181"/>
    <mergeCell ref="J182:N182"/>
    <mergeCell ref="J183:N183"/>
    <mergeCell ref="J205:N205"/>
    <mergeCell ref="J206:N206"/>
    <mergeCell ref="C207:C208"/>
    <mergeCell ref="D207:E207"/>
    <mergeCell ref="J207:N207"/>
    <mergeCell ref="D172:D174"/>
    <mergeCell ref="J172:N172"/>
    <mergeCell ref="J173:N173"/>
    <mergeCell ref="J174:N174"/>
    <mergeCell ref="D175:D177"/>
    <mergeCell ref="J175:N175"/>
    <mergeCell ref="J176:N176"/>
    <mergeCell ref="J177:N177"/>
    <mergeCell ref="J165:N165"/>
    <mergeCell ref="D166:D168"/>
    <mergeCell ref="J166:N166"/>
    <mergeCell ref="J167:N167"/>
    <mergeCell ref="C192:E192"/>
    <mergeCell ref="G192:G194"/>
    <mergeCell ref="J192:N192"/>
    <mergeCell ref="J208:N208"/>
    <mergeCell ref="J184:N184"/>
    <mergeCell ref="J185:N185"/>
    <mergeCell ref="D196:D198"/>
    <mergeCell ref="J196:N196"/>
    <mergeCell ref="J197:N197"/>
    <mergeCell ref="J198:N198"/>
    <mergeCell ref="C218:C225"/>
    <mergeCell ref="D218:E218"/>
    <mergeCell ref="G218:G219"/>
    <mergeCell ref="J218:N218"/>
    <mergeCell ref="D219:D225"/>
    <mergeCell ref="J219:N219"/>
    <mergeCell ref="J220:N220"/>
    <mergeCell ref="G256:G257"/>
    <mergeCell ref="J256:N256"/>
    <mergeCell ref="D257:D260"/>
    <mergeCell ref="J231:N231"/>
    <mergeCell ref="J232:N232"/>
    <mergeCell ref="J230:N230"/>
    <mergeCell ref="C239:C248"/>
    <mergeCell ref="B193:B214"/>
    <mergeCell ref="C193:C198"/>
    <mergeCell ref="D193:E193"/>
    <mergeCell ref="F193:F214"/>
    <mergeCell ref="I193:I214"/>
    <mergeCell ref="C199:C200"/>
    <mergeCell ref="D199:E199"/>
    <mergeCell ref="J199:N199"/>
    <mergeCell ref="J200:N200"/>
    <mergeCell ref="C201:C202"/>
    <mergeCell ref="D201:E201"/>
    <mergeCell ref="J201:N201"/>
    <mergeCell ref="J202:N202"/>
    <mergeCell ref="J193:N193"/>
    <mergeCell ref="D194:D195"/>
    <mergeCell ref="J194:N194"/>
    <mergeCell ref="C209:C214"/>
    <mergeCell ref="D205:E205"/>
    <mergeCell ref="J241:N241"/>
    <mergeCell ref="J242:N242"/>
    <mergeCell ref="J243:N243"/>
    <mergeCell ref="J244:N244"/>
    <mergeCell ref="C226:C238"/>
    <mergeCell ref="D226:E226"/>
    <mergeCell ref="G226:G227"/>
    <mergeCell ref="J226:N226"/>
    <mergeCell ref="D227:D238"/>
    <mergeCell ref="D249:E249"/>
    <mergeCell ref="G249:G250"/>
    <mergeCell ref="J249:N249"/>
    <mergeCell ref="D250:D255"/>
    <mergeCell ref="J250:N250"/>
    <mergeCell ref="C215:E215"/>
    <mergeCell ref="G215:G216"/>
    <mergeCell ref="J215:N215"/>
    <mergeCell ref="C216:C217"/>
    <mergeCell ref="D216:E216"/>
    <mergeCell ref="F216:F264"/>
    <mergeCell ref="I216:I264"/>
    <mergeCell ref="J233:N233"/>
    <mergeCell ref="J234:N234"/>
    <mergeCell ref="J235:N235"/>
    <mergeCell ref="J236:N236"/>
    <mergeCell ref="J237:N237"/>
    <mergeCell ref="J238:N238"/>
    <mergeCell ref="J227:N227"/>
    <mergeCell ref="J228:N228"/>
    <mergeCell ref="J229:N229"/>
    <mergeCell ref="J216:N216"/>
    <mergeCell ref="J217:N217"/>
    <mergeCell ref="B216:B264"/>
    <mergeCell ref="C285:C288"/>
    <mergeCell ref="D285:E285"/>
    <mergeCell ref="J285:N285"/>
    <mergeCell ref="J286:N286"/>
    <mergeCell ref="J287:N287"/>
    <mergeCell ref="J288:N288"/>
    <mergeCell ref="C279:C284"/>
    <mergeCell ref="D279:E279"/>
    <mergeCell ref="J279:N279"/>
    <mergeCell ref="J257:N257"/>
    <mergeCell ref="J258:N258"/>
    <mergeCell ref="J259:N259"/>
    <mergeCell ref="J260:N260"/>
    <mergeCell ref="C261:C264"/>
    <mergeCell ref="D261:E261"/>
    <mergeCell ref="G261:G262"/>
    <mergeCell ref="J261:N261"/>
    <mergeCell ref="D262:D264"/>
    <mergeCell ref="J262:N262"/>
    <mergeCell ref="J251:N251"/>
    <mergeCell ref="J252:N252"/>
    <mergeCell ref="J253:N253"/>
    <mergeCell ref="J254:N254"/>
    <mergeCell ref="J255:N255"/>
    <mergeCell ref="C256:C260"/>
    <mergeCell ref="D256:E256"/>
    <mergeCell ref="D239:E239"/>
    <mergeCell ref="G239:G240"/>
    <mergeCell ref="J239:N239"/>
    <mergeCell ref="D240:D248"/>
    <mergeCell ref="J240:N240"/>
    <mergeCell ref="R265:R288"/>
    <mergeCell ref="B266:B288"/>
    <mergeCell ref="C266:C278"/>
    <mergeCell ref="D266:E266"/>
    <mergeCell ref="F266:F288"/>
    <mergeCell ref="I266:I288"/>
    <mergeCell ref="J266:N266"/>
    <mergeCell ref="D267:D269"/>
    <mergeCell ref="J267:N267"/>
    <mergeCell ref="J268:N268"/>
    <mergeCell ref="J263:N263"/>
    <mergeCell ref="J264:N264"/>
    <mergeCell ref="C265:E265"/>
    <mergeCell ref="G265:G267"/>
    <mergeCell ref="J265:N265"/>
    <mergeCell ref="Q265:Q288"/>
    <mergeCell ref="J269:N269"/>
    <mergeCell ref="D270:D272"/>
    <mergeCell ref="J270:N270"/>
    <mergeCell ref="J271:N271"/>
    <mergeCell ref="Q215:Q264"/>
    <mergeCell ref="R215:R264"/>
    <mergeCell ref="J221:N221"/>
    <mergeCell ref="J222:N222"/>
    <mergeCell ref="J223:N223"/>
    <mergeCell ref="J224:N224"/>
    <mergeCell ref="J225:N225"/>
    <mergeCell ref="J245:N245"/>
    <mergeCell ref="J246:N246"/>
    <mergeCell ref="J247:N247"/>
    <mergeCell ref="J248:N248"/>
    <mergeCell ref="C249:C255"/>
    <mergeCell ref="I290:I303"/>
    <mergeCell ref="J280:N280"/>
    <mergeCell ref="J281:N281"/>
    <mergeCell ref="J282:N282"/>
    <mergeCell ref="J283:N283"/>
    <mergeCell ref="J284:N284"/>
    <mergeCell ref="J272:N272"/>
    <mergeCell ref="D273:D275"/>
    <mergeCell ref="J273:N273"/>
    <mergeCell ref="J274:N274"/>
    <mergeCell ref="J275:N275"/>
    <mergeCell ref="D276:D278"/>
    <mergeCell ref="J276:N276"/>
    <mergeCell ref="J277:N277"/>
    <mergeCell ref="J278:N278"/>
    <mergeCell ref="J290:N290"/>
    <mergeCell ref="J291:N291"/>
    <mergeCell ref="J292:N292"/>
    <mergeCell ref="J298:N298"/>
    <mergeCell ref="C289:E289"/>
    <mergeCell ref="G289:G290"/>
    <mergeCell ref="J289:N289"/>
    <mergeCell ref="C290:C292"/>
    <mergeCell ref="D290:E290"/>
    <mergeCell ref="F290:F303"/>
    <mergeCell ref="J297:N297"/>
    <mergeCell ref="J305:N305"/>
    <mergeCell ref="J306:N306"/>
    <mergeCell ref="J307:N307"/>
    <mergeCell ref="J308:N308"/>
    <mergeCell ref="J309:N309"/>
    <mergeCell ref="C304:E304"/>
    <mergeCell ref="G304:G305"/>
    <mergeCell ref="J304:N304"/>
    <mergeCell ref="Q304:Q319"/>
    <mergeCell ref="R304:R319"/>
    <mergeCell ref="B305:B319"/>
    <mergeCell ref="C305:C309"/>
    <mergeCell ref="D305:E305"/>
    <mergeCell ref="F305:F319"/>
    <mergeCell ref="I305:I319"/>
    <mergeCell ref="J299:N299"/>
    <mergeCell ref="C300:C303"/>
    <mergeCell ref="D300:E300"/>
    <mergeCell ref="J300:N300"/>
    <mergeCell ref="D301:D303"/>
    <mergeCell ref="J301:N301"/>
    <mergeCell ref="J302:N302"/>
    <mergeCell ref="J303:N303"/>
    <mergeCell ref="C293:C299"/>
    <mergeCell ref="D293:E293"/>
    <mergeCell ref="J293:N293"/>
    <mergeCell ref="J294:N294"/>
    <mergeCell ref="J295:N295"/>
    <mergeCell ref="J296:N296"/>
    <mergeCell ref="Q289:Q303"/>
    <mergeCell ref="R289:R303"/>
    <mergeCell ref="B290:B303"/>
    <mergeCell ref="Q320:Q340"/>
    <mergeCell ref="R320:R340"/>
    <mergeCell ref="S320:S425"/>
    <mergeCell ref="T320:T425"/>
    <mergeCell ref="B321:B340"/>
    <mergeCell ref="C321:C326"/>
    <mergeCell ref="D321:E321"/>
    <mergeCell ref="J321:N321"/>
    <mergeCell ref="J317:N317"/>
    <mergeCell ref="C318:C319"/>
    <mergeCell ref="D318:E318"/>
    <mergeCell ref="J318:N318"/>
    <mergeCell ref="J319:N319"/>
    <mergeCell ref="C320:E320"/>
    <mergeCell ref="G320:G321"/>
    <mergeCell ref="J320:N320"/>
    <mergeCell ref="C310:C317"/>
    <mergeCell ref="D310:E310"/>
    <mergeCell ref="J310:N310"/>
    <mergeCell ref="J311:N311"/>
    <mergeCell ref="J312:N312"/>
    <mergeCell ref="J313:N313"/>
    <mergeCell ref="J314:N314"/>
    <mergeCell ref="J315:N315"/>
    <mergeCell ref="J316:N316"/>
    <mergeCell ref="C337:C340"/>
    <mergeCell ref="D337:E337"/>
    <mergeCell ref="J337:N337"/>
    <mergeCell ref="J338:N338"/>
    <mergeCell ref="D339:D340"/>
    <mergeCell ref="J339:N339"/>
    <mergeCell ref="J340:N340"/>
    <mergeCell ref="C329:C332"/>
    <mergeCell ref="D329:E329"/>
    <mergeCell ref="J329:N329"/>
    <mergeCell ref="J330:N330"/>
    <mergeCell ref="D331:D332"/>
    <mergeCell ref="J331:N331"/>
    <mergeCell ref="J332:N332"/>
    <mergeCell ref="J322:N322"/>
    <mergeCell ref="J323:N323"/>
    <mergeCell ref="J324:N324"/>
    <mergeCell ref="J325:N325"/>
    <mergeCell ref="J326:N326"/>
    <mergeCell ref="C327:C328"/>
    <mergeCell ref="D327:E327"/>
    <mergeCell ref="J327:N327"/>
    <mergeCell ref="J328:N328"/>
    <mergeCell ref="I321:I340"/>
    <mergeCell ref="F321:F340"/>
    <mergeCell ref="C333:C334"/>
    <mergeCell ref="D333:E333"/>
    <mergeCell ref="J333:N333"/>
    <mergeCell ref="J334:N334"/>
    <mergeCell ref="C335:C336"/>
    <mergeCell ref="D335:E335"/>
    <mergeCell ref="J335:N335"/>
    <mergeCell ref="J336:N336"/>
    <mergeCell ref="C341:E341"/>
    <mergeCell ref="G341:G342"/>
    <mergeCell ref="J341:N341"/>
    <mergeCell ref="Q341:Q368"/>
    <mergeCell ref="R341:R368"/>
    <mergeCell ref="B342:B368"/>
    <mergeCell ref="D342:E342"/>
    <mergeCell ref="F342:F368"/>
    <mergeCell ref="I342:I368"/>
    <mergeCell ref="J361:N361"/>
    <mergeCell ref="J362:N362"/>
    <mergeCell ref="J363:N363"/>
    <mergeCell ref="J365:N365"/>
    <mergeCell ref="C366:C368"/>
    <mergeCell ref="D366:E366"/>
    <mergeCell ref="J366:N366"/>
    <mergeCell ref="J367:N367"/>
    <mergeCell ref="J368:N368"/>
    <mergeCell ref="C356:C358"/>
    <mergeCell ref="D356:E356"/>
    <mergeCell ref="J356:N356"/>
    <mergeCell ref="J357:N357"/>
    <mergeCell ref="J358:N358"/>
    <mergeCell ref="C359:C365"/>
    <mergeCell ref="D359:E359"/>
    <mergeCell ref="J359:N359"/>
    <mergeCell ref="J360:N360"/>
    <mergeCell ref="D361:D363"/>
    <mergeCell ref="J370:N370"/>
    <mergeCell ref="J371:N371"/>
    <mergeCell ref="C372:C376"/>
    <mergeCell ref="D372:E372"/>
    <mergeCell ref="G372:G373"/>
    <mergeCell ref="J372:N372"/>
    <mergeCell ref="D373:D374"/>
    <mergeCell ref="J373:N373"/>
    <mergeCell ref="J374:N374"/>
    <mergeCell ref="J375:N375"/>
    <mergeCell ref="C369:E369"/>
    <mergeCell ref="G369:G370"/>
    <mergeCell ref="J369:N369"/>
    <mergeCell ref="C342:C348"/>
    <mergeCell ref="J355:N355"/>
    <mergeCell ref="J364:N364"/>
    <mergeCell ref="J342:N342"/>
    <mergeCell ref="J343:N343"/>
    <mergeCell ref="J344:N344"/>
    <mergeCell ref="C351:C355"/>
    <mergeCell ref="D351:E351"/>
    <mergeCell ref="J351:N351"/>
    <mergeCell ref="J352:N352"/>
    <mergeCell ref="J353:N353"/>
    <mergeCell ref="J345:N345"/>
    <mergeCell ref="J346:N346"/>
    <mergeCell ref="J347:N347"/>
    <mergeCell ref="J348:N348"/>
    <mergeCell ref="Q369:Q381"/>
    <mergeCell ref="R369:R381"/>
    <mergeCell ref="B370:B381"/>
    <mergeCell ref="C370:C371"/>
    <mergeCell ref="D370:E370"/>
    <mergeCell ref="F370:F381"/>
    <mergeCell ref="I370:I381"/>
    <mergeCell ref="Q382:Q408"/>
    <mergeCell ref="R382:R408"/>
    <mergeCell ref="B383:B408"/>
    <mergeCell ref="C383:C384"/>
    <mergeCell ref="D383:E383"/>
    <mergeCell ref="F383:F408"/>
    <mergeCell ref="I383:I408"/>
    <mergeCell ref="J376:N376"/>
    <mergeCell ref="C377:C378"/>
    <mergeCell ref="D377:E377"/>
    <mergeCell ref="J377:N377"/>
    <mergeCell ref="J378:N378"/>
    <mergeCell ref="C379:C381"/>
    <mergeCell ref="D379:E379"/>
    <mergeCell ref="J379:N379"/>
    <mergeCell ref="J380:N380"/>
    <mergeCell ref="J381:N381"/>
    <mergeCell ref="C388:C391"/>
    <mergeCell ref="D388:E388"/>
    <mergeCell ref="G388:G389"/>
    <mergeCell ref="J388:N388"/>
    <mergeCell ref="D389:D390"/>
    <mergeCell ref="J389:N389"/>
    <mergeCell ref="J390:N390"/>
    <mergeCell ref="J391:N391"/>
    <mergeCell ref="J383:N383"/>
    <mergeCell ref="J384:N384"/>
    <mergeCell ref="C385:C387"/>
    <mergeCell ref="D385:E385"/>
    <mergeCell ref="J385:N385"/>
    <mergeCell ref="J386:N386"/>
    <mergeCell ref="J387:N387"/>
    <mergeCell ref="C382:E382"/>
    <mergeCell ref="G382:G383"/>
    <mergeCell ref="J382:N382"/>
    <mergeCell ref="C397:C398"/>
    <mergeCell ref="D397:E397"/>
    <mergeCell ref="J397:N397"/>
    <mergeCell ref="J398:N398"/>
    <mergeCell ref="C399:C400"/>
    <mergeCell ref="D399:E399"/>
    <mergeCell ref="J399:N399"/>
    <mergeCell ref="J400:N400"/>
    <mergeCell ref="C392:C393"/>
    <mergeCell ref="D392:E392"/>
    <mergeCell ref="J392:N392"/>
    <mergeCell ref="J393:N393"/>
    <mergeCell ref="C394:C396"/>
    <mergeCell ref="D394:E394"/>
    <mergeCell ref="J394:N394"/>
    <mergeCell ref="J395:N395"/>
    <mergeCell ref="J396:N396"/>
    <mergeCell ref="C406:C408"/>
    <mergeCell ref="D406:E406"/>
    <mergeCell ref="J406:N406"/>
    <mergeCell ref="J407:N407"/>
    <mergeCell ref="J408:N408"/>
    <mergeCell ref="C409:E409"/>
    <mergeCell ref="G409:G410"/>
    <mergeCell ref="J409:N409"/>
    <mergeCell ref="C401:C402"/>
    <mergeCell ref="D401:E401"/>
    <mergeCell ref="J401:N401"/>
    <mergeCell ref="J402:N402"/>
    <mergeCell ref="C403:C405"/>
    <mergeCell ref="D403:E403"/>
    <mergeCell ref="J403:N403"/>
    <mergeCell ref="J404:N404"/>
    <mergeCell ref="J405:N405"/>
    <mergeCell ref="Q409:Q425"/>
    <mergeCell ref="R409:R425"/>
    <mergeCell ref="J424:N424"/>
    <mergeCell ref="J425:N425"/>
    <mergeCell ref="C426:E426"/>
    <mergeCell ref="G426:G428"/>
    <mergeCell ref="J426:N426"/>
    <mergeCell ref="Q426:Q445"/>
    <mergeCell ref="J428:N428"/>
    <mergeCell ref="J429:N429"/>
    <mergeCell ref="J430:N430"/>
    <mergeCell ref="C431:C437"/>
    <mergeCell ref="C420:C421"/>
    <mergeCell ref="D420:E420"/>
    <mergeCell ref="J420:N420"/>
    <mergeCell ref="J421:N421"/>
    <mergeCell ref="C422:C425"/>
    <mergeCell ref="D422:E422"/>
    <mergeCell ref="G422:G423"/>
    <mergeCell ref="J422:N422"/>
    <mergeCell ref="D423:D425"/>
    <mergeCell ref="J423:N423"/>
    <mergeCell ref="D431:E431"/>
    <mergeCell ref="J431:N431"/>
    <mergeCell ref="C410:C411"/>
    <mergeCell ref="D410:E410"/>
    <mergeCell ref="J419:N419"/>
    <mergeCell ref="D412:E412"/>
    <mergeCell ref="J412:N412"/>
    <mergeCell ref="J413:N413"/>
    <mergeCell ref="C414:C415"/>
    <mergeCell ref="D414:E414"/>
    <mergeCell ref="J414:N414"/>
    <mergeCell ref="J415:N415"/>
    <mergeCell ref="B410:B425"/>
    <mergeCell ref="D416:E416"/>
    <mergeCell ref="J416:N416"/>
    <mergeCell ref="J417:N417"/>
    <mergeCell ref="C418:C419"/>
    <mergeCell ref="D418:E418"/>
    <mergeCell ref="J418:N418"/>
    <mergeCell ref="J441:N441"/>
    <mergeCell ref="F410:F425"/>
    <mergeCell ref="I410:I425"/>
    <mergeCell ref="J410:N410"/>
    <mergeCell ref="J411:N411"/>
    <mergeCell ref="C412:C413"/>
    <mergeCell ref="C416:C417"/>
    <mergeCell ref="J432:N432"/>
    <mergeCell ref="J433:N433"/>
    <mergeCell ref="D434:D437"/>
    <mergeCell ref="J434:N434"/>
    <mergeCell ref="J435:N435"/>
    <mergeCell ref="J436:N436"/>
    <mergeCell ref="J437:N437"/>
    <mergeCell ref="D438:E438"/>
    <mergeCell ref="R426:R445"/>
    <mergeCell ref="S426:S540"/>
    <mergeCell ref="T426:T540"/>
    <mergeCell ref="B427:B445"/>
    <mergeCell ref="C427:C430"/>
    <mergeCell ref="D427:E427"/>
    <mergeCell ref="F427:F445"/>
    <mergeCell ref="I427:I445"/>
    <mergeCell ref="J427:N427"/>
    <mergeCell ref="D428:D430"/>
    <mergeCell ref="J445:N445"/>
    <mergeCell ref="C446:E446"/>
    <mergeCell ref="G446:G447"/>
    <mergeCell ref="J446:N446"/>
    <mergeCell ref="Q446:Q472"/>
    <mergeCell ref="R446:R472"/>
    <mergeCell ref="C452:C456"/>
    <mergeCell ref="D452:E452"/>
    <mergeCell ref="J452:N452"/>
    <mergeCell ref="J453:N453"/>
    <mergeCell ref="C438:C445"/>
    <mergeCell ref="J449:N449"/>
    <mergeCell ref="J438:N438"/>
    <mergeCell ref="J439:N439"/>
    <mergeCell ref="J440:N440"/>
    <mergeCell ref="B447:B472"/>
    <mergeCell ref="C471:C472"/>
    <mergeCell ref="D471:E471"/>
    <mergeCell ref="J471:N471"/>
    <mergeCell ref="J472:N472"/>
    <mergeCell ref="C473:E473"/>
    <mergeCell ref="G473:G474"/>
    <mergeCell ref="J470:N470"/>
    <mergeCell ref="C462:C466"/>
    <mergeCell ref="D462:E462"/>
    <mergeCell ref="J462:N462"/>
    <mergeCell ref="J463:N463"/>
    <mergeCell ref="J464:N464"/>
    <mergeCell ref="J465:N465"/>
    <mergeCell ref="J466:N466"/>
    <mergeCell ref="D441:D445"/>
    <mergeCell ref="J442:N442"/>
    <mergeCell ref="J443:N443"/>
    <mergeCell ref="J444:N444"/>
    <mergeCell ref="J454:N454"/>
    <mergeCell ref="J450:N450"/>
    <mergeCell ref="J451:N451"/>
    <mergeCell ref="C447:C451"/>
    <mergeCell ref="D447:E447"/>
    <mergeCell ref="F447:F472"/>
    <mergeCell ref="I447:I472"/>
    <mergeCell ref="J447:N447"/>
    <mergeCell ref="J448:N448"/>
    <mergeCell ref="J455:N455"/>
    <mergeCell ref="J456:N456"/>
    <mergeCell ref="C457:C461"/>
    <mergeCell ref="D457:E457"/>
    <mergeCell ref="J457:N457"/>
    <mergeCell ref="J458:N458"/>
    <mergeCell ref="D490:E490"/>
    <mergeCell ref="G490:G491"/>
    <mergeCell ref="J490:N490"/>
    <mergeCell ref="D491:D495"/>
    <mergeCell ref="C481:C487"/>
    <mergeCell ref="D481:E481"/>
    <mergeCell ref="G481:G482"/>
    <mergeCell ref="J481:N481"/>
    <mergeCell ref="D482:D487"/>
    <mergeCell ref="J482:N482"/>
    <mergeCell ref="J484:N484"/>
    <mergeCell ref="J485:N485"/>
    <mergeCell ref="J486:N486"/>
    <mergeCell ref="J483:N483"/>
    <mergeCell ref="J459:N459"/>
    <mergeCell ref="J460:N460"/>
    <mergeCell ref="J461:N461"/>
    <mergeCell ref="D476:E476"/>
    <mergeCell ref="G476:G477"/>
    <mergeCell ref="J476:N476"/>
    <mergeCell ref="J477:N477"/>
    <mergeCell ref="J478:N478"/>
    <mergeCell ref="J479:N479"/>
    <mergeCell ref="D477:D480"/>
    <mergeCell ref="C476:C480"/>
    <mergeCell ref="J480:N480"/>
    <mergeCell ref="J473:N473"/>
    <mergeCell ref="C467:C470"/>
    <mergeCell ref="D467:E467"/>
    <mergeCell ref="J467:N467"/>
    <mergeCell ref="J468:N468"/>
    <mergeCell ref="J469:N469"/>
    <mergeCell ref="Q496:Q508"/>
    <mergeCell ref="R496:R508"/>
    <mergeCell ref="B497:B508"/>
    <mergeCell ref="C497:C502"/>
    <mergeCell ref="D497:E497"/>
    <mergeCell ref="F497:F508"/>
    <mergeCell ref="I497:I508"/>
    <mergeCell ref="J497:N497"/>
    <mergeCell ref="J498:N498"/>
    <mergeCell ref="J499:N499"/>
    <mergeCell ref="J491:N491"/>
    <mergeCell ref="J492:N492"/>
    <mergeCell ref="J493:N493"/>
    <mergeCell ref="J494:N494"/>
    <mergeCell ref="J495:N495"/>
    <mergeCell ref="C496:E496"/>
    <mergeCell ref="J496:N496"/>
    <mergeCell ref="Q473:Q495"/>
    <mergeCell ref="R473:R495"/>
    <mergeCell ref="B474:B495"/>
    <mergeCell ref="C474:C475"/>
    <mergeCell ref="D474:E474"/>
    <mergeCell ref="F474:F495"/>
    <mergeCell ref="I474:I495"/>
    <mergeCell ref="J474:N474"/>
    <mergeCell ref="J475:N475"/>
    <mergeCell ref="J487:N487"/>
    <mergeCell ref="C488:C489"/>
    <mergeCell ref="D488:E488"/>
    <mergeCell ref="J488:N488"/>
    <mergeCell ref="J489:N489"/>
    <mergeCell ref="C490:C495"/>
    <mergeCell ref="Q524:Q540"/>
    <mergeCell ref="R524:R540"/>
    <mergeCell ref="B525:B540"/>
    <mergeCell ref="C525:C529"/>
    <mergeCell ref="D525:E525"/>
    <mergeCell ref="F525:F540"/>
    <mergeCell ref="I525:I540"/>
    <mergeCell ref="C518:C520"/>
    <mergeCell ref="D518:E518"/>
    <mergeCell ref="J518:N518"/>
    <mergeCell ref="J519:N519"/>
    <mergeCell ref="J520:N520"/>
    <mergeCell ref="C521:C523"/>
    <mergeCell ref="D521:E521"/>
    <mergeCell ref="J521:N521"/>
    <mergeCell ref="J522:N522"/>
    <mergeCell ref="J523:N523"/>
    <mergeCell ref="C536:C538"/>
    <mergeCell ref="D536:E536"/>
    <mergeCell ref="J536:N536"/>
    <mergeCell ref="J537:N537"/>
    <mergeCell ref="J538:N538"/>
    <mergeCell ref="C539:C540"/>
    <mergeCell ref="D539:E539"/>
    <mergeCell ref="J539:N539"/>
    <mergeCell ref="J540:N540"/>
    <mergeCell ref="J531:N531"/>
    <mergeCell ref="J532:N532"/>
    <mergeCell ref="J533:N533"/>
    <mergeCell ref="Q509:Q523"/>
    <mergeCell ref="R509:R523"/>
    <mergeCell ref="B510:B523"/>
    <mergeCell ref="C524:E524"/>
    <mergeCell ref="G524:G525"/>
    <mergeCell ref="J524:N524"/>
    <mergeCell ref="C513:C515"/>
    <mergeCell ref="D513:E513"/>
    <mergeCell ref="J513:N513"/>
    <mergeCell ref="J514:N514"/>
    <mergeCell ref="J515:N515"/>
    <mergeCell ref="C516:C517"/>
    <mergeCell ref="D516:E516"/>
    <mergeCell ref="J516:N516"/>
    <mergeCell ref="J517:N517"/>
    <mergeCell ref="C510:C512"/>
    <mergeCell ref="D510:E510"/>
    <mergeCell ref="F510:F523"/>
    <mergeCell ref="I510:I523"/>
    <mergeCell ref="J510:N510"/>
    <mergeCell ref="J511:N511"/>
    <mergeCell ref="G509:G510"/>
    <mergeCell ref="J509:N509"/>
    <mergeCell ref="J502:N502"/>
    <mergeCell ref="C503:C505"/>
    <mergeCell ref="D503:E503"/>
    <mergeCell ref="J503:N503"/>
    <mergeCell ref="J504:N504"/>
    <mergeCell ref="J505:N505"/>
    <mergeCell ref="C349:C350"/>
    <mergeCell ref="D349:E349"/>
    <mergeCell ref="J349:N349"/>
    <mergeCell ref="J350:N350"/>
    <mergeCell ref="J354:N354"/>
    <mergeCell ref="C534:C535"/>
    <mergeCell ref="D534:E534"/>
    <mergeCell ref="J534:N534"/>
    <mergeCell ref="J535:N535"/>
    <mergeCell ref="J525:N525"/>
    <mergeCell ref="J526:N526"/>
    <mergeCell ref="J527:N527"/>
    <mergeCell ref="J528:N528"/>
    <mergeCell ref="J529:N529"/>
    <mergeCell ref="C530:C533"/>
    <mergeCell ref="D530:E530"/>
    <mergeCell ref="G530:G531"/>
    <mergeCell ref="J530:N530"/>
    <mergeCell ref="D531:D533"/>
    <mergeCell ref="J512:N512"/>
    <mergeCell ref="C506:C508"/>
    <mergeCell ref="D506:E506"/>
    <mergeCell ref="J506:N506"/>
    <mergeCell ref="J507:N507"/>
    <mergeCell ref="J508:N508"/>
    <mergeCell ref="C509:E509"/>
    <mergeCell ref="Q192:Q214"/>
    <mergeCell ref="R192:R214"/>
    <mergeCell ref="R164:R191"/>
    <mergeCell ref="B165:B191"/>
    <mergeCell ref="J500:N500"/>
    <mergeCell ref="J501:N501"/>
    <mergeCell ref="D62:E62"/>
    <mergeCell ref="D64:E64"/>
    <mergeCell ref="D68:E68"/>
    <mergeCell ref="C40:C49"/>
    <mergeCell ref="B40:B58"/>
    <mergeCell ref="Q39:Q58"/>
    <mergeCell ref="R39:R58"/>
    <mergeCell ref="F40:F58"/>
    <mergeCell ref="I40:I58"/>
    <mergeCell ref="C56:C58"/>
    <mergeCell ref="D56:E56"/>
    <mergeCell ref="B88:B99"/>
    <mergeCell ref="F88:F99"/>
    <mergeCell ref="I88:I99"/>
    <mergeCell ref="Q87:Q99"/>
    <mergeCell ref="R87:R99"/>
    <mergeCell ref="D203:E203"/>
    <mergeCell ref="J203:N203"/>
    <mergeCell ref="J204:N204"/>
    <mergeCell ref="C203:C204"/>
    <mergeCell ref="C205:C206"/>
    <mergeCell ref="C190:C191"/>
    <mergeCell ref="D190:E190"/>
    <mergeCell ref="J190:N190"/>
    <mergeCell ref="J191:N191"/>
    <mergeCell ref="J195:N195"/>
  </mergeCells>
  <dataValidations count="1">
    <dataValidation type="decimal" operator="lessThanOrEqual" allowBlank="1" showInputMessage="1" showErrorMessage="1" sqref="G12:G540" xr:uid="{A1F4CB9B-BD92-400B-A878-E5F5E3418FF6}">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3D79E429-CFD5-42C3-B32E-E2065312AA34}">
          <x14:formula1>
            <xm:f>IF(Deckblatt!$C$12=Language!$C$1,Language!$C$171:$C$181,IF(Deckblatt!$C$12=Language!$D$1,Language!$D$171:$D$181))</xm:f>
          </x14:formula1>
          <xm:sqref>E148:E150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A175-022D-4614-B6C0-CA9A29532C1D}">
  <sheetPr codeName="Sheet4">
    <tabColor rgb="FF4DAA50"/>
  </sheetPr>
  <dimension ref="A1:V518"/>
  <sheetViews>
    <sheetView zoomScale="90" zoomScaleNormal="90" workbookViewId="0">
      <selection activeCell="J19" sqref="J19:N19"/>
    </sheetView>
  </sheetViews>
  <sheetFormatPr defaultColWidth="11.44140625" defaultRowHeight="13.2" outlineLevelCol="1" x14ac:dyDescent="0.25"/>
  <cols>
    <col min="1" max="1" width="1.6640625" style="17" customWidth="1"/>
    <col min="2" max="2" width="8.6640625" style="17" customWidth="1"/>
    <col min="3" max="3" width="5.33203125" style="17" customWidth="1"/>
    <col min="4" max="4" width="8.6640625" style="17" customWidth="1"/>
    <col min="5" max="5" width="64.8867187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8.5546875" style="184" customWidth="1" collapsed="1"/>
    <col min="23" max="16384" width="11.44140625" style="17"/>
  </cols>
  <sheetData>
    <row r="1" spans="2:21" ht="13.8" thickBot="1" x14ac:dyDescent="0.3"/>
    <row r="2" spans="2:21" ht="26.1" customHeight="1" thickBot="1" x14ac:dyDescent="0.3">
      <c r="B2" s="467" t="str">
        <f>Deckblatt!B6</f>
        <v>Vertragsnummer</v>
      </c>
      <c r="C2" s="457"/>
      <c r="D2" s="457"/>
      <c r="E2" s="35">
        <f>Deckblatt!C6</f>
        <v>0</v>
      </c>
      <c r="F2" s="250" t="str">
        <f>Deckblatt!C15</f>
        <v>Ökologische Qualität</v>
      </c>
      <c r="G2" s="118">
        <f>ROUNDDOWN(T12,3)</f>
        <v>0</v>
      </c>
      <c r="H2" s="250" t="str">
        <f>Deckblatt!C18</f>
        <v>Technische Qualität</v>
      </c>
      <c r="I2" s="37">
        <f>ROUNDDOWN(T290,3)</f>
        <v>0</v>
      </c>
      <c r="J2" s="447" t="str">
        <f>Deckblatt!C21</f>
        <v>Gesamterfüllungsgrad</v>
      </c>
      <c r="K2" s="448"/>
      <c r="L2" s="508"/>
      <c r="M2" s="511">
        <f>ROUNDDOWN(U12,3)</f>
        <v>0</v>
      </c>
      <c r="P2" s="420" t="s">
        <v>43</v>
      </c>
      <c r="Q2" s="421"/>
      <c r="R2" s="421"/>
      <c r="S2" s="421"/>
      <c r="T2" s="421"/>
      <c r="U2" s="422"/>
    </row>
    <row r="3" spans="2:21" ht="26.1" customHeight="1" thickBot="1" x14ac:dyDescent="0.3">
      <c r="B3" s="468" t="str">
        <f>Deckblatt!B7</f>
        <v>Bauvorhaben</v>
      </c>
      <c r="C3" s="469"/>
      <c r="D3" s="469"/>
      <c r="E3" s="38" t="str">
        <f>Deckblatt!C7</f>
        <v>Superquartier</v>
      </c>
      <c r="F3" s="250" t="str">
        <f>Deckblatt!C16</f>
        <v>Ökonomische Qualität</v>
      </c>
      <c r="G3" s="119">
        <f>ROUNDDOWN(T90,3)</f>
        <v>0</v>
      </c>
      <c r="H3" s="250" t="str">
        <f>Deckblatt!C19</f>
        <v>Prozessqualität</v>
      </c>
      <c r="I3" s="41">
        <f>ROUNDDOWN(T392,3)</f>
        <v>0</v>
      </c>
      <c r="J3" s="450"/>
      <c r="K3" s="451"/>
      <c r="L3" s="509"/>
      <c r="M3" s="512"/>
      <c r="P3" s="423"/>
      <c r="Q3" s="424"/>
      <c r="R3" s="424"/>
      <c r="S3" s="424"/>
      <c r="T3" s="424"/>
      <c r="U3" s="425"/>
    </row>
    <row r="4" spans="2:21" ht="26.1" customHeight="1" thickBot="1" x14ac:dyDescent="0.3">
      <c r="B4" s="402" t="str">
        <f>Deckblatt!B9</f>
        <v>DGNB Auditor</v>
      </c>
      <c r="C4" s="403"/>
      <c r="D4" s="403"/>
      <c r="E4" s="42">
        <f>Deckblatt!C9</f>
        <v>0</v>
      </c>
      <c r="F4" s="250" t="str">
        <f>Deckblatt!C17</f>
        <v>Soziokulturelle und Funktionale Qualität</v>
      </c>
      <c r="G4" s="120">
        <f>ROUNDDOWN(T135,3)</f>
        <v>0</v>
      </c>
      <c r="H4" s="44"/>
      <c r="I4" s="34"/>
      <c r="J4" s="453"/>
      <c r="K4" s="454"/>
      <c r="L4" s="510"/>
      <c r="M4" s="513"/>
      <c r="P4" s="426"/>
      <c r="Q4" s="427"/>
      <c r="R4" s="427"/>
      <c r="S4" s="427"/>
      <c r="T4" s="427"/>
      <c r="U4" s="428"/>
    </row>
    <row r="5" spans="2:21" ht="13.8" thickBot="1" x14ac:dyDescent="0.3"/>
    <row r="6" spans="2:21" ht="13.8" thickBot="1" x14ac:dyDescent="0.3">
      <c r="B6" s="429" t="str">
        <f>HLOOKUP(Deckblatt!$C$12,Language!G1:H102,41,FALSE)</f>
        <v>Legende:</v>
      </c>
      <c r="C6" s="430"/>
      <c r="D6" s="431"/>
      <c r="E6" s="45" t="str">
        <f>HLOOKUP(Deckblatt!$C$12,Language!G1:H102,42,FALSE)</f>
        <v>ist einzutragen</v>
      </c>
      <c r="F6" s="410" t="str">
        <f>HLOOKUP(Deckblatt!$C$12,Language!G1:H102,43,FALSE)</f>
        <v>wird autom. berechnet</v>
      </c>
      <c r="G6" s="411"/>
      <c r="H6" s="429" t="str">
        <f>HLOOKUP(Deckblatt!$C$12,Language!G1:H102,44,FALSE)</f>
        <v>Systemvorgaben</v>
      </c>
      <c r="I6" s="462"/>
      <c r="J6" s="463" t="str">
        <f>HLOOKUP(Deckblatt!$C$12,Language!G1:H102,45,FALSE)</f>
        <v>Zelle ohne Inhalt</v>
      </c>
      <c r="K6" s="464"/>
      <c r="L6" s="464"/>
      <c r="M6" s="465"/>
      <c r="N6" s="130" t="s">
        <v>1007</v>
      </c>
    </row>
    <row r="7" spans="2:21" ht="4.5" customHeight="1" x14ac:dyDescent="0.25">
      <c r="J7" s="17"/>
      <c r="K7" s="17"/>
      <c r="L7" s="17"/>
      <c r="M7" s="17"/>
      <c r="N7" s="17"/>
    </row>
    <row r="8" spans="2:21" ht="13.2" customHeight="1" x14ac:dyDescent="0.25">
      <c r="B8" s="419" t="s">
        <v>1829</v>
      </c>
      <c r="C8" s="419"/>
      <c r="D8" s="419"/>
      <c r="E8" s="419"/>
      <c r="F8" s="419"/>
      <c r="G8" s="419"/>
      <c r="H8" s="419"/>
      <c r="I8" s="419"/>
      <c r="J8" s="419"/>
      <c r="K8" s="419"/>
      <c r="L8" s="419"/>
      <c r="M8" s="419"/>
      <c r="N8" s="419"/>
    </row>
    <row r="9" spans="2:21" ht="4.5" customHeight="1" thickBot="1" x14ac:dyDescent="0.3">
      <c r="B9" s="187"/>
      <c r="C9" s="187"/>
      <c r="D9" s="187"/>
      <c r="E9" s="187"/>
      <c r="F9" s="187"/>
      <c r="G9" s="187"/>
      <c r="H9" s="187"/>
      <c r="I9" s="187"/>
      <c r="J9" s="187"/>
      <c r="K9" s="187"/>
      <c r="L9" s="187"/>
      <c r="M9" s="187"/>
      <c r="N9" s="187"/>
    </row>
    <row r="10" spans="2:21" ht="48" customHeight="1" x14ac:dyDescent="0.25">
      <c r="B10" s="404" t="str">
        <f>HLOOKUP(Deckblatt!$C$12,Language!G1:H102,47,FALSE)</f>
        <v>Nr</v>
      </c>
      <c r="C10" s="406" t="str">
        <f>HLOOKUP(Deckblatt!$C$12,Language!G1:H102,48,FALSE)</f>
        <v>Kriterium</v>
      </c>
      <c r="D10" s="406"/>
      <c r="E10" s="408" t="str">
        <f>HLOOKUP(Deckblatt!$C$12,Language!G1:H102,49,FALSE)</f>
        <v>Indikator</v>
      </c>
      <c r="F10" s="466" t="str">
        <f>HLOOKUP(Deckblatt!$C$12,Language!G1:H102,50,FALSE)</f>
        <v>Punkte
(Auditor)</v>
      </c>
      <c r="G10" s="406"/>
      <c r="H10" s="406"/>
      <c r="I10" s="442" t="str">
        <f>HLOOKUP(Deckblatt!$C$12,Language!G1:H102,54,FALSE)</f>
        <v>spezifischer
Bedeutungsfaktor</v>
      </c>
      <c r="J10" s="456" t="str">
        <f>HLOOKUP(Deckblatt!$C$12,Language!G1:H102,55,FALSE)</f>
        <v>Kommentar / Bemerkung
AUDITOR</v>
      </c>
      <c r="K10" s="457"/>
      <c r="L10" s="457"/>
      <c r="M10" s="457"/>
      <c r="N10" s="458"/>
      <c r="P10" s="440" t="s">
        <v>80</v>
      </c>
      <c r="Q10" s="432" t="s">
        <v>597</v>
      </c>
      <c r="R10" s="432" t="s">
        <v>45</v>
      </c>
      <c r="S10" s="432" t="s">
        <v>44</v>
      </c>
      <c r="T10" s="432" t="s">
        <v>46</v>
      </c>
      <c r="U10" s="432" t="s">
        <v>29</v>
      </c>
    </row>
    <row r="11" spans="2:21" ht="48" customHeight="1" thickBot="1" x14ac:dyDescent="0.3">
      <c r="B11" s="405"/>
      <c r="C11" s="407"/>
      <c r="D11" s="407"/>
      <c r="E11" s="409"/>
      <c r="F11" s="47" t="str">
        <f>HLOOKUP(Deckblatt!$C$12,Language!G1:H102,51,FALSE)</f>
        <v>IST-Punkte (Kriterium)</v>
      </c>
      <c r="G11" s="48" t="str">
        <f>HLOOKUP(Deckblatt!$C$12,Language!G1:H102,52,FALSE)</f>
        <v>IST-Punkte (Indikator)</v>
      </c>
      <c r="H11" s="48" t="str">
        <f>HLOOKUP(Deckblatt!$C$12,Language!G1:H102,53,FALSE)</f>
        <v>Max. Punkte</v>
      </c>
      <c r="I11" s="443"/>
      <c r="J11" s="459"/>
      <c r="K11" s="460"/>
      <c r="L11" s="460"/>
      <c r="M11" s="460"/>
      <c r="N11" s="461"/>
      <c r="P11" s="441"/>
      <c r="Q11" s="433"/>
      <c r="R11" s="433"/>
      <c r="S11" s="433"/>
      <c r="T11" s="433"/>
      <c r="U11" s="517"/>
    </row>
    <row r="12" spans="2:21" x14ac:dyDescent="0.25">
      <c r="B12" s="49" t="s">
        <v>52</v>
      </c>
      <c r="C12" s="438" t="str">
        <f>HLOOKUP(Deckblatt!$C$12,Language!$C$1:$D$730,2,FALSE)</f>
        <v>Ökobilanz</v>
      </c>
      <c r="D12" s="438"/>
      <c r="E12" s="439"/>
      <c r="F12" s="50">
        <f>Q12</f>
        <v>0</v>
      </c>
      <c r="G12" s="434"/>
      <c r="H12" s="51">
        <v>150</v>
      </c>
      <c r="I12" s="136">
        <v>8</v>
      </c>
      <c r="J12" s="435"/>
      <c r="K12" s="436"/>
      <c r="L12" s="436"/>
      <c r="M12" s="436"/>
      <c r="N12" s="437"/>
      <c r="P12" s="18">
        <f>IF(G12&gt;H12,H12,G12)</f>
        <v>0</v>
      </c>
      <c r="Q12" s="337">
        <f>IF(SUM(P15:P16,P19,P21,P30:P34,P36)&gt;100,100+SUM(P24:P27),SUM(P15:P16,P19,P21,P30:P34,P36)+SUM(P24:P27))</f>
        <v>0</v>
      </c>
      <c r="R12" s="343">
        <f>Q12/100</f>
        <v>0</v>
      </c>
      <c r="S12" s="474">
        <v>0.2</v>
      </c>
      <c r="T12" s="343">
        <f>IF((R12*I12+R37*I37+R47*I47+R67*I67+R78*I78)/(I12+I37+I47+I67+I78)&gt;1,1,(R12*I12+R37*I37+R47*I47+R67*I67+R78*I78)/(I12+I37+I47+I67+I78))</f>
        <v>0</v>
      </c>
      <c r="U12" s="343">
        <f>(1/5*T12+1/5*T90+1/5*T135+1/5*T290+1/5*T392)</f>
        <v>0</v>
      </c>
    </row>
    <row r="13" spans="2:21" x14ac:dyDescent="0.25">
      <c r="B13" s="345"/>
      <c r="C13" s="351" t="s">
        <v>54</v>
      </c>
      <c r="D13" s="352" t="str">
        <f>HLOOKUP(Deckblatt!$C$12,Language!$C$1:$D$730,3,FALSE)</f>
        <v>Ökobilanz in der Planung</v>
      </c>
      <c r="E13" s="353"/>
      <c r="F13" s="417"/>
      <c r="G13" s="356"/>
      <c r="H13" s="21">
        <v>10</v>
      </c>
      <c r="I13" s="415"/>
      <c r="J13" s="340"/>
      <c r="K13" s="341"/>
      <c r="L13" s="341"/>
      <c r="M13" s="341"/>
      <c r="N13" s="342"/>
      <c r="P13" s="18">
        <f t="shared" ref="P13:P73" si="0">IF(G13&gt;H13,H13,G13)</f>
        <v>0</v>
      </c>
      <c r="Q13" s="338"/>
      <c r="R13" s="344"/>
      <c r="S13" s="474"/>
      <c r="T13" s="344"/>
      <c r="U13" s="475"/>
    </row>
    <row r="14" spans="2:21" x14ac:dyDescent="0.25">
      <c r="B14" s="346"/>
      <c r="C14" s="351"/>
      <c r="D14" s="361" t="s">
        <v>58</v>
      </c>
      <c r="E14" s="150" t="str">
        <f>HLOOKUP(Deckblatt!$C$12,Language!$C$1:$D$730,4,FALSE)</f>
        <v>Integration von Ökobilanzen in den Planungsprozess</v>
      </c>
      <c r="F14" s="418"/>
      <c r="G14" s="356"/>
      <c r="H14" s="21">
        <v>10</v>
      </c>
      <c r="I14" s="416"/>
      <c r="J14" s="340"/>
      <c r="K14" s="341"/>
      <c r="L14" s="341"/>
      <c r="M14" s="341"/>
      <c r="N14" s="342"/>
      <c r="P14" s="18">
        <f t="shared" si="0"/>
        <v>0</v>
      </c>
      <c r="Q14" s="338"/>
      <c r="R14" s="344"/>
      <c r="S14" s="474"/>
      <c r="T14" s="344"/>
      <c r="U14" s="475"/>
    </row>
    <row r="15" spans="2:21" ht="39.6" x14ac:dyDescent="0.25">
      <c r="B15" s="346"/>
      <c r="C15" s="351"/>
      <c r="D15" s="361"/>
      <c r="E15" s="188" t="str">
        <f>HLOOKUP(Deckblatt!$C$12,Language!$C$1:$D$730,5,FALSE)</f>
        <v xml:space="preserve">In der frühen Planungsphase: Pro analysiertem Handlungsfeld können 2 Punkte vergeben werden.
</v>
      </c>
      <c r="F15" s="418"/>
      <c r="G15" s="69"/>
      <c r="H15" s="18">
        <v>6</v>
      </c>
      <c r="I15" s="416"/>
      <c r="J15" s="340"/>
      <c r="K15" s="341"/>
      <c r="L15" s="341"/>
      <c r="M15" s="341"/>
      <c r="N15" s="342"/>
      <c r="P15" s="18">
        <f t="shared" si="0"/>
        <v>0</v>
      </c>
      <c r="Q15" s="338"/>
      <c r="R15" s="344"/>
      <c r="S15" s="474"/>
      <c r="T15" s="344"/>
      <c r="U15" s="475"/>
    </row>
    <row r="16" spans="2:21" ht="26.4" x14ac:dyDescent="0.25">
      <c r="B16" s="346"/>
      <c r="C16" s="351"/>
      <c r="D16" s="361"/>
      <c r="E16" s="188" t="str">
        <f>HLOOKUP(Deckblatt!$C$12,Language!$C$1:$D$730,6,FALSE)</f>
        <v xml:space="preserve">Ökobilanziellen Auswirkungen von Planungsänderungen planungsbegleitend
</v>
      </c>
      <c r="F16" s="418"/>
      <c r="G16" s="69"/>
      <c r="H16" s="18">
        <v>4</v>
      </c>
      <c r="I16" s="416"/>
      <c r="J16" s="340"/>
      <c r="K16" s="341"/>
      <c r="L16" s="341"/>
      <c r="M16" s="341"/>
      <c r="N16" s="342"/>
      <c r="P16" s="18">
        <f t="shared" si="0"/>
        <v>0</v>
      </c>
      <c r="Q16" s="338"/>
      <c r="R16" s="344"/>
      <c r="S16" s="474"/>
      <c r="T16" s="344"/>
      <c r="U16" s="475"/>
    </row>
    <row r="17" spans="2:21" x14ac:dyDescent="0.25">
      <c r="B17" s="346"/>
      <c r="C17" s="359" t="s">
        <v>61</v>
      </c>
      <c r="D17" s="352" t="str">
        <f>HLOOKUP(Deckblatt!$C$12,Language!$C$1:$D$730,7,FALSE)</f>
        <v>Ökobilanz-Optimierung</v>
      </c>
      <c r="E17" s="353"/>
      <c r="F17" s="418"/>
      <c r="G17" s="113"/>
      <c r="H17" s="21">
        <v>10</v>
      </c>
      <c r="I17" s="416"/>
      <c r="J17" s="340"/>
      <c r="K17" s="341"/>
      <c r="L17" s="341"/>
      <c r="M17" s="341"/>
      <c r="N17" s="342"/>
      <c r="P17" s="18">
        <f t="shared" si="0"/>
        <v>0</v>
      </c>
      <c r="Q17" s="338"/>
      <c r="R17" s="344"/>
      <c r="S17" s="474"/>
      <c r="T17" s="344"/>
      <c r="U17" s="475"/>
    </row>
    <row r="18" spans="2:21" x14ac:dyDescent="0.25">
      <c r="B18" s="346"/>
      <c r="C18" s="390"/>
      <c r="D18" s="398" t="s">
        <v>63</v>
      </c>
      <c r="E18" s="150" t="str">
        <f>HLOOKUP(Deckblatt!$C$12,Language!$C$1:$D$730,8,FALSE)</f>
        <v>Planungsbegleitende Ökobilanz-Optimierung</v>
      </c>
      <c r="F18" s="418"/>
      <c r="G18" s="113"/>
      <c r="H18" s="21">
        <v>10</v>
      </c>
      <c r="I18" s="416"/>
      <c r="J18" s="340"/>
      <c r="K18" s="341"/>
      <c r="L18" s="341"/>
      <c r="M18" s="341"/>
      <c r="N18" s="342"/>
      <c r="P18" s="18">
        <f t="shared" si="0"/>
        <v>0</v>
      </c>
      <c r="Q18" s="338"/>
      <c r="R18" s="344"/>
      <c r="S18" s="474"/>
      <c r="T18" s="344"/>
      <c r="U18" s="475"/>
    </row>
    <row r="19" spans="2:21" ht="47.25" customHeight="1" x14ac:dyDescent="0.25">
      <c r="B19" s="346"/>
      <c r="C19" s="390"/>
      <c r="D19" s="414"/>
      <c r="E19" s="188" t="str">
        <f>HLOOKUP(Deckblatt!$C$12,Language!$C$1:$D$730,9,FALSE)</f>
        <v>- Umfassende Betrachtung  (10 Punkte)
ODER
- Teilbetrachtung (5 Punkte)</v>
      </c>
      <c r="F19" s="418"/>
      <c r="G19" s="69"/>
      <c r="H19" s="18">
        <v>10</v>
      </c>
      <c r="I19" s="416"/>
      <c r="J19" s="340"/>
      <c r="K19" s="341"/>
      <c r="L19" s="341"/>
      <c r="M19" s="341"/>
      <c r="N19" s="342"/>
      <c r="P19" s="18">
        <f t="shared" si="0"/>
        <v>0</v>
      </c>
      <c r="Q19" s="338"/>
      <c r="R19" s="344"/>
      <c r="S19" s="474"/>
      <c r="T19" s="344"/>
      <c r="U19" s="475"/>
    </row>
    <row r="20" spans="2:21" x14ac:dyDescent="0.25">
      <c r="B20" s="346"/>
      <c r="C20" s="359" t="s">
        <v>64</v>
      </c>
      <c r="D20" s="352" t="str">
        <f>HLOOKUP(Deckblatt!$C$12,Language!$C$1:$D$730,10,FALSE)</f>
        <v>Ökobilanz Vergleichsrechnung</v>
      </c>
      <c r="E20" s="353"/>
      <c r="F20" s="418"/>
      <c r="G20" s="113"/>
      <c r="H20" s="21">
        <v>100</v>
      </c>
      <c r="I20" s="416"/>
      <c r="J20" s="340"/>
      <c r="K20" s="341"/>
      <c r="L20" s="341"/>
      <c r="M20" s="341"/>
      <c r="N20" s="342"/>
      <c r="P20" s="18">
        <f t="shared" si="0"/>
        <v>0</v>
      </c>
      <c r="Q20" s="338"/>
      <c r="R20" s="344"/>
      <c r="S20" s="474"/>
      <c r="T20" s="344"/>
      <c r="U20" s="475"/>
    </row>
    <row r="21" spans="2:21" ht="31.5" customHeight="1" x14ac:dyDescent="0.25">
      <c r="B21" s="346"/>
      <c r="C21" s="390"/>
      <c r="D21" s="71" t="s">
        <v>66</v>
      </c>
      <c r="E21" s="150" t="str">
        <f>HLOOKUP(Deckblatt!$C$12,Language!$C$1:$D$730,11,FALSE)</f>
        <v xml:space="preserve">Gewichtete Umweltwirkungen: gesamtes Quartier
</v>
      </c>
      <c r="F21" s="418"/>
      <c r="G21" s="69"/>
      <c r="H21" s="18">
        <v>100</v>
      </c>
      <c r="I21" s="416"/>
      <c r="J21" s="340"/>
      <c r="K21" s="341"/>
      <c r="L21" s="341"/>
      <c r="M21" s="341"/>
      <c r="N21" s="342"/>
      <c r="P21" s="18">
        <f t="shared" si="0"/>
        <v>0</v>
      </c>
      <c r="Q21" s="338"/>
      <c r="R21" s="344"/>
      <c r="S21" s="474"/>
      <c r="T21" s="344"/>
      <c r="U21" s="475"/>
    </row>
    <row r="22" spans="2:21" x14ac:dyDescent="0.25">
      <c r="B22" s="346"/>
      <c r="C22" s="351" t="s">
        <v>67</v>
      </c>
      <c r="D22" s="412" t="str">
        <f>HLOOKUP(Deckblatt!$C$12,Language!$C$1:$D$730,14,FALSE)</f>
        <v>AGENDA 2030 BONUS - KLIMASCHUTZZIELE</v>
      </c>
      <c r="E22" s="413"/>
      <c r="F22" s="418"/>
      <c r="G22" s="356"/>
      <c r="H22" s="21">
        <v>30</v>
      </c>
      <c r="I22" s="416"/>
      <c r="J22" s="340"/>
      <c r="K22" s="341"/>
      <c r="L22" s="341"/>
      <c r="M22" s="341"/>
      <c r="N22" s="342"/>
      <c r="P22" s="18">
        <f t="shared" si="0"/>
        <v>0</v>
      </c>
      <c r="Q22" s="338"/>
      <c r="R22" s="344"/>
      <c r="S22" s="474"/>
      <c r="T22" s="344"/>
      <c r="U22" s="475"/>
    </row>
    <row r="23" spans="2:21" x14ac:dyDescent="0.25">
      <c r="B23" s="346"/>
      <c r="C23" s="351"/>
      <c r="D23" s="398" t="s">
        <v>69</v>
      </c>
      <c r="E23" s="53" t="str">
        <f>HLOOKUP(Deckblatt!$C$12,Language!$C$1:$D$730,15,FALSE)</f>
        <v>Ambitionen zum Erreichen von Klimaneutralität</v>
      </c>
      <c r="F23" s="418"/>
      <c r="G23" s="356"/>
      <c r="H23" s="21">
        <v>48</v>
      </c>
      <c r="I23" s="416"/>
      <c r="J23" s="340"/>
      <c r="K23" s="341"/>
      <c r="L23" s="341"/>
      <c r="M23" s="341"/>
      <c r="N23" s="342"/>
      <c r="P23" s="18">
        <f t="shared" si="0"/>
        <v>0</v>
      </c>
      <c r="Q23" s="338"/>
      <c r="R23" s="344"/>
      <c r="S23" s="474"/>
      <c r="T23" s="344"/>
      <c r="U23" s="475"/>
    </row>
    <row r="24" spans="2:21" ht="26.4" x14ac:dyDescent="0.25">
      <c r="B24" s="346"/>
      <c r="C24" s="351"/>
      <c r="D24" s="414"/>
      <c r="E24" s="134" t="str">
        <f>HLOOKUP(Deckblatt!$C$12,Language!$C$1:$D$730,16,FALSE)</f>
        <v xml:space="preserve">Klimaneutraler Energiebedarf
</v>
      </c>
      <c r="F24" s="418"/>
      <c r="G24" s="69"/>
      <c r="H24" s="18">
        <v>24</v>
      </c>
      <c r="I24" s="416"/>
      <c r="J24" s="340"/>
      <c r="K24" s="341"/>
      <c r="L24" s="341"/>
      <c r="M24" s="341"/>
      <c r="N24" s="342"/>
      <c r="P24" s="18">
        <f t="shared" si="0"/>
        <v>0</v>
      </c>
      <c r="Q24" s="338"/>
      <c r="R24" s="344"/>
      <c r="S24" s="474"/>
      <c r="T24" s="344"/>
      <c r="U24" s="475"/>
    </row>
    <row r="25" spans="2:21" ht="26.4" x14ac:dyDescent="0.25">
      <c r="B25" s="346"/>
      <c r="C25" s="351"/>
      <c r="D25" s="414"/>
      <c r="E25" s="134" t="str">
        <f>HLOOKUP(Deckblatt!$C$12,Language!$C$1:$D$730,17,FALSE)</f>
        <v xml:space="preserve">Klimaneutraler Energiebedarf Nutzer
</v>
      </c>
      <c r="F25" s="418"/>
      <c r="G25" s="69"/>
      <c r="H25" s="18">
        <v>14</v>
      </c>
      <c r="I25" s="416"/>
      <c r="J25" s="340"/>
      <c r="K25" s="341"/>
      <c r="L25" s="341"/>
      <c r="M25" s="341"/>
      <c r="N25" s="342"/>
      <c r="P25" s="18">
        <f t="shared" si="0"/>
        <v>0</v>
      </c>
      <c r="Q25" s="338"/>
      <c r="R25" s="344"/>
      <c r="S25" s="474"/>
      <c r="T25" s="344"/>
      <c r="U25" s="475"/>
    </row>
    <row r="26" spans="2:21" x14ac:dyDescent="0.25">
      <c r="B26" s="346"/>
      <c r="C26" s="351"/>
      <c r="D26" s="399"/>
      <c r="E26" s="134" t="str">
        <f>HLOOKUP(Deckblatt!$C$12,Language!$E$1:$F$730,17,FALSE)</f>
        <v>Klimaneutraler Energiebedarf Mobilität MIV (Motorisierter Individualverkehr)</v>
      </c>
      <c r="F26" s="418"/>
      <c r="G26" s="69"/>
      <c r="H26" s="18">
        <v>10</v>
      </c>
      <c r="I26" s="416"/>
      <c r="J26" s="340"/>
      <c r="K26" s="341"/>
      <c r="L26" s="341"/>
      <c r="M26" s="341"/>
      <c r="N26" s="342"/>
      <c r="P26" s="18">
        <f t="shared" si="0"/>
        <v>0</v>
      </c>
      <c r="Q26" s="338"/>
      <c r="R26" s="344"/>
      <c r="S26" s="474"/>
      <c r="T26" s="344"/>
      <c r="U26" s="475"/>
    </row>
    <row r="27" spans="2:21" ht="36" customHeight="1" x14ac:dyDescent="0.25">
      <c r="B27" s="346"/>
      <c r="C27" s="351"/>
      <c r="D27" s="71" t="s">
        <v>78</v>
      </c>
      <c r="E27" s="54" t="str">
        <f>HLOOKUP(Deckblatt!$C$12,Language!$C$1:$D$730,18,FALSE)</f>
        <v xml:space="preserve">Halogenierte Kohlenwasserstoffe in Kältemitteln
Keine Nutzung von Kältemitteln mit einem GWP-Faktor ≥ 150 kg CO2-Äq.
</v>
      </c>
      <c r="F27" s="418"/>
      <c r="G27" s="69"/>
      <c r="H27" s="18">
        <v>2</v>
      </c>
      <c r="I27" s="416"/>
      <c r="J27" s="340"/>
      <c r="K27" s="341"/>
      <c r="L27" s="341"/>
      <c r="M27" s="341"/>
      <c r="N27" s="342"/>
      <c r="P27" s="18">
        <f t="shared" si="0"/>
        <v>0</v>
      </c>
      <c r="Q27" s="338"/>
      <c r="R27" s="344"/>
      <c r="S27" s="474"/>
      <c r="T27" s="344"/>
      <c r="U27" s="475"/>
    </row>
    <row r="28" spans="2:21" x14ac:dyDescent="0.25">
      <c r="B28" s="346"/>
      <c r="C28" s="518">
        <v>5</v>
      </c>
      <c r="D28" s="352" t="str">
        <f>HLOOKUP(Deckblatt!$C$12,Language!$C$1:$D$730,19,FALSE)</f>
        <v>Sonderbauten</v>
      </c>
      <c r="E28" s="353"/>
      <c r="F28" s="418"/>
      <c r="G28" s="356"/>
      <c r="H28" s="21">
        <v>100</v>
      </c>
      <c r="I28" s="416"/>
      <c r="J28" s="340"/>
      <c r="K28" s="341"/>
      <c r="L28" s="341"/>
      <c r="M28" s="341"/>
      <c r="N28" s="342"/>
      <c r="P28" s="18">
        <f t="shared" si="0"/>
        <v>0</v>
      </c>
      <c r="Q28" s="338"/>
      <c r="R28" s="344"/>
      <c r="S28" s="474"/>
      <c r="T28" s="344"/>
      <c r="U28" s="475"/>
    </row>
    <row r="29" spans="2:21" x14ac:dyDescent="0.25">
      <c r="B29" s="346"/>
      <c r="C29" s="519"/>
      <c r="D29" s="398" t="s">
        <v>156</v>
      </c>
      <c r="E29" s="150" t="str">
        <f>HLOOKUP(Deckblatt!$C$12,Language!$C$1:$D$730,20,FALSE)</f>
        <v>Bewertung von Sonderbauten</v>
      </c>
      <c r="F29" s="418"/>
      <c r="G29" s="356"/>
      <c r="H29" s="21">
        <v>120</v>
      </c>
      <c r="I29" s="416"/>
      <c r="J29" s="340"/>
      <c r="K29" s="341"/>
      <c r="L29" s="341"/>
      <c r="M29" s="341"/>
      <c r="N29" s="342"/>
      <c r="P29" s="18">
        <f t="shared" si="0"/>
        <v>0</v>
      </c>
      <c r="Q29" s="338"/>
      <c r="R29" s="344"/>
      <c r="S29" s="474"/>
      <c r="T29" s="344"/>
      <c r="U29" s="475"/>
    </row>
    <row r="30" spans="2:21" x14ac:dyDescent="0.25">
      <c r="B30" s="346"/>
      <c r="C30" s="519"/>
      <c r="D30" s="414"/>
      <c r="E30" s="134" t="str">
        <f>HLOOKUP(Deckblatt!$C$12,Language!$C$1:$D$730,21,FALSE)</f>
        <v>Nachhaltiges Bauen / Baustoffauswahl</v>
      </c>
      <c r="F30" s="418"/>
      <c r="G30" s="69"/>
      <c r="H30" s="18">
        <v>75</v>
      </c>
      <c r="I30" s="416"/>
      <c r="J30" s="340"/>
      <c r="K30" s="341"/>
      <c r="L30" s="341"/>
      <c r="M30" s="341"/>
      <c r="N30" s="342"/>
      <c r="P30" s="18">
        <f t="shared" si="0"/>
        <v>0</v>
      </c>
      <c r="Q30" s="338"/>
      <c r="R30" s="344"/>
      <c r="S30" s="474"/>
      <c r="T30" s="344"/>
      <c r="U30" s="475"/>
    </row>
    <row r="31" spans="2:21" x14ac:dyDescent="0.25">
      <c r="B31" s="346"/>
      <c r="C31" s="519"/>
      <c r="D31" s="414"/>
      <c r="E31" s="134" t="str">
        <f>HLOOKUP(Deckblatt!$C$12,Language!$C$1:$D$730,22,FALSE)</f>
        <v>Gesundheitsrelevante Aspekte der Konstruktion</v>
      </c>
      <c r="F31" s="418"/>
      <c r="G31" s="69"/>
      <c r="H31" s="18">
        <v>5</v>
      </c>
      <c r="I31" s="416"/>
      <c r="J31" s="340"/>
      <c r="K31" s="341"/>
      <c r="L31" s="341"/>
      <c r="M31" s="341"/>
      <c r="N31" s="342"/>
      <c r="P31" s="18">
        <f t="shared" si="0"/>
        <v>0</v>
      </c>
      <c r="Q31" s="338"/>
      <c r="R31" s="344"/>
      <c r="S31" s="474"/>
      <c r="T31" s="344"/>
      <c r="U31" s="475"/>
    </row>
    <row r="32" spans="2:21" x14ac:dyDescent="0.25">
      <c r="B32" s="346"/>
      <c r="C32" s="519"/>
      <c r="D32" s="414"/>
      <c r="E32" s="134" t="str">
        <f>HLOOKUP(Deckblatt!$C$12,Language!$C$1:$D$730,23,FALSE)</f>
        <v>Gesundheitsrelevante Aspekte des Innenausbaus</v>
      </c>
      <c r="F32" s="418"/>
      <c r="G32" s="69"/>
      <c r="H32" s="18">
        <v>5</v>
      </c>
      <c r="I32" s="416"/>
      <c r="J32" s="340"/>
      <c r="K32" s="341"/>
      <c r="L32" s="341"/>
      <c r="M32" s="341"/>
      <c r="N32" s="342"/>
      <c r="P32" s="18">
        <f t="shared" si="0"/>
        <v>0</v>
      </c>
      <c r="Q32" s="338"/>
      <c r="R32" s="344"/>
      <c r="S32" s="474"/>
      <c r="T32" s="344"/>
      <c r="U32" s="475"/>
    </row>
    <row r="33" spans="2:21" x14ac:dyDescent="0.25">
      <c r="B33" s="346"/>
      <c r="C33" s="519"/>
      <c r="D33" s="414"/>
      <c r="E33" s="134" t="str">
        <f>HLOOKUP(Deckblatt!$C$12,Language!$C$1:$D$730,24,FALSE)</f>
        <v>Vorgaben zum Austausch von Bauteilen</v>
      </c>
      <c r="F33" s="418"/>
      <c r="G33" s="69"/>
      <c r="H33" s="18">
        <v>15</v>
      </c>
      <c r="I33" s="416"/>
      <c r="J33" s="340"/>
      <c r="K33" s="341"/>
      <c r="L33" s="341"/>
      <c r="M33" s="341"/>
      <c r="N33" s="342"/>
      <c r="P33" s="18">
        <f>IF(G33&gt;H33,H33,G33)</f>
        <v>0</v>
      </c>
      <c r="Q33" s="338"/>
      <c r="R33" s="344"/>
      <c r="S33" s="474"/>
      <c r="T33" s="344"/>
      <c r="U33" s="475"/>
    </row>
    <row r="34" spans="2:21" x14ac:dyDescent="0.25">
      <c r="B34" s="346"/>
      <c r="C34" s="519"/>
      <c r="D34" s="399"/>
      <c r="E34" s="134" t="str">
        <f>HLOOKUP(Deckblatt!$C$12,Language!$C$1:$D$730,25,FALSE)</f>
        <v>Ökobilanz Studie für Sonderbauten</v>
      </c>
      <c r="F34" s="418"/>
      <c r="G34" s="69"/>
      <c r="H34" s="18">
        <v>20</v>
      </c>
      <c r="I34" s="416"/>
      <c r="J34" s="340"/>
      <c r="K34" s="341"/>
      <c r="L34" s="341"/>
      <c r="M34" s="341"/>
      <c r="N34" s="342"/>
      <c r="P34" s="18">
        <f t="shared" si="0"/>
        <v>0</v>
      </c>
      <c r="Q34" s="338"/>
      <c r="R34" s="344"/>
      <c r="S34" s="474"/>
      <c r="T34" s="344"/>
      <c r="U34" s="475"/>
    </row>
    <row r="35" spans="2:21" x14ac:dyDescent="0.25">
      <c r="B35" s="346"/>
      <c r="C35" s="519"/>
      <c r="D35" s="398" t="s">
        <v>218</v>
      </c>
      <c r="E35" s="150" t="str">
        <f>HLOOKUP(Deckblatt!$C$12,Language!$C$1:$D$730,26,FALSE)</f>
        <v>Korrekturfaktor</v>
      </c>
      <c r="F35" s="418"/>
      <c r="G35" s="117"/>
      <c r="H35" s="21">
        <v>120</v>
      </c>
      <c r="I35" s="416"/>
      <c r="J35" s="340"/>
      <c r="K35" s="341"/>
      <c r="L35" s="341"/>
      <c r="M35" s="341"/>
      <c r="N35" s="342"/>
      <c r="P35" s="18">
        <f t="shared" si="0"/>
        <v>0</v>
      </c>
      <c r="Q35" s="338"/>
      <c r="R35" s="344"/>
      <c r="S35" s="474"/>
      <c r="T35" s="344"/>
      <c r="U35" s="475"/>
    </row>
    <row r="36" spans="2:21" ht="37.200000000000003" customHeight="1" x14ac:dyDescent="0.25">
      <c r="B36" s="370"/>
      <c r="C36" s="520"/>
      <c r="D36" s="399"/>
      <c r="E36" s="134" t="str">
        <f>HLOOKUP(Deckblatt!$C$12,Language!$C$1:$D$730,27,FALSE)</f>
        <v>Das Ergebnis des Indikators 5.2 wird von dem Gesamtergebnis der Indikatoren 3 und 5.1 abgezogen. Die Berechnung ist in dem Abschnitt „Methode“ beschrieben.</v>
      </c>
      <c r="F36" s="515"/>
      <c r="G36" s="69"/>
      <c r="H36" s="18">
        <v>120</v>
      </c>
      <c r="I36" s="516"/>
      <c r="J36" s="340"/>
      <c r="K36" s="341"/>
      <c r="L36" s="341"/>
      <c r="M36" s="341"/>
      <c r="N36" s="342"/>
      <c r="P36" s="18">
        <f t="shared" si="0"/>
        <v>0</v>
      </c>
      <c r="Q36" s="339"/>
      <c r="R36" s="365"/>
      <c r="S36" s="474"/>
      <c r="T36" s="344"/>
      <c r="U36" s="475"/>
    </row>
    <row r="37" spans="2:21" x14ac:dyDescent="0.25">
      <c r="B37" s="55" t="s">
        <v>81</v>
      </c>
      <c r="C37" s="354" t="str">
        <f>HLOOKUP(Deckblatt!$C$12,Language!$C$1:$D$730,33,FALSE)</f>
        <v>Stadtklima – Mesoklima</v>
      </c>
      <c r="D37" s="354"/>
      <c r="E37" s="355"/>
      <c r="F37" s="56">
        <f>Q37</f>
        <v>0</v>
      </c>
      <c r="G37" s="356"/>
      <c r="H37" s="21">
        <v>120</v>
      </c>
      <c r="I37" s="177">
        <v>5</v>
      </c>
      <c r="J37" s="340"/>
      <c r="K37" s="341"/>
      <c r="L37" s="341"/>
      <c r="M37" s="341"/>
      <c r="N37" s="342"/>
      <c r="P37" s="18">
        <f t="shared" si="0"/>
        <v>0</v>
      </c>
      <c r="Q37" s="337">
        <f>SUM(P39,P41,P43,P44,P46)</f>
        <v>0</v>
      </c>
      <c r="R37" s="474">
        <f>Q37/100</f>
        <v>0</v>
      </c>
      <c r="S37" s="474"/>
      <c r="T37" s="344"/>
      <c r="U37" s="475"/>
    </row>
    <row r="38" spans="2:21" x14ac:dyDescent="0.25">
      <c r="B38" s="375"/>
      <c r="C38" s="351" t="s">
        <v>54</v>
      </c>
      <c r="D38" s="352" t="str">
        <f>HLOOKUP(Deckblatt!$C$12,Language!$C$1:$D$730,34,FALSE)</f>
        <v>Stadtklimatische Analyse des Quartiers</v>
      </c>
      <c r="E38" s="353"/>
      <c r="F38" s="477"/>
      <c r="G38" s="356"/>
      <c r="H38" s="21">
        <v>30</v>
      </c>
      <c r="I38" s="478"/>
      <c r="J38" s="340"/>
      <c r="K38" s="341"/>
      <c r="L38" s="341"/>
      <c r="M38" s="341"/>
      <c r="N38" s="342"/>
      <c r="P38" s="18">
        <f t="shared" si="0"/>
        <v>0</v>
      </c>
      <c r="Q38" s="338"/>
      <c r="R38" s="474"/>
      <c r="S38" s="474"/>
      <c r="T38" s="344"/>
      <c r="U38" s="475"/>
    </row>
    <row r="39" spans="2:21" ht="105.6" x14ac:dyDescent="0.25">
      <c r="B39" s="375"/>
      <c r="C39" s="351"/>
      <c r="D39" s="71" t="s">
        <v>58</v>
      </c>
      <c r="E39"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9" s="477"/>
      <c r="G39" s="69"/>
      <c r="H39" s="18">
        <v>30</v>
      </c>
      <c r="I39" s="478"/>
      <c r="J39" s="340"/>
      <c r="K39" s="341"/>
      <c r="L39" s="341"/>
      <c r="M39" s="341"/>
      <c r="N39" s="342"/>
      <c r="P39" s="18">
        <f t="shared" si="0"/>
        <v>0</v>
      </c>
      <c r="Q39" s="338"/>
      <c r="R39" s="474"/>
      <c r="S39" s="474"/>
      <c r="T39" s="344"/>
      <c r="U39" s="475"/>
    </row>
    <row r="40" spans="2:21" x14ac:dyDescent="0.25">
      <c r="B40" s="375"/>
      <c r="C40" s="351" t="s">
        <v>61</v>
      </c>
      <c r="D40" s="352" t="str">
        <f>HLOOKUP(Deckblatt!$C$12,Language!$C$1:$D$730,36,FALSE)</f>
        <v>Thermische Qualität der Quartiersoberflächen / Werksoberflächen</v>
      </c>
      <c r="E40" s="353"/>
      <c r="F40" s="477"/>
      <c r="G40" s="117"/>
      <c r="H40" s="21">
        <v>40</v>
      </c>
      <c r="I40" s="478"/>
      <c r="J40" s="340"/>
      <c r="K40" s="341"/>
      <c r="L40" s="341"/>
      <c r="M40" s="341"/>
      <c r="N40" s="342"/>
      <c r="P40" s="18">
        <f t="shared" si="0"/>
        <v>0</v>
      </c>
      <c r="Q40" s="338"/>
      <c r="R40" s="474"/>
      <c r="S40" s="474"/>
      <c r="T40" s="344"/>
      <c r="U40" s="475"/>
    </row>
    <row r="41" spans="2:21" ht="25.95" customHeight="1" x14ac:dyDescent="0.25">
      <c r="B41" s="375"/>
      <c r="C41" s="351"/>
      <c r="D41" s="71" t="s">
        <v>186</v>
      </c>
      <c r="E41" s="150" t="str">
        <f>HLOOKUP(Deckblatt!$C$12,Language!$C$1:$D$730,39,FALSE)</f>
        <v>Stadtklimafaktor Industriestandorte / Event Areale</v>
      </c>
      <c r="F41" s="477"/>
      <c r="G41" s="69"/>
      <c r="H41" s="18">
        <v>40</v>
      </c>
      <c r="I41" s="478"/>
      <c r="J41" s="340"/>
      <c r="K41" s="341"/>
      <c r="L41" s="341"/>
      <c r="M41" s="341"/>
      <c r="N41" s="342"/>
      <c r="P41" s="18">
        <f t="shared" si="0"/>
        <v>0</v>
      </c>
      <c r="Q41" s="338"/>
      <c r="R41" s="474"/>
      <c r="S41" s="474"/>
      <c r="T41" s="344"/>
      <c r="U41" s="475"/>
    </row>
    <row r="42" spans="2:21" x14ac:dyDescent="0.25">
      <c r="B42" s="375"/>
      <c r="C42" s="351" t="s">
        <v>64</v>
      </c>
      <c r="D42" s="352" t="str">
        <f>HLOOKUP(Deckblatt!$C$12,Language!$C$1:$D$730,41,FALSE)</f>
        <v>Belüftung</v>
      </c>
      <c r="E42" s="353"/>
      <c r="F42" s="477"/>
      <c r="G42" s="117"/>
      <c r="H42" s="21">
        <v>30</v>
      </c>
      <c r="I42" s="478"/>
      <c r="J42" s="340"/>
      <c r="K42" s="341"/>
      <c r="L42" s="341"/>
      <c r="M42" s="341"/>
      <c r="N42" s="342"/>
      <c r="P42" s="18">
        <f t="shared" si="0"/>
        <v>0</v>
      </c>
      <c r="Q42" s="338"/>
      <c r="R42" s="474"/>
      <c r="S42" s="474"/>
      <c r="T42" s="344"/>
      <c r="U42" s="475"/>
    </row>
    <row r="43" spans="2:21" ht="26.4" x14ac:dyDescent="0.25">
      <c r="B43" s="375"/>
      <c r="C43" s="351"/>
      <c r="D43" s="57" t="s">
        <v>66</v>
      </c>
      <c r="E43" s="150" t="str">
        <f>HLOOKUP(Deckblatt!$C$12,Language!$C$1:$D$730,42,FALSE)</f>
        <v xml:space="preserve">Berücksichtigung des Belüftungspotentials
</v>
      </c>
      <c r="F43" s="477"/>
      <c r="G43" s="69"/>
      <c r="H43" s="18">
        <v>15</v>
      </c>
      <c r="I43" s="478"/>
      <c r="J43" s="340"/>
      <c r="K43" s="341"/>
      <c r="L43" s="341"/>
      <c r="M43" s="341"/>
      <c r="N43" s="342"/>
      <c r="P43" s="18">
        <f t="shared" si="0"/>
        <v>0</v>
      </c>
      <c r="Q43" s="338"/>
      <c r="R43" s="474"/>
      <c r="S43" s="474"/>
      <c r="T43" s="344"/>
      <c r="U43" s="475"/>
    </row>
    <row r="44" spans="2:21" ht="26.4" x14ac:dyDescent="0.25">
      <c r="B44" s="375"/>
      <c r="C44" s="351"/>
      <c r="D44" s="71" t="s">
        <v>188</v>
      </c>
      <c r="E44" s="150" t="str">
        <f>HLOOKUP(Deckblatt!$C$12,Language!$C$1:$D$730,43,FALSE)</f>
        <v xml:space="preserve">Gutachten zum Belüftungspotential
</v>
      </c>
      <c r="F44" s="477"/>
      <c r="G44" s="69"/>
      <c r="H44" s="18">
        <v>15</v>
      </c>
      <c r="I44" s="478"/>
      <c r="J44" s="340"/>
      <c r="K44" s="341"/>
      <c r="L44" s="341"/>
      <c r="M44" s="341"/>
      <c r="N44" s="342"/>
      <c r="P44" s="18">
        <f t="shared" si="0"/>
        <v>0</v>
      </c>
      <c r="Q44" s="338"/>
      <c r="R44" s="474"/>
      <c r="S44" s="474"/>
      <c r="T44" s="344"/>
      <c r="U44" s="475"/>
    </row>
    <row r="45" spans="2:21" ht="73.95" customHeight="1" x14ac:dyDescent="0.25">
      <c r="B45" s="375"/>
      <c r="C45" s="351" t="s">
        <v>67</v>
      </c>
      <c r="D45" s="472"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45" s="473"/>
      <c r="F45" s="477"/>
      <c r="G45" s="117"/>
      <c r="H45" s="21">
        <v>20</v>
      </c>
      <c r="I45" s="478"/>
      <c r="J45" s="340"/>
      <c r="K45" s="341"/>
      <c r="L45" s="341"/>
      <c r="M45" s="341"/>
      <c r="N45" s="342"/>
      <c r="P45" s="18">
        <f t="shared" si="0"/>
        <v>0</v>
      </c>
      <c r="Q45" s="338"/>
      <c r="R45" s="474"/>
      <c r="S45" s="474"/>
      <c r="T45" s="344"/>
      <c r="U45" s="475"/>
    </row>
    <row r="46" spans="2:21" ht="96" customHeight="1" x14ac:dyDescent="0.25">
      <c r="B46" s="375"/>
      <c r="C46" s="351"/>
      <c r="D46" s="71" t="s">
        <v>69</v>
      </c>
      <c r="E46"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46" s="477"/>
      <c r="G46" s="69"/>
      <c r="H46" s="18">
        <v>20</v>
      </c>
      <c r="I46" s="478"/>
      <c r="J46" s="340"/>
      <c r="K46" s="341"/>
      <c r="L46" s="341"/>
      <c r="M46" s="341"/>
      <c r="N46" s="342"/>
      <c r="P46" s="18">
        <f t="shared" si="0"/>
        <v>0</v>
      </c>
      <c r="Q46" s="339"/>
      <c r="R46" s="474"/>
      <c r="S46" s="474"/>
      <c r="T46" s="344"/>
      <c r="U46" s="475"/>
    </row>
    <row r="47" spans="2:21" x14ac:dyDescent="0.25">
      <c r="B47" s="55" t="s">
        <v>113</v>
      </c>
      <c r="C47" s="354" t="str">
        <f>HLOOKUP(Deckblatt!$C$12,Language!$C$1:$D$730,46,FALSE)</f>
        <v>Wasserkreislaufsysteme</v>
      </c>
      <c r="D47" s="354"/>
      <c r="E47" s="355"/>
      <c r="F47" s="56">
        <f>Q47</f>
        <v>0</v>
      </c>
      <c r="G47" s="362"/>
      <c r="H47" s="21">
        <v>110</v>
      </c>
      <c r="I47" s="176">
        <v>5</v>
      </c>
      <c r="J47" s="340"/>
      <c r="K47" s="341"/>
      <c r="L47" s="341"/>
      <c r="M47" s="341"/>
      <c r="N47" s="342"/>
      <c r="P47" s="18">
        <f t="shared" si="0"/>
        <v>0</v>
      </c>
      <c r="Q47" s="337">
        <f>SUM(P49,P51:P54,P56:P57,P59,IF(P62+P63&gt;20,20,P62+P63),P66)</f>
        <v>0</v>
      </c>
      <c r="R47" s="343">
        <f>Q47/100</f>
        <v>0</v>
      </c>
      <c r="S47" s="474"/>
      <c r="T47" s="344"/>
      <c r="U47" s="475"/>
    </row>
    <row r="48" spans="2:21" x14ac:dyDescent="0.25">
      <c r="B48" s="345"/>
      <c r="C48" s="369" t="s">
        <v>54</v>
      </c>
      <c r="D48" s="352" t="str">
        <f>HLOOKUP(Deckblatt!$C$12,Language!$C$1:$D$730,47,FALSE)</f>
        <v>Reduzierung des Trinkwasserverbrauchs</v>
      </c>
      <c r="E48" s="353"/>
      <c r="F48" s="347"/>
      <c r="G48" s="362"/>
      <c r="H48" s="21">
        <v>45</v>
      </c>
      <c r="I48" s="349"/>
      <c r="J48" s="340"/>
      <c r="K48" s="341"/>
      <c r="L48" s="341"/>
      <c r="M48" s="341"/>
      <c r="N48" s="342"/>
      <c r="P48" s="18">
        <f t="shared" si="0"/>
        <v>0</v>
      </c>
      <c r="Q48" s="338"/>
      <c r="R48" s="344"/>
      <c r="S48" s="474"/>
      <c r="T48" s="344"/>
      <c r="U48" s="475"/>
    </row>
    <row r="49" spans="2:21" ht="26.4" x14ac:dyDescent="0.25">
      <c r="B49" s="346"/>
      <c r="C49" s="480"/>
      <c r="D49" s="71" t="s">
        <v>58</v>
      </c>
      <c r="E49" s="150" t="str">
        <f>HLOOKUP(Deckblatt!$C$12,Language!$C$1:$D$730,48,FALSE)</f>
        <v xml:space="preserve">Wassernutzungskonzept
</v>
      </c>
      <c r="F49" s="348"/>
      <c r="G49" s="69"/>
      <c r="H49" s="18">
        <v>5</v>
      </c>
      <c r="I49" s="350"/>
      <c r="J49" s="340"/>
      <c r="K49" s="341"/>
      <c r="L49" s="341"/>
      <c r="M49" s="341"/>
      <c r="N49" s="342"/>
      <c r="P49" s="18">
        <f t="shared" si="0"/>
        <v>0</v>
      </c>
      <c r="Q49" s="338"/>
      <c r="R49" s="344"/>
      <c r="S49" s="474"/>
      <c r="T49" s="344"/>
      <c r="U49" s="475"/>
    </row>
    <row r="50" spans="2:21" x14ac:dyDescent="0.25">
      <c r="B50" s="346"/>
      <c r="C50" s="480"/>
      <c r="D50" s="481" t="s">
        <v>181</v>
      </c>
      <c r="E50" s="150" t="str">
        <f>HLOOKUP(Deckblatt!$C$12,Language!$C$1:$D$730,49,FALSE)</f>
        <v>Maßnahmen zur Reduktion des Trinkwasserverbrauchs</v>
      </c>
      <c r="F50" s="348"/>
      <c r="G50" s="117"/>
      <c r="H50" s="21">
        <v>30</v>
      </c>
      <c r="I50" s="350"/>
      <c r="J50" s="340"/>
      <c r="K50" s="341"/>
      <c r="L50" s="341"/>
      <c r="M50" s="341"/>
      <c r="N50" s="342"/>
      <c r="P50" s="18">
        <f t="shared" si="0"/>
        <v>0</v>
      </c>
      <c r="Q50" s="338"/>
      <c r="R50" s="344"/>
      <c r="S50" s="474"/>
      <c r="T50" s="344"/>
      <c r="U50" s="475"/>
    </row>
    <row r="51" spans="2:21" ht="39.6" x14ac:dyDescent="0.25">
      <c r="B51" s="346"/>
      <c r="C51" s="480"/>
      <c r="D51" s="481"/>
      <c r="E51" s="134" t="str">
        <f>HLOOKUP(Deckblatt!$C$12,Language!$C$1:$D$730,50,FALSE)</f>
        <v xml:space="preserve">Maßnahme die den Trinkwasserbedarf im Quartier (Gebäude + Freiraum) reduzieren sind umgesetzt und in einem übergeordneten Konzept dargestellt. 
</v>
      </c>
      <c r="F51" s="348"/>
      <c r="G51" s="69"/>
      <c r="H51" s="18">
        <v>5</v>
      </c>
      <c r="I51" s="350"/>
      <c r="J51" s="340"/>
      <c r="K51" s="341"/>
      <c r="L51" s="341"/>
      <c r="M51" s="341"/>
      <c r="N51" s="342"/>
      <c r="P51" s="18">
        <f t="shared" si="0"/>
        <v>0</v>
      </c>
      <c r="Q51" s="338"/>
      <c r="R51" s="344"/>
      <c r="S51" s="474"/>
      <c r="T51" s="344"/>
      <c r="U51" s="475"/>
    </row>
    <row r="52" spans="2:21" ht="26.4" x14ac:dyDescent="0.25">
      <c r="B52" s="346"/>
      <c r="C52" s="480"/>
      <c r="D52" s="481"/>
      <c r="E52" s="134" t="str">
        <f>HLOOKUP(Deckblatt!$C$12,Language!$C$1:$D$730,51,FALSE)</f>
        <v xml:space="preserve">Regelmäßige Information an die Nutzer des Quartiers
</v>
      </c>
      <c r="F52" s="348"/>
      <c r="G52" s="69"/>
      <c r="H52" s="18">
        <v>5</v>
      </c>
      <c r="I52" s="350"/>
      <c r="J52" s="340"/>
      <c r="K52" s="341"/>
      <c r="L52" s="341"/>
      <c r="M52" s="341"/>
      <c r="N52" s="342"/>
      <c r="P52" s="18">
        <f t="shared" si="0"/>
        <v>0</v>
      </c>
      <c r="Q52" s="338"/>
      <c r="R52" s="344"/>
      <c r="S52" s="474"/>
      <c r="T52" s="344"/>
      <c r="U52" s="475"/>
    </row>
    <row r="53" spans="2:21" ht="39.6" x14ac:dyDescent="0.25">
      <c r="B53" s="346"/>
      <c r="C53" s="480"/>
      <c r="D53" s="481"/>
      <c r="E53" s="134" t="str">
        <f>HLOOKUP(Deckblatt!$C$12,Language!$C$1:$D$730,52,FALSE)</f>
        <v xml:space="preserve">Max. 20% des Wasserbedarfs der WCs im Quartier werden über Trinkwasser versorgt. 
</v>
      </c>
      <c r="F53" s="348"/>
      <c r="G53" s="69"/>
      <c r="H53" s="18">
        <v>15</v>
      </c>
      <c r="I53" s="350"/>
      <c r="J53" s="340"/>
      <c r="K53" s="341"/>
      <c r="L53" s="341"/>
      <c r="M53" s="341"/>
      <c r="N53" s="342"/>
      <c r="P53" s="18">
        <f t="shared" si="0"/>
        <v>0</v>
      </c>
      <c r="Q53" s="338"/>
      <c r="R53" s="344"/>
      <c r="S53" s="474"/>
      <c r="T53" s="344"/>
      <c r="U53" s="475"/>
    </row>
    <row r="54" spans="2:21" ht="39.6" x14ac:dyDescent="0.25">
      <c r="B54" s="346"/>
      <c r="C54" s="480"/>
      <c r="D54" s="481"/>
      <c r="E54" s="134" t="str">
        <f>HLOOKUP(Deckblatt!$C$12,Language!$C$1:$D$730,53,FALSE)</f>
        <v xml:space="preserve">Nutzung von Regen- bzw. Betriebswasser* bei 100 % der öffentlichen Freiflächen 
</v>
      </c>
      <c r="F54" s="348"/>
      <c r="G54" s="69"/>
      <c r="H54" s="18">
        <v>5</v>
      </c>
      <c r="I54" s="350"/>
      <c r="J54" s="340"/>
      <c r="K54" s="341"/>
      <c r="L54" s="341"/>
      <c r="M54" s="341"/>
      <c r="N54" s="342"/>
      <c r="P54" s="18">
        <f t="shared" si="0"/>
        <v>0</v>
      </c>
      <c r="Q54" s="338"/>
      <c r="R54" s="344"/>
      <c r="S54" s="474"/>
      <c r="T54" s="344"/>
      <c r="U54" s="475"/>
    </row>
    <row r="55" spans="2:21" ht="39.6" x14ac:dyDescent="0.25">
      <c r="B55" s="346"/>
      <c r="C55" s="480"/>
      <c r="D55" s="361" t="s">
        <v>121</v>
      </c>
      <c r="E55" s="68" t="str">
        <f>HLOOKUP(Deckblatt!$C$12,Language!$C$1:$D$730,58,FALSE)</f>
        <v xml:space="preserve">CIRCULAR ECONOMY BONUS - WIEDERVERWENDUNG SCHWARZWASSER
</v>
      </c>
      <c r="F55" s="348"/>
      <c r="G55" s="117"/>
      <c r="H55" s="21">
        <v>10</v>
      </c>
      <c r="I55" s="350"/>
      <c r="J55" s="340"/>
      <c r="K55" s="341"/>
      <c r="L55" s="341"/>
      <c r="M55" s="341"/>
      <c r="N55" s="342"/>
      <c r="P55" s="18">
        <f t="shared" si="0"/>
        <v>0</v>
      </c>
      <c r="Q55" s="338"/>
      <c r="R55" s="344"/>
      <c r="S55" s="474"/>
      <c r="T55" s="344"/>
      <c r="U55" s="475"/>
    </row>
    <row r="56" spans="2:21" ht="26.4" x14ac:dyDescent="0.25">
      <c r="B56" s="346"/>
      <c r="C56" s="480"/>
      <c r="D56" s="361"/>
      <c r="E56" s="134" t="str">
        <f>HLOOKUP(Deckblatt!$C$12,Language!$C$1:$D$730,59,FALSE)</f>
        <v xml:space="preserve">Aufbereitung von Schwarzwasser für Bewässerung
</v>
      </c>
      <c r="F56" s="348"/>
      <c r="G56" s="69"/>
      <c r="H56" s="18">
        <v>5</v>
      </c>
      <c r="I56" s="350"/>
      <c r="J56" s="340"/>
      <c r="K56" s="341"/>
      <c r="L56" s="341"/>
      <c r="M56" s="341"/>
      <c r="N56" s="342"/>
      <c r="P56" s="18">
        <f t="shared" si="0"/>
        <v>0</v>
      </c>
      <c r="Q56" s="338"/>
      <c r="R56" s="344"/>
      <c r="S56" s="474"/>
      <c r="T56" s="344"/>
      <c r="U56" s="475"/>
    </row>
    <row r="57" spans="2:21" ht="39.6" x14ac:dyDescent="0.25">
      <c r="B57" s="346"/>
      <c r="C57" s="480"/>
      <c r="D57" s="361"/>
      <c r="E57" s="134" t="str">
        <f>HLOOKUP(Deckblatt!$C$12,Language!$C$1:$D$730,60,FALSE)</f>
        <v xml:space="preserve">Aufbereitung von Schwarzwasser für Nutzungen die über Bewässerung hinaus gehen
</v>
      </c>
      <c r="F57" s="348"/>
      <c r="G57" s="69"/>
      <c r="H57" s="18">
        <v>5</v>
      </c>
      <c r="I57" s="350"/>
      <c r="J57" s="340"/>
      <c r="K57" s="341"/>
      <c r="L57" s="341"/>
      <c r="M57" s="341"/>
      <c r="N57" s="342"/>
      <c r="P57" s="18">
        <f t="shared" si="0"/>
        <v>0</v>
      </c>
      <c r="Q57" s="338"/>
      <c r="R57" s="344"/>
      <c r="S57" s="474"/>
      <c r="T57" s="344"/>
      <c r="U57" s="475"/>
    </row>
    <row r="58" spans="2:21" x14ac:dyDescent="0.25">
      <c r="B58" s="346"/>
      <c r="C58" s="369" t="s">
        <v>61</v>
      </c>
      <c r="D58" s="352" t="str">
        <f>HLOOKUP(Deckblatt!$C$12,Language!$C$1:$D$730,61,FALSE)</f>
        <v>Quartierswasserbilanz</v>
      </c>
      <c r="E58" s="353"/>
      <c r="F58" s="348"/>
      <c r="G58" s="117"/>
      <c r="H58" s="21">
        <v>30</v>
      </c>
      <c r="I58" s="350"/>
      <c r="J58" s="340"/>
      <c r="K58" s="341"/>
      <c r="L58" s="341"/>
      <c r="M58" s="341"/>
      <c r="N58" s="342"/>
      <c r="P58" s="18">
        <f t="shared" si="0"/>
        <v>0</v>
      </c>
      <c r="Q58" s="338"/>
      <c r="R58" s="344"/>
      <c r="S58" s="474"/>
      <c r="T58" s="344"/>
      <c r="U58" s="475"/>
    </row>
    <row r="59" spans="2:21" ht="39.6" x14ac:dyDescent="0.25">
      <c r="B59" s="346"/>
      <c r="C59" s="479"/>
      <c r="D59" s="71" t="s">
        <v>63</v>
      </c>
      <c r="E59" s="150" t="str">
        <f>HLOOKUP(Deckblatt!$C$12,Language!$C$1:$D$730,62,FALSE)</f>
        <v xml:space="preserve">Prozentuale Anteil des Niederschlags am Abfluss (A) im Verhältnis zur Referenzfläche
</v>
      </c>
      <c r="F59" s="348"/>
      <c r="G59" s="69"/>
      <c r="H59" s="18">
        <v>30</v>
      </c>
      <c r="I59" s="350"/>
      <c r="J59" s="340"/>
      <c r="K59" s="341"/>
      <c r="L59" s="341"/>
      <c r="M59" s="341"/>
      <c r="N59" s="342"/>
      <c r="P59" s="18">
        <f t="shared" si="0"/>
        <v>0</v>
      </c>
      <c r="Q59" s="338"/>
      <c r="R59" s="344"/>
      <c r="S59" s="474"/>
      <c r="T59" s="344"/>
      <c r="U59" s="475"/>
    </row>
    <row r="60" spans="2:21" x14ac:dyDescent="0.25">
      <c r="B60" s="346"/>
      <c r="C60" s="392" t="s">
        <v>64</v>
      </c>
      <c r="D60" s="352" t="str">
        <f>HLOOKUP(Deckblatt!$C$12,Language!$C$1:$D$730,63,FALSE)</f>
        <v>Rückhaltung bzw. Drosselung von Regenwasser</v>
      </c>
      <c r="E60" s="353"/>
      <c r="F60" s="348"/>
      <c r="G60" s="362"/>
      <c r="H60" s="21">
        <v>20</v>
      </c>
      <c r="I60" s="350"/>
      <c r="J60" s="340"/>
      <c r="K60" s="341"/>
      <c r="L60" s="341"/>
      <c r="M60" s="341"/>
      <c r="N60" s="342"/>
      <c r="P60" s="18">
        <f t="shared" si="0"/>
        <v>0</v>
      </c>
      <c r="Q60" s="338"/>
      <c r="R60" s="344"/>
      <c r="S60" s="474"/>
      <c r="T60" s="344"/>
      <c r="U60" s="475"/>
    </row>
    <row r="61" spans="2:21" x14ac:dyDescent="0.25">
      <c r="B61" s="346"/>
      <c r="C61" s="392"/>
      <c r="D61" s="361" t="s">
        <v>66</v>
      </c>
      <c r="E61" s="150" t="str">
        <f>HLOOKUP(Deckblatt!$C$12,Language!$C$1:$D$730,64,FALSE)</f>
        <v>Rückhaltung Regenwasser</v>
      </c>
      <c r="F61" s="348"/>
      <c r="G61" s="362"/>
      <c r="H61" s="21">
        <v>20</v>
      </c>
      <c r="I61" s="350"/>
      <c r="J61" s="340"/>
      <c r="K61" s="341"/>
      <c r="L61" s="341"/>
      <c r="M61" s="341"/>
      <c r="N61" s="342"/>
      <c r="P61" s="18">
        <f t="shared" si="0"/>
        <v>0</v>
      </c>
      <c r="Q61" s="338"/>
      <c r="R61" s="344"/>
      <c r="S61" s="474"/>
      <c r="T61" s="344"/>
      <c r="U61" s="475"/>
    </row>
    <row r="62" spans="2:21" ht="39.6" x14ac:dyDescent="0.25">
      <c r="B62" s="346"/>
      <c r="C62" s="392"/>
      <c r="D62" s="361"/>
      <c r="E62" s="134" t="str">
        <f>HLOOKUP(Deckblatt!$C$12,Language!$C$1:$D$730,65,FALSE)</f>
        <v xml:space="preserve">Regenwasserretention im Quartier. (und ggf. durch Maßnahmen außerhalb des Quartiers ergänzt)
</v>
      </c>
      <c r="F62" s="348"/>
      <c r="G62" s="69"/>
      <c r="H62" s="18">
        <v>20</v>
      </c>
      <c r="I62" s="350"/>
      <c r="J62" s="340"/>
      <c r="K62" s="341"/>
      <c r="L62" s="341"/>
      <c r="M62" s="341"/>
      <c r="N62" s="342"/>
      <c r="P62" s="18">
        <f t="shared" si="0"/>
        <v>0</v>
      </c>
      <c r="Q62" s="338"/>
      <c r="R62" s="344"/>
      <c r="S62" s="474"/>
      <c r="T62" s="344"/>
      <c r="U62" s="475"/>
    </row>
    <row r="63" spans="2:21" ht="26.4" x14ac:dyDescent="0.25">
      <c r="B63" s="346"/>
      <c r="C63" s="392"/>
      <c r="D63" s="361"/>
      <c r="E63" s="134" t="str">
        <f>HLOOKUP(Deckblatt!$C$12,Language!$C$1:$D$730,66,FALSE)</f>
        <v xml:space="preserve">Regenwasserretention ausschließlich außerhalb des Quartiers
</v>
      </c>
      <c r="F63" s="348"/>
      <c r="G63" s="69"/>
      <c r="H63" s="18">
        <v>10</v>
      </c>
      <c r="I63" s="350"/>
      <c r="J63" s="340"/>
      <c r="K63" s="341"/>
      <c r="L63" s="341"/>
      <c r="M63" s="341"/>
      <c r="N63" s="342"/>
      <c r="P63" s="18">
        <f>IF(P62&gt;0,0,IF(G63&gt;H63,H63,G63))</f>
        <v>0</v>
      </c>
      <c r="Q63" s="338"/>
      <c r="R63" s="344"/>
      <c r="S63" s="474"/>
      <c r="T63" s="344"/>
      <c r="U63" s="475"/>
    </row>
    <row r="64" spans="2:21" x14ac:dyDescent="0.25">
      <c r="B64" s="346"/>
      <c r="C64" s="392" t="s">
        <v>67</v>
      </c>
      <c r="D64" s="352" t="str">
        <f>HLOOKUP(Deckblatt!$C$12,Language!$C$1:$D$730,67,FALSE)</f>
        <v>Gestalterische Integration der Wasserinfrastruktur in das Freiraumkonzept</v>
      </c>
      <c r="E64" s="353"/>
      <c r="F64" s="348"/>
      <c r="G64" s="362"/>
      <c r="H64" s="21">
        <v>15</v>
      </c>
      <c r="I64" s="350"/>
      <c r="J64" s="340"/>
      <c r="K64" s="341"/>
      <c r="L64" s="341"/>
      <c r="M64" s="341"/>
      <c r="N64" s="342"/>
      <c r="P64" s="18">
        <f t="shared" si="0"/>
        <v>0</v>
      </c>
      <c r="Q64" s="338"/>
      <c r="R64" s="344"/>
      <c r="S64" s="474"/>
      <c r="T64" s="344"/>
      <c r="U64" s="475"/>
    </row>
    <row r="65" spans="2:21" x14ac:dyDescent="0.25">
      <c r="B65" s="346"/>
      <c r="C65" s="392"/>
      <c r="D65" s="361" t="s">
        <v>98</v>
      </c>
      <c r="E65" s="150" t="str">
        <f>HLOOKUP(Deckblatt!$C$12,Language!$C$1:$D$730,68,FALSE)</f>
        <v>Gestalterische Integration</v>
      </c>
      <c r="F65" s="348"/>
      <c r="G65" s="362"/>
      <c r="H65" s="21">
        <v>15</v>
      </c>
      <c r="I65" s="350"/>
      <c r="J65" s="340"/>
      <c r="K65" s="341"/>
      <c r="L65" s="341"/>
      <c r="M65" s="341"/>
      <c r="N65" s="342"/>
      <c r="P65" s="18">
        <f t="shared" si="0"/>
        <v>0</v>
      </c>
      <c r="Q65" s="338"/>
      <c r="R65" s="344"/>
      <c r="S65" s="474"/>
      <c r="T65" s="344"/>
      <c r="U65" s="475"/>
    </row>
    <row r="66" spans="2:21" ht="26.4" x14ac:dyDescent="0.25">
      <c r="B66" s="346"/>
      <c r="C66" s="392"/>
      <c r="D66" s="361"/>
      <c r="E66" s="134" t="str">
        <f>HLOOKUP(Deckblatt!$C$12,Language!$C$1:$D$730,69,FALSE)</f>
        <v xml:space="preserve">Die Regenwasserinfrastruktur ist gestalterisch in das Freiraumkonzept integriert. </v>
      </c>
      <c r="F66" s="348"/>
      <c r="G66" s="69"/>
      <c r="H66" s="18">
        <v>15</v>
      </c>
      <c r="I66" s="350"/>
      <c r="J66" s="340"/>
      <c r="K66" s="341"/>
      <c r="L66" s="341"/>
      <c r="M66" s="341"/>
      <c r="N66" s="342"/>
      <c r="P66" s="18">
        <f t="shared" si="0"/>
        <v>0</v>
      </c>
      <c r="Q66" s="338"/>
      <c r="R66" s="344"/>
      <c r="S66" s="474"/>
      <c r="T66" s="344"/>
      <c r="U66" s="475"/>
    </row>
    <row r="67" spans="2:21" x14ac:dyDescent="0.25">
      <c r="B67" s="55" t="s">
        <v>134</v>
      </c>
      <c r="C67" s="354" t="str">
        <f>HLOOKUP(Deckblatt!$C$12,Language!$C$1:$D$730,70,FALSE)</f>
        <v>Flächeninanspruchnahme</v>
      </c>
      <c r="D67" s="354"/>
      <c r="E67" s="355"/>
      <c r="F67" s="56">
        <f>Q67</f>
        <v>0</v>
      </c>
      <c r="G67" s="356"/>
      <c r="H67" s="21">
        <v>100</v>
      </c>
      <c r="I67" s="176">
        <v>4</v>
      </c>
      <c r="J67" s="340"/>
      <c r="K67" s="341"/>
      <c r="L67" s="341"/>
      <c r="M67" s="341"/>
      <c r="N67" s="342"/>
      <c r="P67" s="18">
        <f t="shared" si="0"/>
        <v>0</v>
      </c>
      <c r="Q67" s="337">
        <f>IF(SUM(P69,P71,IF(P74+P75&gt;15,15,P74+P75),P77)&gt;100,100,SUM(P69,P71,IF(P74+P75&gt;15,15,P74+P75),P77))</f>
        <v>0</v>
      </c>
      <c r="R67" s="343">
        <f>Q67/100</f>
        <v>0</v>
      </c>
      <c r="S67" s="474"/>
      <c r="T67" s="344"/>
      <c r="U67" s="475"/>
    </row>
    <row r="68" spans="2:21" x14ac:dyDescent="0.25">
      <c r="B68" s="375"/>
      <c r="C68" s="392" t="s">
        <v>54</v>
      </c>
      <c r="D68" s="352" t="str">
        <f>HLOOKUP(Deckblatt!$C$12,Language!$C$1:$D$730,71,FALSE)</f>
        <v>Brachflächenanteil</v>
      </c>
      <c r="E68" s="353"/>
      <c r="F68" s="363"/>
      <c r="G68" s="356"/>
      <c r="H68" s="21">
        <v>40</v>
      </c>
      <c r="I68" s="379"/>
      <c r="J68" s="340"/>
      <c r="K68" s="341"/>
      <c r="L68" s="341"/>
      <c r="M68" s="341"/>
      <c r="N68" s="342"/>
      <c r="P68" s="18">
        <f t="shared" si="0"/>
        <v>0</v>
      </c>
      <c r="Q68" s="338"/>
      <c r="R68" s="344"/>
      <c r="S68" s="474"/>
      <c r="T68" s="344"/>
      <c r="U68" s="475"/>
    </row>
    <row r="69" spans="2:21" ht="26.4" x14ac:dyDescent="0.25">
      <c r="B69" s="375"/>
      <c r="C69" s="392"/>
      <c r="D69" s="71" t="s">
        <v>58</v>
      </c>
      <c r="E69" s="150" t="str">
        <f>HLOOKUP(Deckblatt!$C$12,Language!$C$1:$D$730,72,FALSE)</f>
        <v xml:space="preserve">Brachflächenanteil in Prozent
</v>
      </c>
      <c r="F69" s="363"/>
      <c r="G69" s="69"/>
      <c r="H69" s="18">
        <v>40</v>
      </c>
      <c r="I69" s="379"/>
      <c r="J69" s="340"/>
      <c r="K69" s="341"/>
      <c r="L69" s="341"/>
      <c r="M69" s="341"/>
      <c r="N69" s="342"/>
      <c r="P69" s="18">
        <f t="shared" si="0"/>
        <v>0</v>
      </c>
      <c r="Q69" s="338"/>
      <c r="R69" s="344"/>
      <c r="S69" s="474"/>
      <c r="T69" s="344"/>
      <c r="U69" s="475"/>
    </row>
    <row r="70" spans="2:21" x14ac:dyDescent="0.25">
      <c r="B70" s="375"/>
      <c r="C70" s="392" t="s">
        <v>61</v>
      </c>
      <c r="D70" s="352" t="str">
        <f>HLOOKUP(Deckblatt!$C$12,Language!$C$1:$D$730,73,FALSE)</f>
        <v>Flächeneinbindung</v>
      </c>
      <c r="E70" s="353"/>
      <c r="F70" s="363"/>
      <c r="G70" s="113"/>
      <c r="H70" s="21">
        <v>20</v>
      </c>
      <c r="I70" s="379"/>
      <c r="J70" s="340"/>
      <c r="K70" s="341"/>
      <c r="L70" s="341"/>
      <c r="M70" s="341"/>
      <c r="N70" s="342"/>
      <c r="P70" s="18">
        <f t="shared" si="0"/>
        <v>0</v>
      </c>
      <c r="Q70" s="338"/>
      <c r="R70" s="344"/>
      <c r="S70" s="474"/>
      <c r="T70" s="344"/>
      <c r="U70" s="475"/>
    </row>
    <row r="71" spans="2:21" ht="26.4" x14ac:dyDescent="0.25">
      <c r="B71" s="375"/>
      <c r="C71" s="392"/>
      <c r="D71" s="71" t="s">
        <v>63</v>
      </c>
      <c r="E71" s="150" t="str">
        <f>HLOOKUP(Deckblatt!$C$12,Language!$C$1:$D$730,74,FALSE)</f>
        <v xml:space="preserve">Flächeneinbindung in Prozent
</v>
      </c>
      <c r="F71" s="363"/>
      <c r="G71" s="69"/>
      <c r="H71" s="18">
        <v>20</v>
      </c>
      <c r="I71" s="379"/>
      <c r="J71" s="340"/>
      <c r="K71" s="341"/>
      <c r="L71" s="341"/>
      <c r="M71" s="341"/>
      <c r="N71" s="342"/>
      <c r="P71" s="18">
        <f t="shared" si="0"/>
        <v>0</v>
      </c>
      <c r="Q71" s="338"/>
      <c r="R71" s="344"/>
      <c r="S71" s="474"/>
      <c r="T71" s="344"/>
      <c r="U71" s="475"/>
    </row>
    <row r="72" spans="2:21" x14ac:dyDescent="0.25">
      <c r="B72" s="375"/>
      <c r="C72" s="369" t="s">
        <v>64</v>
      </c>
      <c r="D72" s="352" t="str">
        <f>HLOOKUP(Deckblatt!$C$12,Language!$C$1:$D$730,75,FALSE)</f>
        <v>Flächenbelastung</v>
      </c>
      <c r="E72" s="353"/>
      <c r="F72" s="363"/>
      <c r="G72" s="113"/>
      <c r="H72" s="21">
        <v>15</v>
      </c>
      <c r="I72" s="379"/>
      <c r="J72" s="340"/>
      <c r="K72" s="341"/>
      <c r="L72" s="341"/>
      <c r="M72" s="341"/>
      <c r="N72" s="342"/>
      <c r="P72" s="18">
        <f t="shared" si="0"/>
        <v>0</v>
      </c>
      <c r="Q72" s="338"/>
      <c r="R72" s="344"/>
      <c r="S72" s="474"/>
      <c r="T72" s="344"/>
      <c r="U72" s="475"/>
    </row>
    <row r="73" spans="2:21" x14ac:dyDescent="0.25">
      <c r="B73" s="375"/>
      <c r="C73" s="480"/>
      <c r="D73" s="398" t="s">
        <v>66</v>
      </c>
      <c r="E73" s="150" t="str">
        <f>HLOOKUP(Deckblatt!$C$12,Language!$C$1:$D$730,76,FALSE)</f>
        <v>Flächenbelastung durch Altlasten</v>
      </c>
      <c r="F73" s="363"/>
      <c r="G73" s="113"/>
      <c r="H73" s="21">
        <v>15</v>
      </c>
      <c r="I73" s="379"/>
      <c r="J73" s="340"/>
      <c r="K73" s="341"/>
      <c r="L73" s="341"/>
      <c r="M73" s="341"/>
      <c r="N73" s="342"/>
      <c r="P73" s="18">
        <f t="shared" si="0"/>
        <v>0</v>
      </c>
      <c r="Q73" s="338"/>
      <c r="R73" s="344"/>
      <c r="S73" s="474"/>
      <c r="T73" s="344"/>
      <c r="U73" s="475"/>
    </row>
    <row r="74" spans="2:21" ht="171.6" x14ac:dyDescent="0.25">
      <c r="B74" s="375"/>
      <c r="C74" s="480"/>
      <c r="D74" s="414"/>
      <c r="E74"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74" s="363"/>
      <c r="G74" s="69"/>
      <c r="H74" s="18">
        <v>15</v>
      </c>
      <c r="I74" s="379"/>
      <c r="J74" s="340"/>
      <c r="K74" s="341"/>
      <c r="L74" s="341"/>
      <c r="M74" s="341"/>
      <c r="N74" s="342"/>
      <c r="P74" s="18">
        <f t="shared" ref="P74:P137" si="1">IF(G74&gt;H74,H74,G74)</f>
        <v>0</v>
      </c>
      <c r="Q74" s="338"/>
      <c r="R74" s="344"/>
      <c r="S74" s="474"/>
      <c r="T74" s="344"/>
      <c r="U74" s="475"/>
    </row>
    <row r="75" spans="2:21" ht="79.2" x14ac:dyDescent="0.25">
      <c r="B75" s="375"/>
      <c r="C75" s="142"/>
      <c r="D75" s="141" t="s">
        <v>740</v>
      </c>
      <c r="E75"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75" s="363"/>
      <c r="G75" s="69"/>
      <c r="H75" s="18">
        <v>10</v>
      </c>
      <c r="I75" s="379"/>
      <c r="J75" s="340"/>
      <c r="K75" s="341"/>
      <c r="L75" s="341"/>
      <c r="M75" s="341"/>
      <c r="N75" s="342"/>
      <c r="P75" s="18">
        <f>IF(P74&gt;5,0,IF(G75&gt;H75,H75,G75))</f>
        <v>0</v>
      </c>
      <c r="Q75" s="338"/>
      <c r="R75" s="344"/>
      <c r="S75" s="474"/>
      <c r="T75" s="344"/>
      <c r="U75" s="475"/>
    </row>
    <row r="76" spans="2:21" x14ac:dyDescent="0.25">
      <c r="B76" s="375"/>
      <c r="C76" s="392" t="s">
        <v>67</v>
      </c>
      <c r="D76" s="352" t="str">
        <f>HLOOKUP(Deckblatt!$C$12,Language!$C$1:$D$730,79,FALSE)</f>
        <v>Versiegelungsgrad</v>
      </c>
      <c r="E76" s="353"/>
      <c r="F76" s="363"/>
      <c r="G76" s="113"/>
      <c r="H76" s="21">
        <v>35</v>
      </c>
      <c r="I76" s="379"/>
      <c r="J76" s="340"/>
      <c r="K76" s="341"/>
      <c r="L76" s="341"/>
      <c r="M76" s="341"/>
      <c r="N76" s="342"/>
      <c r="P76" s="18">
        <f t="shared" si="1"/>
        <v>0</v>
      </c>
      <c r="Q76" s="338"/>
      <c r="R76" s="344"/>
      <c r="S76" s="474"/>
      <c r="T76" s="344"/>
      <c r="U76" s="475"/>
    </row>
    <row r="77" spans="2:21" ht="26.4" x14ac:dyDescent="0.25">
      <c r="B77" s="375"/>
      <c r="C77" s="392"/>
      <c r="D77" s="71" t="s">
        <v>69</v>
      </c>
      <c r="E77" s="150" t="str">
        <f>HLOOKUP(Deckblatt!$C$12,Language!$C$1:$D$730,80,FALSE)</f>
        <v xml:space="preserve">Versiegelungsgrad
</v>
      </c>
      <c r="F77" s="363"/>
      <c r="G77" s="69"/>
      <c r="H77" s="18">
        <v>35</v>
      </c>
      <c r="I77" s="379"/>
      <c r="J77" s="340"/>
      <c r="K77" s="341"/>
      <c r="L77" s="341"/>
      <c r="M77" s="341"/>
      <c r="N77" s="342"/>
      <c r="P77" s="18">
        <f t="shared" si="1"/>
        <v>0</v>
      </c>
      <c r="Q77" s="339"/>
      <c r="R77" s="365"/>
      <c r="S77" s="474"/>
      <c r="T77" s="344"/>
      <c r="U77" s="475"/>
    </row>
    <row r="78" spans="2:21" x14ac:dyDescent="0.25">
      <c r="B78" s="55" t="s">
        <v>143</v>
      </c>
      <c r="C78" s="354" t="str">
        <f>HLOOKUP(Deckblatt!$C$12,Language!$C$1:$D$730,81,FALSE)</f>
        <v>Biodiversität</v>
      </c>
      <c r="D78" s="354"/>
      <c r="E78" s="355"/>
      <c r="F78" s="56">
        <f>Q78</f>
        <v>0</v>
      </c>
      <c r="G78" s="126"/>
      <c r="H78" s="21">
        <v>110</v>
      </c>
      <c r="I78" s="176">
        <v>4</v>
      </c>
      <c r="J78" s="340"/>
      <c r="K78" s="341"/>
      <c r="L78" s="341"/>
      <c r="M78" s="341"/>
      <c r="N78" s="342"/>
      <c r="P78" s="18">
        <f t="shared" si="1"/>
        <v>0</v>
      </c>
      <c r="Q78" s="337">
        <f>SUM(P80,P82:P83,P86:P87,P89)</f>
        <v>0</v>
      </c>
      <c r="R78" s="343">
        <f>Q78/100</f>
        <v>0</v>
      </c>
      <c r="S78" s="474"/>
      <c r="T78" s="344"/>
      <c r="U78" s="475"/>
    </row>
    <row r="79" spans="2:21" x14ac:dyDescent="0.25">
      <c r="B79" s="375"/>
      <c r="C79" s="351" t="s">
        <v>61</v>
      </c>
      <c r="D79" s="352" t="str">
        <f>HLOOKUP(Deckblatt!$C$12,Language!$C$1:$D$730,84,FALSE)</f>
        <v>Gezielte Maßnahmen zur aktiven Ansiedlung neuer und heimischer Tierarten</v>
      </c>
      <c r="E79" s="353"/>
      <c r="F79" s="363"/>
      <c r="G79" s="113"/>
      <c r="H79" s="21">
        <v>30</v>
      </c>
      <c r="I79" s="379"/>
      <c r="J79" s="340"/>
      <c r="K79" s="341"/>
      <c r="L79" s="341"/>
      <c r="M79" s="341"/>
      <c r="N79" s="342"/>
      <c r="P79" s="18">
        <f t="shared" si="1"/>
        <v>0</v>
      </c>
      <c r="Q79" s="338"/>
      <c r="R79" s="344"/>
      <c r="S79" s="474"/>
      <c r="T79" s="344"/>
      <c r="U79" s="475"/>
    </row>
    <row r="80" spans="2:21" ht="26.4" x14ac:dyDescent="0.25">
      <c r="B80" s="375"/>
      <c r="C80" s="351"/>
      <c r="D80" s="71" t="s">
        <v>63</v>
      </c>
      <c r="E80" s="150" t="str">
        <f>HLOOKUP(Deckblatt!$C$12,Language!$C$1:$D$730,85,FALSE)</f>
        <v xml:space="preserve">Aktive Ansiedlung neuer heimischer Arten
</v>
      </c>
      <c r="F80" s="363"/>
      <c r="G80" s="69"/>
      <c r="H80" s="18">
        <v>30</v>
      </c>
      <c r="I80" s="379"/>
      <c r="J80" s="340"/>
      <c r="K80" s="341"/>
      <c r="L80" s="341"/>
      <c r="M80" s="341"/>
      <c r="N80" s="342"/>
      <c r="P80" s="18">
        <f t="shared" si="1"/>
        <v>0</v>
      </c>
      <c r="Q80" s="338"/>
      <c r="R80" s="344"/>
      <c r="S80" s="474"/>
      <c r="T80" s="344"/>
      <c r="U80" s="475"/>
    </row>
    <row r="81" spans="2:21" x14ac:dyDescent="0.25">
      <c r="B81" s="375"/>
      <c r="C81" s="351" t="s">
        <v>64</v>
      </c>
      <c r="D81" s="352" t="str">
        <f>HLOOKUP(Deckblatt!$C$12,Language!$C$1:$D$730,86,FALSE)</f>
        <v>Biotopflächenfaktor</v>
      </c>
      <c r="E81" s="353"/>
      <c r="F81" s="363"/>
      <c r="G81" s="113"/>
      <c r="H81" s="21">
        <v>40</v>
      </c>
      <c r="I81" s="379"/>
      <c r="J81" s="340"/>
      <c r="K81" s="341"/>
      <c r="L81" s="341"/>
      <c r="M81" s="341"/>
      <c r="N81" s="342"/>
      <c r="P81" s="18">
        <f t="shared" si="1"/>
        <v>0</v>
      </c>
      <c r="Q81" s="338"/>
      <c r="R81" s="344"/>
      <c r="S81" s="474"/>
      <c r="T81" s="344"/>
      <c r="U81" s="475"/>
    </row>
    <row r="82" spans="2:21" ht="26.4" x14ac:dyDescent="0.25">
      <c r="B82" s="375"/>
      <c r="C82" s="351"/>
      <c r="D82" s="71" t="s">
        <v>66</v>
      </c>
      <c r="E82" s="150" t="str">
        <f>HLOOKUP(Deckblatt!$C$12,Language!$C$1:$D$730,87,FALSE)</f>
        <v xml:space="preserve">Biotopflächenfaktor Gesamt
</v>
      </c>
      <c r="F82" s="363"/>
      <c r="G82" s="69"/>
      <c r="H82" s="18">
        <v>30</v>
      </c>
      <c r="I82" s="379"/>
      <c r="J82" s="340"/>
      <c r="K82" s="341"/>
      <c r="L82" s="341"/>
      <c r="M82" s="341"/>
      <c r="N82" s="342"/>
      <c r="P82" s="18">
        <f t="shared" si="1"/>
        <v>0</v>
      </c>
      <c r="Q82" s="338"/>
      <c r="R82" s="344"/>
      <c r="S82" s="474"/>
      <c r="T82" s="344"/>
      <c r="U82" s="475"/>
    </row>
    <row r="83" spans="2:21" ht="66" x14ac:dyDescent="0.25">
      <c r="B83" s="375"/>
      <c r="C83" s="351"/>
      <c r="D83" s="71" t="s">
        <v>188</v>
      </c>
      <c r="E83" s="54" t="str">
        <f>HLOOKUP(Deckblatt!$C$12,Language!$C$1:$D$730,88,FALSE)</f>
        <v>AGENDA 2030 BONUS – KLIMA- UND ARTENSCHUTZZIELE
Biotopflächenfaktor  &gt; 0,35 (je 0,015 Überschreitung 1 Bonuspunkt, max. Bonuspunkte = 10)
Bei Event / Gewerbe / Industrie: Biotopflächenfaktor  &gt; 0,3</v>
      </c>
      <c r="F83" s="363"/>
      <c r="G83" s="69"/>
      <c r="H83" s="18">
        <v>10</v>
      </c>
      <c r="I83" s="379"/>
      <c r="J83" s="340"/>
      <c r="K83" s="341"/>
      <c r="L83" s="341"/>
      <c r="M83" s="341"/>
      <c r="N83" s="342"/>
      <c r="P83" s="18">
        <f t="shared" si="1"/>
        <v>0</v>
      </c>
      <c r="Q83" s="338"/>
      <c r="R83" s="344"/>
      <c r="S83" s="474"/>
      <c r="T83" s="344"/>
      <c r="U83" s="475"/>
    </row>
    <row r="84" spans="2:21" x14ac:dyDescent="0.25">
      <c r="B84" s="375"/>
      <c r="C84" s="351" t="s">
        <v>67</v>
      </c>
      <c r="D84" s="352" t="str">
        <f>HLOOKUP(Deckblatt!$C$12,Language!$C$1:$D$730,89,FALSE)</f>
        <v>Vernetzung der Biotoptypen</v>
      </c>
      <c r="E84" s="353"/>
      <c r="F84" s="363"/>
      <c r="G84" s="356"/>
      <c r="H84" s="21">
        <v>30</v>
      </c>
      <c r="I84" s="379"/>
      <c r="J84" s="340"/>
      <c r="K84" s="341"/>
      <c r="L84" s="341"/>
      <c r="M84" s="341"/>
      <c r="N84" s="342"/>
      <c r="P84" s="18">
        <f t="shared" si="1"/>
        <v>0</v>
      </c>
      <c r="Q84" s="338"/>
      <c r="R84" s="344"/>
      <c r="S84" s="474"/>
      <c r="T84" s="344"/>
      <c r="U84" s="475"/>
    </row>
    <row r="85" spans="2:21" x14ac:dyDescent="0.25">
      <c r="B85" s="375"/>
      <c r="C85" s="351"/>
      <c r="D85" s="361" t="s">
        <v>69</v>
      </c>
      <c r="E85" s="150" t="str">
        <f>HLOOKUP(Deckblatt!$C$12,Language!$C$1:$D$730,90,FALSE)</f>
        <v>Vernetzung der Biotoptypen</v>
      </c>
      <c r="F85" s="363"/>
      <c r="G85" s="356"/>
      <c r="H85" s="21">
        <v>30</v>
      </c>
      <c r="I85" s="379"/>
      <c r="J85" s="340"/>
      <c r="K85" s="341"/>
      <c r="L85" s="341"/>
      <c r="M85" s="341"/>
      <c r="N85" s="342"/>
      <c r="P85" s="18">
        <f t="shared" si="1"/>
        <v>0</v>
      </c>
      <c r="Q85" s="338"/>
      <c r="R85" s="344"/>
      <c r="S85" s="474"/>
      <c r="T85" s="344"/>
      <c r="U85" s="475"/>
    </row>
    <row r="86" spans="2:21" ht="26.4" x14ac:dyDescent="0.25">
      <c r="B86" s="375"/>
      <c r="C86" s="351"/>
      <c r="D86" s="361"/>
      <c r="E86" s="134" t="str">
        <f>HLOOKUP(Deckblatt!$C$12,Language!$C$1:$D$730,91,FALSE)</f>
        <v xml:space="preserve">Vernetzung mit Umgebung
</v>
      </c>
      <c r="F86" s="363"/>
      <c r="G86" s="69"/>
      <c r="H86" s="18">
        <v>15</v>
      </c>
      <c r="I86" s="379"/>
      <c r="J86" s="340"/>
      <c r="K86" s="341"/>
      <c r="L86" s="341"/>
      <c r="M86" s="341"/>
      <c r="N86" s="342"/>
      <c r="P86" s="18">
        <f t="shared" si="1"/>
        <v>0</v>
      </c>
      <c r="Q86" s="338"/>
      <c r="R86" s="344"/>
      <c r="S86" s="474"/>
      <c r="T86" s="344"/>
      <c r="U86" s="475"/>
    </row>
    <row r="87" spans="2:21" ht="26.4" x14ac:dyDescent="0.25">
      <c r="B87" s="375"/>
      <c r="C87" s="351"/>
      <c r="D87" s="361"/>
      <c r="E87" s="134" t="str">
        <f>HLOOKUP(Deckblatt!$C$12,Language!$C$1:$D$730,92,FALSE)</f>
        <v xml:space="preserve">Interne Vernetzung
</v>
      </c>
      <c r="F87" s="363"/>
      <c r="G87" s="69"/>
      <c r="H87" s="18">
        <v>15</v>
      </c>
      <c r="I87" s="379"/>
      <c r="J87" s="340"/>
      <c r="K87" s="341"/>
      <c r="L87" s="341"/>
      <c r="M87" s="341"/>
      <c r="N87" s="342"/>
      <c r="P87" s="18">
        <f t="shared" si="1"/>
        <v>0</v>
      </c>
      <c r="Q87" s="338"/>
      <c r="R87" s="344"/>
      <c r="S87" s="474"/>
      <c r="T87" s="344"/>
      <c r="U87" s="475"/>
    </row>
    <row r="88" spans="2:21" x14ac:dyDescent="0.25">
      <c r="B88" s="375"/>
      <c r="C88" s="351" t="s">
        <v>154</v>
      </c>
      <c r="D88" s="352" t="str">
        <f>HLOOKUP(Deckblatt!$C$12,Language!$C$1:$D$730,93,FALSE)</f>
        <v>Vermeidung invasiver Pflanzenarten</v>
      </c>
      <c r="E88" s="353"/>
      <c r="F88" s="363"/>
      <c r="G88" s="113"/>
      <c r="H88" s="21">
        <v>10</v>
      </c>
      <c r="I88" s="379"/>
      <c r="J88" s="340"/>
      <c r="K88" s="341"/>
      <c r="L88" s="341"/>
      <c r="M88" s="341"/>
      <c r="N88" s="342"/>
      <c r="P88" s="18">
        <f t="shared" si="1"/>
        <v>0</v>
      </c>
      <c r="Q88" s="338"/>
      <c r="R88" s="344"/>
      <c r="S88" s="474"/>
      <c r="T88" s="344"/>
      <c r="U88" s="475"/>
    </row>
    <row r="89" spans="2:21" ht="27" thickBot="1" x14ac:dyDescent="0.3">
      <c r="B89" s="375"/>
      <c r="C89" s="351"/>
      <c r="D89" s="71" t="s">
        <v>156</v>
      </c>
      <c r="E89" s="150" t="str">
        <f>HLOOKUP(Deckblatt!$C$12,Language!$C$1:$D$730,94,FALSE)</f>
        <v xml:space="preserve">Vermeidung invasiver Pflanzenarten
</v>
      </c>
      <c r="F89" s="363"/>
      <c r="G89" s="69"/>
      <c r="H89" s="18">
        <v>10</v>
      </c>
      <c r="I89" s="379"/>
      <c r="J89" s="340"/>
      <c r="K89" s="341"/>
      <c r="L89" s="341"/>
      <c r="M89" s="341"/>
      <c r="N89" s="342"/>
      <c r="P89" s="18">
        <f t="shared" si="1"/>
        <v>0</v>
      </c>
      <c r="Q89" s="338"/>
      <c r="R89" s="344"/>
      <c r="S89" s="474"/>
      <c r="T89" s="344"/>
      <c r="U89" s="475"/>
    </row>
    <row r="90" spans="2:21" x14ac:dyDescent="0.25">
      <c r="B90" s="49" t="s">
        <v>163</v>
      </c>
      <c r="C90" s="354" t="str">
        <f>HLOOKUP(Deckblatt!$C$12,Language!$C$1:$D$730,98,FALSE)</f>
        <v>Lebenszykluskosten</v>
      </c>
      <c r="D90" s="354"/>
      <c r="E90" s="355"/>
      <c r="F90" s="50">
        <f>Q90</f>
        <v>0</v>
      </c>
      <c r="G90" s="434"/>
      <c r="H90" s="136">
        <v>100</v>
      </c>
      <c r="I90" s="178">
        <v>4</v>
      </c>
      <c r="J90" s="340"/>
      <c r="K90" s="341"/>
      <c r="L90" s="341"/>
      <c r="M90" s="341"/>
      <c r="N90" s="342"/>
      <c r="P90" s="18">
        <f t="shared" si="1"/>
        <v>0</v>
      </c>
      <c r="Q90" s="337">
        <f>SUM(P93,P94,IF(P97+P98+P99&gt;10,10,P97+P98+P99),P101,P102)</f>
        <v>0</v>
      </c>
      <c r="R90" s="343">
        <f>Q90/100</f>
        <v>0</v>
      </c>
      <c r="S90" s="343">
        <v>0.2</v>
      </c>
      <c r="T90" s="343">
        <f>IF((R90*I90+R103*I103+R126*I126+R129*I129)/(I90+I103+I126+I129)&gt;1,1,(R90*I90+R103*I103+R126*I126+R129*I129)/(I90+I103+I126+I129))</f>
        <v>0</v>
      </c>
      <c r="U90" s="475"/>
    </row>
    <row r="91" spans="2:21" x14ac:dyDescent="0.25">
      <c r="B91" s="345"/>
      <c r="C91" s="351" t="s">
        <v>54</v>
      </c>
      <c r="D91" s="352" t="str">
        <f>HLOOKUP(Deckblatt!$C$12,Language!$C$1:$D$730,99,FALSE)</f>
        <v>Lebenszykluskostenrechnungen in der Planung</v>
      </c>
      <c r="E91" s="353"/>
      <c r="F91" s="347"/>
      <c r="G91" s="356"/>
      <c r="H91" s="21">
        <v>10</v>
      </c>
      <c r="I91" s="349"/>
      <c r="J91" s="340"/>
      <c r="K91" s="341"/>
      <c r="L91" s="341"/>
      <c r="M91" s="341"/>
      <c r="N91" s="342"/>
      <c r="P91" s="18">
        <f t="shared" si="1"/>
        <v>0</v>
      </c>
      <c r="Q91" s="338"/>
      <c r="R91" s="344"/>
      <c r="S91" s="344"/>
      <c r="T91" s="344"/>
      <c r="U91" s="475"/>
    </row>
    <row r="92" spans="2:21" ht="26.4" x14ac:dyDescent="0.25">
      <c r="B92" s="346"/>
      <c r="C92" s="351"/>
      <c r="D92" s="398" t="s">
        <v>58</v>
      </c>
      <c r="E92" s="150" t="str">
        <f>HLOOKUP(Deckblatt!$C$12,Language!$C$1:$D$730,100,FALSE)</f>
        <v>Integration von Lebenszykluskostenrechnungen in den Planungsprozess</v>
      </c>
      <c r="F92" s="348"/>
      <c r="G92" s="356"/>
      <c r="H92" s="21">
        <v>10</v>
      </c>
      <c r="I92" s="350"/>
      <c r="J92" s="340"/>
      <c r="K92" s="341"/>
      <c r="L92" s="341"/>
      <c r="M92" s="341"/>
      <c r="N92" s="342"/>
      <c r="P92" s="18">
        <f t="shared" si="1"/>
        <v>0</v>
      </c>
      <c r="Q92" s="338"/>
      <c r="R92" s="344"/>
      <c r="S92" s="344"/>
      <c r="T92" s="344"/>
      <c r="U92" s="475"/>
    </row>
    <row r="93" spans="2:21" ht="66" x14ac:dyDescent="0.25">
      <c r="B93" s="346"/>
      <c r="C93" s="351"/>
      <c r="D93" s="414"/>
      <c r="E93"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3" s="348"/>
      <c r="G93" s="69"/>
      <c r="H93" s="18">
        <v>5</v>
      </c>
      <c r="I93" s="350"/>
      <c r="J93" s="340"/>
      <c r="K93" s="341"/>
      <c r="L93" s="341"/>
      <c r="M93" s="341"/>
      <c r="N93" s="342"/>
      <c r="P93" s="18">
        <f t="shared" si="1"/>
        <v>0</v>
      </c>
      <c r="Q93" s="338"/>
      <c r="R93" s="344"/>
      <c r="S93" s="344"/>
      <c r="T93" s="344"/>
      <c r="U93" s="475"/>
    </row>
    <row r="94" spans="2:21" ht="39.6" x14ac:dyDescent="0.25">
      <c r="B94" s="346"/>
      <c r="C94" s="351"/>
      <c r="D94" s="399"/>
      <c r="E94" s="134" t="str">
        <f>HLOOKUP(Deckblatt!$C$12,Language!$C$1:$D$730,102,FALSE)</f>
        <v xml:space="preserve">Maßnahmen mit Einfluss auf die Lebenszykluskosten werden planungsbegleitend regelmäßig (an den jeweiligen Planungsstand angepasst) ermittelt und im Planungsteam kommuniziert. </v>
      </c>
      <c r="F94" s="348"/>
      <c r="G94" s="69"/>
      <c r="H94" s="18">
        <v>5</v>
      </c>
      <c r="I94" s="350"/>
      <c r="J94" s="340"/>
      <c r="K94" s="341"/>
      <c r="L94" s="341"/>
      <c r="M94" s="341"/>
      <c r="N94" s="342"/>
      <c r="P94" s="18">
        <f t="shared" si="1"/>
        <v>0</v>
      </c>
      <c r="Q94" s="338"/>
      <c r="R94" s="344"/>
      <c r="S94" s="344"/>
      <c r="T94" s="344"/>
      <c r="U94" s="475"/>
    </row>
    <row r="95" spans="2:21" x14ac:dyDescent="0.25">
      <c r="B95" s="346"/>
      <c r="C95" s="351" t="s">
        <v>61</v>
      </c>
      <c r="D95" s="352" t="str">
        <f>HLOOKUP(Deckblatt!$C$12,Language!$C$1:$D$730,103,FALSE)</f>
        <v>Lebenszykluskostenoptimierung</v>
      </c>
      <c r="E95" s="353"/>
      <c r="F95" s="348"/>
      <c r="G95" s="356"/>
      <c r="H95" s="21">
        <v>10</v>
      </c>
      <c r="I95" s="350"/>
      <c r="J95" s="340"/>
      <c r="K95" s="341"/>
      <c r="L95" s="341"/>
      <c r="M95" s="341"/>
      <c r="N95" s="342"/>
      <c r="P95" s="18">
        <f t="shared" si="1"/>
        <v>0</v>
      </c>
      <c r="Q95" s="338"/>
      <c r="R95" s="344"/>
      <c r="S95" s="344"/>
      <c r="T95" s="344"/>
      <c r="U95" s="475"/>
    </row>
    <row r="96" spans="2:21" x14ac:dyDescent="0.25">
      <c r="B96" s="346"/>
      <c r="C96" s="351"/>
      <c r="D96" s="398" t="s">
        <v>63</v>
      </c>
      <c r="E96" s="150" t="str">
        <f>HLOOKUP(Deckblatt!$C$12,Language!$C$1:$D$730,104,FALSE)</f>
        <v>Planungsbegleitende Lebenszykluskostenoptimierung</v>
      </c>
      <c r="F96" s="348"/>
      <c r="G96" s="356"/>
      <c r="H96" s="21">
        <v>10</v>
      </c>
      <c r="I96" s="350"/>
      <c r="J96" s="340"/>
      <c r="K96" s="341"/>
      <c r="L96" s="341"/>
      <c r="M96" s="341"/>
      <c r="N96" s="342"/>
      <c r="P96" s="18">
        <f t="shared" si="1"/>
        <v>0</v>
      </c>
      <c r="Q96" s="338"/>
      <c r="R96" s="344"/>
      <c r="S96" s="344"/>
      <c r="T96" s="344"/>
      <c r="U96" s="475"/>
    </row>
    <row r="97" spans="2:21" ht="39.6" x14ac:dyDescent="0.25">
      <c r="B97" s="346"/>
      <c r="C97" s="351"/>
      <c r="D97" s="399"/>
      <c r="E97" s="134" t="str">
        <f>HLOOKUP(Deckblatt!$C$12,Language!$C$1:$D$730,105,FALSE)</f>
        <v>- Umfassende Betrachtung  (10 Punkte)
ODER
- Teilbetrachtung (5 Punkte)</v>
      </c>
      <c r="F97" s="348"/>
      <c r="G97" s="69"/>
      <c r="H97" s="18">
        <v>10</v>
      </c>
      <c r="I97" s="350"/>
      <c r="J97" s="340"/>
      <c r="K97" s="341"/>
      <c r="L97" s="341"/>
      <c r="M97" s="341"/>
      <c r="N97" s="342"/>
      <c r="P97" s="18">
        <f t="shared" si="1"/>
        <v>0</v>
      </c>
      <c r="Q97" s="338"/>
      <c r="R97" s="344"/>
      <c r="S97" s="344"/>
      <c r="T97" s="344"/>
      <c r="U97" s="475"/>
    </row>
    <row r="98" spans="2:21" ht="118.8" x14ac:dyDescent="0.25">
      <c r="B98" s="346"/>
      <c r="C98" s="351"/>
      <c r="D98" s="141" t="s">
        <v>173</v>
      </c>
      <c r="E98"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8" s="348"/>
      <c r="G98" s="69"/>
      <c r="H98" s="18">
        <v>10</v>
      </c>
      <c r="I98" s="350"/>
      <c r="J98" s="340"/>
      <c r="K98" s="341"/>
      <c r="L98" s="341"/>
      <c r="M98" s="341"/>
      <c r="N98" s="342"/>
      <c r="P98" s="18">
        <f t="shared" si="1"/>
        <v>0</v>
      </c>
      <c r="Q98" s="338"/>
      <c r="R98" s="344"/>
      <c r="S98" s="344"/>
      <c r="T98" s="344"/>
      <c r="U98" s="475"/>
    </row>
    <row r="99" spans="2:21" ht="106.2" customHeight="1" x14ac:dyDescent="0.25">
      <c r="B99" s="346"/>
      <c r="C99" s="351"/>
      <c r="D99" s="57" t="s">
        <v>173</v>
      </c>
      <c r="E99"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9" s="348"/>
      <c r="G99" s="69"/>
      <c r="H99" s="18">
        <v>10</v>
      </c>
      <c r="I99" s="350"/>
      <c r="J99" s="340"/>
      <c r="K99" s="341"/>
      <c r="L99" s="341"/>
      <c r="M99" s="341"/>
      <c r="N99" s="342"/>
      <c r="P99" s="18">
        <f t="shared" si="1"/>
        <v>0</v>
      </c>
      <c r="Q99" s="338"/>
      <c r="R99" s="344"/>
      <c r="S99" s="344"/>
      <c r="T99" s="344"/>
      <c r="U99" s="475"/>
    </row>
    <row r="100" spans="2:21" x14ac:dyDescent="0.25">
      <c r="B100" s="346"/>
      <c r="C100" s="351" t="s">
        <v>67</v>
      </c>
      <c r="D100" s="352" t="str">
        <f>HLOOKUP(Deckblatt!$C$12,Language!$C$1:$D$730,111,FALSE)</f>
        <v>Benchmarkberechnung</v>
      </c>
      <c r="E100" s="353"/>
      <c r="F100" s="348"/>
      <c r="G100" s="113"/>
      <c r="H100" s="21">
        <v>80</v>
      </c>
      <c r="I100" s="350"/>
      <c r="J100" s="340"/>
      <c r="K100" s="341"/>
      <c r="L100" s="341"/>
      <c r="M100" s="341"/>
      <c r="N100" s="342"/>
      <c r="P100" s="18">
        <f t="shared" si="1"/>
        <v>0</v>
      </c>
      <c r="Q100" s="338"/>
      <c r="R100" s="344"/>
      <c r="S100" s="344"/>
      <c r="T100" s="344"/>
      <c r="U100" s="475"/>
    </row>
    <row r="101" spans="2:21" ht="26.4" x14ac:dyDescent="0.25">
      <c r="B101" s="346"/>
      <c r="C101" s="351"/>
      <c r="D101" s="71" t="s">
        <v>69</v>
      </c>
      <c r="E101" s="150" t="str">
        <f>HLOOKUP(Deckblatt!$C$12,Language!$C$1:$D$730,112,FALSE)</f>
        <v xml:space="preserve">Öffentliche Flächen und Erschließung
</v>
      </c>
      <c r="F101" s="348"/>
      <c r="G101" s="69"/>
      <c r="H101" s="18">
        <v>48</v>
      </c>
      <c r="I101" s="350"/>
      <c r="J101" s="340"/>
      <c r="K101" s="341"/>
      <c r="L101" s="341"/>
      <c r="M101" s="341"/>
      <c r="N101" s="342"/>
      <c r="P101" s="18">
        <f t="shared" si="1"/>
        <v>0</v>
      </c>
      <c r="Q101" s="338"/>
      <c r="R101" s="344"/>
      <c r="S101" s="344"/>
      <c r="T101" s="344"/>
      <c r="U101" s="475"/>
    </row>
    <row r="102" spans="2:21" ht="26.4" x14ac:dyDescent="0.25">
      <c r="B102" s="346"/>
      <c r="C102" s="351"/>
      <c r="D102" s="71" t="s">
        <v>78</v>
      </c>
      <c r="E102" s="150" t="str">
        <f>HLOOKUP(Deckblatt!$C$12,Language!$C$1:$D$730,113,FALSE)</f>
        <v xml:space="preserve">Gebäude und private Freiflächen
</v>
      </c>
      <c r="F102" s="348"/>
      <c r="G102" s="69"/>
      <c r="H102" s="18">
        <v>32</v>
      </c>
      <c r="I102" s="350"/>
      <c r="J102" s="340"/>
      <c r="K102" s="341"/>
      <c r="L102" s="341"/>
      <c r="M102" s="341"/>
      <c r="N102" s="342"/>
      <c r="P102" s="18">
        <f t="shared" si="1"/>
        <v>0</v>
      </c>
      <c r="Q102" s="338"/>
      <c r="R102" s="344"/>
      <c r="S102" s="344"/>
      <c r="T102" s="344"/>
      <c r="U102" s="475"/>
    </row>
    <row r="103" spans="2:21" x14ac:dyDescent="0.25">
      <c r="B103" s="55" t="s">
        <v>178</v>
      </c>
      <c r="C103" s="354" t="str">
        <f>HLOOKUP(Deckblatt!$C$12,Language!$C$1:$D$730,114,FALSE)</f>
        <v>Resilienz und Wandlungsfähigkeit</v>
      </c>
      <c r="D103" s="354"/>
      <c r="E103" s="355"/>
      <c r="F103" s="56">
        <f>Q103</f>
        <v>0</v>
      </c>
      <c r="G103" s="364"/>
      <c r="H103" s="21">
        <v>110</v>
      </c>
      <c r="I103" s="176">
        <v>3</v>
      </c>
      <c r="J103" s="340"/>
      <c r="K103" s="341"/>
      <c r="L103" s="341"/>
      <c r="M103" s="341"/>
      <c r="N103" s="342"/>
      <c r="P103" s="18">
        <f t="shared" si="1"/>
        <v>0</v>
      </c>
      <c r="Q103" s="337">
        <f>SUM(P106:P109,P111:P112,P114:P117,P119,P122:P125)</f>
        <v>0</v>
      </c>
      <c r="R103" s="343">
        <f>Q103/100</f>
        <v>0</v>
      </c>
      <c r="S103" s="344"/>
      <c r="T103" s="344"/>
      <c r="U103" s="475"/>
    </row>
    <row r="104" spans="2:21" x14ac:dyDescent="0.25">
      <c r="B104" s="345"/>
      <c r="C104" s="351" t="s">
        <v>54</v>
      </c>
      <c r="D104" s="352" t="str">
        <f>HLOOKUP(Deckblatt!$C$12,Language!$C$1:$D$730,115,FALSE)</f>
        <v>Klima</v>
      </c>
      <c r="E104" s="353"/>
      <c r="F104" s="347"/>
      <c r="G104" s="364"/>
      <c r="H104" s="21">
        <v>25</v>
      </c>
      <c r="I104" s="349"/>
      <c r="J104" s="340"/>
      <c r="K104" s="341"/>
      <c r="L104" s="341"/>
      <c r="M104" s="341"/>
      <c r="N104" s="342"/>
      <c r="P104" s="18">
        <f t="shared" si="1"/>
        <v>0</v>
      </c>
      <c r="Q104" s="338"/>
      <c r="R104" s="344"/>
      <c r="S104" s="344"/>
      <c r="T104" s="344"/>
      <c r="U104" s="475"/>
    </row>
    <row r="105" spans="2:21" x14ac:dyDescent="0.25">
      <c r="B105" s="346"/>
      <c r="C105" s="351"/>
      <c r="D105" s="361" t="s">
        <v>58</v>
      </c>
      <c r="E105" s="150" t="str">
        <f>HLOOKUP(Deckblatt!$C$12,Language!$C$1:$D$730,116,FALSE)</f>
        <v>Klima</v>
      </c>
      <c r="F105" s="348"/>
      <c r="G105" s="364"/>
      <c r="H105" s="21">
        <v>19.5</v>
      </c>
      <c r="I105" s="350"/>
      <c r="J105" s="340"/>
      <c r="K105" s="341"/>
      <c r="L105" s="341"/>
      <c r="M105" s="341"/>
      <c r="N105" s="342"/>
      <c r="P105" s="18">
        <f t="shared" si="1"/>
        <v>0</v>
      </c>
      <c r="Q105" s="338"/>
      <c r="R105" s="344"/>
      <c r="S105" s="344"/>
      <c r="T105" s="344"/>
      <c r="U105" s="475"/>
    </row>
    <row r="106" spans="2:21" ht="26.4" x14ac:dyDescent="0.25">
      <c r="B106" s="346"/>
      <c r="C106" s="351"/>
      <c r="D106" s="361"/>
      <c r="E106" s="134" t="str">
        <f>HLOOKUP(Deckblatt!$C$12,Language!$C$1:$D$730,117,FALSE)</f>
        <v xml:space="preserve">Stadtklima (PUNKTE aus ENV1.5/100) * 6,5
</v>
      </c>
      <c r="F106" s="348"/>
      <c r="G106" s="69"/>
      <c r="H106" s="18">
        <v>6.5</v>
      </c>
      <c r="I106" s="350"/>
      <c r="J106" s="340"/>
      <c r="K106" s="341"/>
      <c r="L106" s="341"/>
      <c r="M106" s="341"/>
      <c r="N106" s="342"/>
      <c r="P106" s="18">
        <f t="shared" si="1"/>
        <v>0</v>
      </c>
      <c r="Q106" s="338"/>
      <c r="R106" s="344"/>
      <c r="S106" s="344"/>
      <c r="T106" s="344"/>
      <c r="U106" s="475"/>
    </row>
    <row r="107" spans="2:21" ht="26.4" x14ac:dyDescent="0.25">
      <c r="B107" s="346"/>
      <c r="C107" s="351"/>
      <c r="D107" s="361"/>
      <c r="E107" s="134" t="str">
        <f>HLOOKUP(Deckblatt!$C$12,Language!$C$1:$D$730,118,FALSE)</f>
        <v xml:space="preserve">Wasserkreislaufsysteme (PUNKTE aus ENV2.2/100) * 6,5
</v>
      </c>
      <c r="F107" s="348"/>
      <c r="G107" s="69"/>
      <c r="H107" s="18">
        <v>6.5</v>
      </c>
      <c r="I107" s="350"/>
      <c r="J107" s="340"/>
      <c r="K107" s="341"/>
      <c r="L107" s="341"/>
      <c r="M107" s="341"/>
      <c r="N107" s="342"/>
      <c r="P107" s="18">
        <f t="shared" si="1"/>
        <v>0</v>
      </c>
      <c r="Q107" s="338"/>
      <c r="R107" s="344"/>
      <c r="S107" s="344"/>
      <c r="T107" s="344"/>
      <c r="U107" s="475"/>
    </row>
    <row r="108" spans="2:21" ht="26.4" x14ac:dyDescent="0.25">
      <c r="B108" s="346"/>
      <c r="C108" s="351"/>
      <c r="D108" s="361"/>
      <c r="E108" s="134" t="str">
        <f>HLOOKUP(Deckblatt!$C$12,Language!$C$1:$D$730,119,FALSE)</f>
        <v xml:space="preserve">Umweltrisiken (PUNKTE aus ECO2.5/100) * 6,5
</v>
      </c>
      <c r="F108" s="348"/>
      <c r="G108" s="69"/>
      <c r="H108" s="18">
        <v>6.5</v>
      </c>
      <c r="I108" s="350"/>
      <c r="J108" s="340"/>
      <c r="K108" s="341"/>
      <c r="L108" s="341"/>
      <c r="M108" s="341"/>
      <c r="N108" s="342"/>
      <c r="P108" s="18">
        <f t="shared" si="1"/>
        <v>0</v>
      </c>
      <c r="Q108" s="338"/>
      <c r="R108" s="344"/>
      <c r="S108" s="344"/>
      <c r="T108" s="344"/>
      <c r="U108" s="475"/>
    </row>
    <row r="109" spans="2:21" ht="39.6" x14ac:dyDescent="0.25">
      <c r="B109" s="346"/>
      <c r="C109" s="351"/>
      <c r="D109" s="71" t="s">
        <v>181</v>
      </c>
      <c r="E109" s="150" t="str">
        <f>HLOOKUP(Deckblatt!$C$12,Language!$C$1:$D$730,120,FALSE)</f>
        <v xml:space="preserve">Klimaanpassungsplan
Die Kommune hat einen Klimaanpassungsplan
</v>
      </c>
      <c r="F109" s="348"/>
      <c r="G109" s="69"/>
      <c r="H109" s="18">
        <v>5.5</v>
      </c>
      <c r="I109" s="350"/>
      <c r="J109" s="340"/>
      <c r="K109" s="341"/>
      <c r="L109" s="341"/>
      <c r="M109" s="341"/>
      <c r="N109" s="342"/>
      <c r="P109" s="18">
        <f t="shared" si="1"/>
        <v>0</v>
      </c>
      <c r="Q109" s="338"/>
      <c r="R109" s="344"/>
      <c r="S109" s="344"/>
      <c r="T109" s="344"/>
      <c r="U109" s="475"/>
    </row>
    <row r="110" spans="2:21" x14ac:dyDescent="0.25">
      <c r="B110" s="346"/>
      <c r="C110" s="351" t="s">
        <v>61</v>
      </c>
      <c r="D110" s="352" t="str">
        <f>HLOOKUP(Deckblatt!$C$12,Language!$C$1:$D$730,121,FALSE)</f>
        <v>Anpassungsfähigkeit</v>
      </c>
      <c r="E110" s="353"/>
      <c r="F110" s="348"/>
      <c r="G110" s="113"/>
      <c r="H110" s="21">
        <v>20</v>
      </c>
      <c r="I110" s="350"/>
      <c r="J110" s="340"/>
      <c r="K110" s="341"/>
      <c r="L110" s="341"/>
      <c r="M110" s="341"/>
      <c r="N110" s="342"/>
      <c r="P110" s="18">
        <f t="shared" si="1"/>
        <v>0</v>
      </c>
      <c r="Q110" s="338"/>
      <c r="R110" s="344"/>
      <c r="S110" s="344"/>
      <c r="T110" s="344"/>
      <c r="U110" s="475"/>
    </row>
    <row r="111" spans="2:21" ht="52.8" x14ac:dyDescent="0.25">
      <c r="B111" s="346"/>
      <c r="C111" s="351"/>
      <c r="D111" s="71" t="s">
        <v>63</v>
      </c>
      <c r="E111" s="150" t="str">
        <f>HLOOKUP(Deckblatt!$C$12,Language!$C$1:$D$730,122,FALSE)</f>
        <v xml:space="preserve">Trendforschung
Bei der Planung wurde ein Trendbarometer für die Region/Stadt berücksichtigt. 
</v>
      </c>
      <c r="F111" s="348"/>
      <c r="G111" s="69"/>
      <c r="H111" s="18">
        <v>10</v>
      </c>
      <c r="I111" s="350"/>
      <c r="J111" s="340"/>
      <c r="K111" s="341"/>
      <c r="L111" s="341"/>
      <c r="M111" s="341"/>
      <c r="N111" s="342"/>
      <c r="P111" s="18">
        <f t="shared" si="1"/>
        <v>0</v>
      </c>
      <c r="Q111" s="338"/>
      <c r="R111" s="344"/>
      <c r="S111" s="344"/>
      <c r="T111" s="344"/>
      <c r="U111" s="475"/>
    </row>
    <row r="112" spans="2:21" ht="52.8" x14ac:dyDescent="0.25">
      <c r="B112" s="346"/>
      <c r="C112" s="351"/>
      <c r="D112" s="71" t="s">
        <v>186</v>
      </c>
      <c r="E112" s="150" t="str">
        <f>HLOOKUP(Deckblatt!$C$12,Language!$C$1:$D$730,123,FALSE)</f>
        <v xml:space="preserve">Innovationsmanagement
Bei der Planung des Quartiers wurde darauf geachtet, dass zukünftige technische und soziale Innovationen intergiert werden können. 
</v>
      </c>
      <c r="F112" s="348"/>
      <c r="G112" s="69"/>
      <c r="H112" s="18">
        <v>10</v>
      </c>
      <c r="I112" s="350"/>
      <c r="J112" s="340"/>
      <c r="K112" s="341"/>
      <c r="L112" s="341"/>
      <c r="M112" s="341"/>
      <c r="N112" s="342"/>
      <c r="P112" s="18">
        <f t="shared" si="1"/>
        <v>0</v>
      </c>
      <c r="Q112" s="338"/>
      <c r="R112" s="344"/>
      <c r="S112" s="344"/>
      <c r="T112" s="344"/>
      <c r="U112" s="475"/>
    </row>
    <row r="113" spans="2:21" x14ac:dyDescent="0.25">
      <c r="B113" s="346"/>
      <c r="C113" s="351" t="s">
        <v>64</v>
      </c>
      <c r="D113" s="352" t="str">
        <f>HLOOKUP(Deckblatt!$C$12,Language!$C$1:$D$730,124,FALSE)</f>
        <v>Versorgung und Erschließung</v>
      </c>
      <c r="E113" s="353"/>
      <c r="F113" s="348"/>
      <c r="G113" s="113"/>
      <c r="H113" s="21">
        <v>47</v>
      </c>
      <c r="I113" s="350"/>
      <c r="J113" s="340"/>
      <c r="K113" s="341"/>
      <c r="L113" s="341"/>
      <c r="M113" s="341"/>
      <c r="N113" s="342"/>
      <c r="P113" s="18">
        <f t="shared" si="1"/>
        <v>0</v>
      </c>
      <c r="Q113" s="338"/>
      <c r="R113" s="344"/>
      <c r="S113" s="344"/>
      <c r="T113" s="344"/>
      <c r="U113" s="475"/>
    </row>
    <row r="114" spans="2:21" ht="26.4" x14ac:dyDescent="0.25">
      <c r="B114" s="346"/>
      <c r="C114" s="351"/>
      <c r="D114" s="71" t="s">
        <v>66</v>
      </c>
      <c r="E114" s="150" t="str">
        <f>HLOOKUP(Deckblatt!$C$12,Language!$C$1:$D$730,125,FALSE)</f>
        <v xml:space="preserve">Versorgungssicherheit Trinkwasser
</v>
      </c>
      <c r="F114" s="348"/>
      <c r="G114" s="69"/>
      <c r="H114" s="18">
        <v>10</v>
      </c>
      <c r="I114" s="350"/>
      <c r="J114" s="340"/>
      <c r="K114" s="341"/>
      <c r="L114" s="341"/>
      <c r="M114" s="341"/>
      <c r="N114" s="342"/>
      <c r="P114" s="18">
        <f t="shared" si="1"/>
        <v>0</v>
      </c>
      <c r="Q114" s="338"/>
      <c r="R114" s="344"/>
      <c r="S114" s="344"/>
      <c r="T114" s="344"/>
      <c r="U114" s="475"/>
    </row>
    <row r="115" spans="2:21" ht="26.4" x14ac:dyDescent="0.25">
      <c r="B115" s="346"/>
      <c r="C115" s="351"/>
      <c r="D115" s="71" t="s">
        <v>188</v>
      </c>
      <c r="E115" s="150" t="str">
        <f>HLOOKUP(Deckblatt!$C$12,Language!$C$1:$D$730,126,FALSE)</f>
        <v xml:space="preserve">Versorgungssicherheit Abwasser
</v>
      </c>
      <c r="F115" s="348"/>
      <c r="G115" s="69"/>
      <c r="H115" s="18">
        <v>5</v>
      </c>
      <c r="I115" s="350"/>
      <c r="J115" s="340"/>
      <c r="K115" s="341"/>
      <c r="L115" s="341"/>
      <c r="M115" s="341"/>
      <c r="N115" s="342"/>
      <c r="P115" s="18">
        <f t="shared" si="1"/>
        <v>0</v>
      </c>
      <c r="Q115" s="338"/>
      <c r="R115" s="344"/>
      <c r="S115" s="344"/>
      <c r="T115" s="344"/>
      <c r="U115" s="475"/>
    </row>
    <row r="116" spans="2:21" ht="105.6" x14ac:dyDescent="0.25">
      <c r="B116" s="346"/>
      <c r="C116" s="351"/>
      <c r="D116" s="71" t="s">
        <v>150</v>
      </c>
      <c r="E116"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6" s="348"/>
      <c r="G116" s="69"/>
      <c r="H116" s="18">
        <v>15</v>
      </c>
      <c r="I116" s="350"/>
      <c r="J116" s="340"/>
      <c r="K116" s="341"/>
      <c r="L116" s="341"/>
      <c r="M116" s="341"/>
      <c r="N116" s="342"/>
      <c r="P116" s="18">
        <f t="shared" si="1"/>
        <v>0</v>
      </c>
      <c r="Q116" s="338"/>
      <c r="R116" s="344"/>
      <c r="S116" s="344"/>
      <c r="T116" s="344"/>
      <c r="U116" s="475"/>
    </row>
    <row r="117" spans="2:21" ht="39.6" x14ac:dyDescent="0.25">
      <c r="B117" s="346"/>
      <c r="C117" s="351"/>
      <c r="D117" s="71" t="s">
        <v>189</v>
      </c>
      <c r="E117" s="134" t="str">
        <f>HLOOKUP(Deckblatt!$C$12,Language!$C$1:$D$730,132,FALSE)</f>
        <v xml:space="preserve">Flexibilität und Ausbaureserven der  technischen Quartiersinfrastruktur / Gebäude
</v>
      </c>
      <c r="F117" s="348"/>
      <c r="G117" s="69"/>
      <c r="H117" s="18">
        <v>12</v>
      </c>
      <c r="I117" s="350"/>
      <c r="J117" s="340"/>
      <c r="K117" s="341"/>
      <c r="L117" s="341"/>
      <c r="M117" s="341"/>
      <c r="N117" s="342"/>
      <c r="P117" s="18">
        <f t="shared" si="1"/>
        <v>0</v>
      </c>
      <c r="Q117" s="338"/>
      <c r="R117" s="344"/>
      <c r="S117" s="344"/>
      <c r="T117" s="344"/>
      <c r="U117" s="475"/>
    </row>
    <row r="118" spans="2:21" x14ac:dyDescent="0.25">
      <c r="B118" s="346"/>
      <c r="C118" s="351"/>
      <c r="D118" s="361" t="s">
        <v>190</v>
      </c>
      <c r="E118" s="150" t="str">
        <f>HLOOKUP(Deckblatt!$C$12,Language!$C$1:$D$730,133,FALSE)</f>
        <v>Redundanz und Resilienz der Verkehrssysteme</v>
      </c>
      <c r="F118" s="348"/>
      <c r="G118" s="113"/>
      <c r="H118" s="21">
        <v>5</v>
      </c>
      <c r="I118" s="350"/>
      <c r="J118" s="340"/>
      <c r="K118" s="341"/>
      <c r="L118" s="341"/>
      <c r="M118" s="341"/>
      <c r="N118" s="342"/>
      <c r="P118" s="18">
        <f t="shared" si="1"/>
        <v>0</v>
      </c>
      <c r="Q118" s="338"/>
      <c r="R118" s="344"/>
      <c r="S118" s="344"/>
      <c r="T118" s="344"/>
      <c r="U118" s="475"/>
    </row>
    <row r="119" spans="2:21" ht="66" x14ac:dyDescent="0.25">
      <c r="B119" s="346"/>
      <c r="C119" s="351"/>
      <c r="D119" s="361"/>
      <c r="E119"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9" s="348"/>
      <c r="G119" s="69"/>
      <c r="H119" s="18">
        <v>5</v>
      </c>
      <c r="I119" s="350"/>
      <c r="J119" s="340"/>
      <c r="K119" s="341"/>
      <c r="L119" s="341"/>
      <c r="M119" s="341"/>
      <c r="N119" s="342"/>
      <c r="P119" s="18">
        <f t="shared" si="1"/>
        <v>0</v>
      </c>
      <c r="Q119" s="338"/>
      <c r="R119" s="344"/>
      <c r="S119" s="344"/>
      <c r="T119" s="344"/>
      <c r="U119" s="475"/>
    </row>
    <row r="120" spans="2:21" x14ac:dyDescent="0.25">
      <c r="B120" s="346"/>
      <c r="C120" s="359" t="s">
        <v>67</v>
      </c>
      <c r="D120" s="352" t="str">
        <f>HLOOKUP(Deckblatt!$C$12,Language!$C$1:$D$730,135,FALSE)</f>
        <v>Städtebau und Architektur</v>
      </c>
      <c r="E120" s="353"/>
      <c r="F120" s="348"/>
      <c r="G120" s="356"/>
      <c r="H120" s="21">
        <v>8</v>
      </c>
      <c r="I120" s="350"/>
      <c r="J120" s="340"/>
      <c r="K120" s="341"/>
      <c r="L120" s="341"/>
      <c r="M120" s="341"/>
      <c r="N120" s="342"/>
      <c r="P120" s="18">
        <f t="shared" si="1"/>
        <v>0</v>
      </c>
      <c r="Q120" s="338"/>
      <c r="R120" s="344"/>
      <c r="S120" s="344"/>
      <c r="T120" s="344"/>
      <c r="U120" s="475"/>
    </row>
    <row r="121" spans="2:21" x14ac:dyDescent="0.25">
      <c r="B121" s="346"/>
      <c r="C121" s="390"/>
      <c r="D121" s="361" t="s">
        <v>69</v>
      </c>
      <c r="E121" s="150" t="str">
        <f>HLOOKUP(Deckblatt!$C$12,Language!$C$1:$D$730,136,FALSE)</f>
        <v>Städtebau</v>
      </c>
      <c r="F121" s="348"/>
      <c r="G121" s="356"/>
      <c r="H121" s="21">
        <v>8</v>
      </c>
      <c r="I121" s="350"/>
      <c r="J121" s="340"/>
      <c r="K121" s="341"/>
      <c r="L121" s="341"/>
      <c r="M121" s="341"/>
      <c r="N121" s="342"/>
      <c r="P121" s="18">
        <f t="shared" si="1"/>
        <v>0</v>
      </c>
      <c r="Q121" s="338"/>
      <c r="R121" s="344"/>
      <c r="S121" s="344"/>
      <c r="T121" s="344"/>
      <c r="U121" s="475"/>
    </row>
    <row r="122" spans="2:21" ht="66" x14ac:dyDescent="0.25">
      <c r="B122" s="346"/>
      <c r="C122" s="390"/>
      <c r="D122" s="361"/>
      <c r="E122"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22" s="348"/>
      <c r="G122" s="69"/>
      <c r="H122" s="18">
        <v>4</v>
      </c>
      <c r="I122" s="350"/>
      <c r="J122" s="340"/>
      <c r="K122" s="341"/>
      <c r="L122" s="341"/>
      <c r="M122" s="341"/>
      <c r="N122" s="342"/>
      <c r="P122" s="18">
        <f t="shared" si="1"/>
        <v>0</v>
      </c>
      <c r="Q122" s="338"/>
      <c r="R122" s="344"/>
      <c r="S122" s="344"/>
      <c r="T122" s="344"/>
      <c r="U122" s="475"/>
    </row>
    <row r="123" spans="2:21" ht="52.8" x14ac:dyDescent="0.25">
      <c r="B123" s="346"/>
      <c r="C123" s="390"/>
      <c r="D123" s="361"/>
      <c r="E123" s="134" t="str">
        <f>HLOOKUP(Deckblatt!$C$12,Language!$C$1:$D$730,138,FALSE)</f>
        <v xml:space="preserve">Die Planungen und Festsetzungen lassen unterschiedliche Bauweisen, Gebäudetypologien und/oder Trauf- und Geschosshöhen auf den Baufeldern zu.
</v>
      </c>
      <c r="F123" s="348"/>
      <c r="G123" s="69"/>
      <c r="H123" s="18">
        <v>2</v>
      </c>
      <c r="I123" s="350"/>
      <c r="J123" s="340"/>
      <c r="K123" s="341"/>
      <c r="L123" s="341"/>
      <c r="M123" s="341"/>
      <c r="N123" s="342"/>
      <c r="P123" s="18">
        <f t="shared" si="1"/>
        <v>0</v>
      </c>
      <c r="Q123" s="338"/>
      <c r="R123" s="344"/>
      <c r="S123" s="344"/>
      <c r="T123" s="344"/>
      <c r="U123" s="475"/>
    </row>
    <row r="124" spans="2:21" ht="39.6" x14ac:dyDescent="0.25">
      <c r="B124" s="346"/>
      <c r="C124" s="390"/>
      <c r="D124" s="361"/>
      <c r="E124" s="134" t="str">
        <f>HLOOKUP(Deckblatt!$C$12,Language!$C$1:$D$730,139,FALSE)</f>
        <v xml:space="preserve">Die Gestaltung des öffentlichen Raums lässt zukünftige Anpassungen der Straßenbreite zu.
</v>
      </c>
      <c r="F124" s="348"/>
      <c r="G124" s="69"/>
      <c r="H124" s="18">
        <v>2</v>
      </c>
      <c r="I124" s="350"/>
      <c r="J124" s="340"/>
      <c r="K124" s="341"/>
      <c r="L124" s="341"/>
      <c r="M124" s="341"/>
      <c r="N124" s="342"/>
      <c r="P124" s="18">
        <f t="shared" si="1"/>
        <v>0</v>
      </c>
      <c r="Q124" s="338"/>
      <c r="R124" s="344"/>
      <c r="S124" s="344"/>
      <c r="T124" s="344"/>
      <c r="U124" s="475"/>
    </row>
    <row r="125" spans="2:21" ht="105.6" x14ac:dyDescent="0.25">
      <c r="B125" s="370"/>
      <c r="C125" s="360"/>
      <c r="D125" s="71" t="s">
        <v>78</v>
      </c>
      <c r="E125" s="68" t="str">
        <f>HLOOKUP(Deckblatt!$C$12,Language!$C$1:$D$730,140,FALSE)</f>
        <v xml:space="preserve">CIRCULAR ECONOMY BONUS – RÜCKBAUFREUNDLICHE BAUKONSTRUKTION
Es gibt quartiersübergreifende Rückbaukonzepte für Gebäude und / oder Infrastruktur
Gebäude: 5 Punkte
Infrastruktur: 5 Punkte
</v>
      </c>
      <c r="F125" s="371"/>
      <c r="G125" s="69"/>
      <c r="H125" s="18">
        <v>10</v>
      </c>
      <c r="I125" s="366"/>
      <c r="J125" s="340"/>
      <c r="K125" s="341"/>
      <c r="L125" s="341"/>
      <c r="M125" s="341"/>
      <c r="N125" s="342"/>
      <c r="P125" s="18">
        <f t="shared" si="1"/>
        <v>0</v>
      </c>
      <c r="Q125" s="339"/>
      <c r="R125" s="365"/>
      <c r="S125" s="344"/>
      <c r="T125" s="344"/>
      <c r="U125" s="475"/>
    </row>
    <row r="126" spans="2:21" x14ac:dyDescent="0.25">
      <c r="B126" s="55" t="s">
        <v>201</v>
      </c>
      <c r="C126" s="354" t="str">
        <f>HLOOKUP(Deckblatt!$C$12,Language!$C$1:$D$730,141,FALSE)</f>
        <v>Flächeneffizienz</v>
      </c>
      <c r="D126" s="354"/>
      <c r="E126" s="355"/>
      <c r="F126" s="56">
        <f>Q126</f>
        <v>0</v>
      </c>
      <c r="G126" s="126"/>
      <c r="H126" s="21">
        <v>100</v>
      </c>
      <c r="I126" s="176">
        <v>3</v>
      </c>
      <c r="J126" s="340"/>
      <c r="K126" s="341"/>
      <c r="L126" s="341"/>
      <c r="M126" s="341"/>
      <c r="N126" s="342"/>
      <c r="P126" s="18">
        <f t="shared" si="1"/>
        <v>0</v>
      </c>
      <c r="Q126" s="337">
        <f>P128</f>
        <v>0</v>
      </c>
      <c r="R126" s="343">
        <f>Q126/100</f>
        <v>0</v>
      </c>
      <c r="S126" s="344"/>
      <c r="T126" s="344"/>
      <c r="U126" s="475"/>
    </row>
    <row r="127" spans="2:21" x14ac:dyDescent="0.25">
      <c r="B127" s="375"/>
      <c r="C127" s="351" t="s">
        <v>61</v>
      </c>
      <c r="D127" s="352" t="str">
        <f>HLOOKUP(Deckblatt!$C$12,Language!$C$1:$D$730,145,FALSE)</f>
        <v>Baudichte</v>
      </c>
      <c r="E127" s="353"/>
      <c r="F127" s="363"/>
      <c r="G127" s="113"/>
      <c r="H127" s="21">
        <v>100</v>
      </c>
      <c r="I127" s="379"/>
      <c r="J127" s="340"/>
      <c r="K127" s="341"/>
      <c r="L127" s="341"/>
      <c r="M127" s="341"/>
      <c r="N127" s="342"/>
      <c r="P127" s="18">
        <f t="shared" si="1"/>
        <v>0</v>
      </c>
      <c r="Q127" s="338"/>
      <c r="R127" s="344"/>
      <c r="S127" s="344"/>
      <c r="T127" s="344"/>
      <c r="U127" s="475"/>
    </row>
    <row r="128" spans="2:21" ht="26.4" x14ac:dyDescent="0.25">
      <c r="B128" s="375"/>
      <c r="C128" s="351"/>
      <c r="D128" s="71" t="s">
        <v>63</v>
      </c>
      <c r="E128" s="150" t="str">
        <f>HLOOKUP(Deckblatt!$C$12,Language!$C$1:$D$730,146,FALSE)</f>
        <v xml:space="preserve">Geschossflächenanzahl (GFZ)
</v>
      </c>
      <c r="F128" s="363"/>
      <c r="G128" s="69"/>
      <c r="H128" s="18">
        <v>100</v>
      </c>
      <c r="I128" s="379"/>
      <c r="J128" s="340"/>
      <c r="K128" s="341"/>
      <c r="L128" s="341"/>
      <c r="M128" s="341"/>
      <c r="N128" s="342"/>
      <c r="P128" s="18">
        <f t="shared" si="1"/>
        <v>0</v>
      </c>
      <c r="Q128" s="339"/>
      <c r="R128" s="365"/>
      <c r="S128" s="344"/>
      <c r="T128" s="344"/>
      <c r="U128" s="475"/>
    </row>
    <row r="129" spans="2:21" x14ac:dyDescent="0.25">
      <c r="B129" s="152" t="s">
        <v>789</v>
      </c>
      <c r="C129" s="354" t="str">
        <f>HLOOKUP(Deckblatt!$C$12,Language!$C$1:$D$730,170,FALSE)</f>
        <v>Umweltrisiken</v>
      </c>
      <c r="D129" s="354"/>
      <c r="E129" s="355"/>
      <c r="F129" s="153">
        <f>Q129</f>
        <v>0</v>
      </c>
      <c r="G129" s="151"/>
      <c r="H129" s="65">
        <v>110</v>
      </c>
      <c r="I129" s="179">
        <v>2</v>
      </c>
      <c r="J129" s="340"/>
      <c r="K129" s="341"/>
      <c r="L129" s="341"/>
      <c r="M129" s="341"/>
      <c r="N129" s="342"/>
      <c r="P129" s="18">
        <f t="shared" si="1"/>
        <v>0</v>
      </c>
      <c r="Q129" s="337">
        <f>SUM(P130:P134)</f>
        <v>0</v>
      </c>
      <c r="R129" s="343">
        <f>Q129/100</f>
        <v>0</v>
      </c>
      <c r="S129" s="344"/>
      <c r="T129" s="344"/>
      <c r="U129" s="475"/>
    </row>
    <row r="130" spans="2:21" x14ac:dyDescent="0.25">
      <c r="B130" s="345"/>
      <c r="C130" s="143" t="s">
        <v>54</v>
      </c>
      <c r="D130" s="220" t="str">
        <f>IF(Deckblatt!$C$12=Language!$C$1,"Risiko 1",IF(Deckblatt!$C$12=Language!$D$1,"Risk 1"))</f>
        <v>Risiko 1</v>
      </c>
      <c r="E130" s="158"/>
      <c r="F130" s="347"/>
      <c r="G130" s="69"/>
      <c r="H130" s="21">
        <v>30</v>
      </c>
      <c r="I130" s="123"/>
      <c r="J130" s="340"/>
      <c r="K130" s="341"/>
      <c r="L130" s="341"/>
      <c r="M130" s="341"/>
      <c r="N130" s="342"/>
      <c r="P130" s="18">
        <f>IF(G130&gt;H130,H130,G130)</f>
        <v>0</v>
      </c>
      <c r="Q130" s="338"/>
      <c r="R130" s="344"/>
      <c r="S130" s="344"/>
      <c r="T130" s="344"/>
      <c r="U130" s="475"/>
    </row>
    <row r="131" spans="2:21" x14ac:dyDescent="0.25">
      <c r="B131" s="346"/>
      <c r="C131" s="143" t="s">
        <v>61</v>
      </c>
      <c r="D131" s="220" t="str">
        <f>IF(Deckblatt!$C$12=Language!$C$1,"Risiko 2",IF(Deckblatt!$C$12=Language!$D$1,"Risk 2"))</f>
        <v>Risiko 2</v>
      </c>
      <c r="E131" s="158"/>
      <c r="F131" s="348"/>
      <c r="G131" s="69"/>
      <c r="H131" s="145">
        <v>30</v>
      </c>
      <c r="I131" s="123"/>
      <c r="J131" s="340"/>
      <c r="K131" s="341"/>
      <c r="L131" s="341"/>
      <c r="M131" s="341"/>
      <c r="N131" s="342"/>
      <c r="P131" s="18">
        <f>IF(G131&gt;H131,H131,G131)</f>
        <v>0</v>
      </c>
      <c r="Q131" s="338"/>
      <c r="R131" s="344"/>
      <c r="S131" s="344"/>
      <c r="T131" s="344"/>
      <c r="U131" s="475"/>
    </row>
    <row r="132" spans="2:21" x14ac:dyDescent="0.25">
      <c r="B132" s="346"/>
      <c r="C132" s="143" t="s">
        <v>64</v>
      </c>
      <c r="D132" s="220" t="str">
        <f>IF(Deckblatt!$C$12=Language!$C$1,"Risiko 3",IF(Deckblatt!$C$12=Language!$D$1,"Risk 3"))</f>
        <v>Risiko 3</v>
      </c>
      <c r="E132" s="158"/>
      <c r="F132" s="348"/>
      <c r="G132" s="69"/>
      <c r="H132" s="21">
        <v>30</v>
      </c>
      <c r="I132" s="123"/>
      <c r="J132" s="340"/>
      <c r="K132" s="341"/>
      <c r="L132" s="341"/>
      <c r="M132" s="341"/>
      <c r="N132" s="342"/>
      <c r="P132" s="18">
        <f t="shared" si="1"/>
        <v>0</v>
      </c>
      <c r="Q132" s="338"/>
      <c r="R132" s="344"/>
      <c r="S132" s="344"/>
      <c r="T132" s="344"/>
      <c r="U132" s="475"/>
    </row>
    <row r="133" spans="2:21" x14ac:dyDescent="0.25">
      <c r="B133" s="346"/>
      <c r="C133" s="125" t="s">
        <v>107</v>
      </c>
      <c r="D133" s="155" t="s">
        <v>108</v>
      </c>
      <c r="E133" s="256"/>
      <c r="F133" s="348"/>
      <c r="G133" s="69"/>
      <c r="H133" s="65">
        <v>10</v>
      </c>
      <c r="I133" s="251"/>
      <c r="J133" s="340"/>
      <c r="K133" s="341"/>
      <c r="L133" s="341"/>
      <c r="M133" s="341"/>
      <c r="N133" s="342"/>
      <c r="P133" s="18">
        <f t="shared" si="1"/>
        <v>0</v>
      </c>
      <c r="Q133" s="338"/>
      <c r="R133" s="344"/>
      <c r="S133" s="344"/>
      <c r="T133" s="344"/>
      <c r="U133" s="475"/>
    </row>
    <row r="134" spans="2:21" ht="88.2" customHeight="1" thickBot="1" x14ac:dyDescent="0.3">
      <c r="B134" s="525"/>
      <c r="C134" s="252" t="s">
        <v>1814</v>
      </c>
      <c r="D134" s="472"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34" s="473"/>
      <c r="F134" s="524"/>
      <c r="G134" s="254"/>
      <c r="H134" s="255">
        <v>10</v>
      </c>
      <c r="I134" s="123"/>
      <c r="J134" s="340"/>
      <c r="K134" s="341"/>
      <c r="L134" s="341"/>
      <c r="M134" s="341"/>
      <c r="N134" s="342"/>
      <c r="P134" s="18">
        <f t="shared" si="1"/>
        <v>0</v>
      </c>
      <c r="Q134" s="339"/>
      <c r="R134" s="365"/>
      <c r="S134" s="365"/>
      <c r="T134" s="365"/>
      <c r="U134" s="475"/>
    </row>
    <row r="135" spans="2:21" x14ac:dyDescent="0.25">
      <c r="B135" s="61" t="s">
        <v>628</v>
      </c>
      <c r="C135" s="354" t="str">
        <f>HLOOKUP(Deckblatt!$C$12,Language!$C$1:$D$730,183,FALSE)</f>
        <v>Mikroklima – Thermischer Komfort im Freiraum</v>
      </c>
      <c r="D135" s="354"/>
      <c r="E135" s="355"/>
      <c r="F135" s="62">
        <f>Q135</f>
        <v>0</v>
      </c>
      <c r="G135" s="521"/>
      <c r="H135" s="51">
        <v>100</v>
      </c>
      <c r="I135" s="186">
        <v>3</v>
      </c>
      <c r="J135" s="340"/>
      <c r="K135" s="341"/>
      <c r="L135" s="341"/>
      <c r="M135" s="341"/>
      <c r="N135" s="342"/>
      <c r="P135" s="18">
        <f t="shared" si="1"/>
        <v>0</v>
      </c>
      <c r="Q135" s="337">
        <f>SUM(P137:P141,P143,P145)</f>
        <v>0</v>
      </c>
      <c r="R135" s="343">
        <f>Q135/100</f>
        <v>0</v>
      </c>
      <c r="S135" s="343">
        <v>0.2</v>
      </c>
      <c r="T135" s="343">
        <f>IF((R135*I135+R146*I146+R168*I168+R190*I190+R241*I241+R264*I264+R275*I275)/(I135+I146+I168+I190+I241+I264+I275)&gt;1,1,(R135*I135+R146*I146+R168*I168+R190*I190+R241*I241+R264*I264+R275*I275)/(I135+I146+I168+I190+I241+I264+I275))</f>
        <v>0</v>
      </c>
      <c r="U135" s="475"/>
    </row>
    <row r="136" spans="2:21" x14ac:dyDescent="0.25">
      <c r="B136" s="345"/>
      <c r="C136" s="359" t="s">
        <v>54</v>
      </c>
      <c r="D136" s="352" t="str">
        <f>HLOOKUP(Deckblatt!$C$12,Language!$C$1:$D$730,184,FALSE)</f>
        <v>Basiskomfort</v>
      </c>
      <c r="E136" s="353"/>
      <c r="F136" s="345"/>
      <c r="G136" s="489"/>
      <c r="H136" s="21">
        <v>70</v>
      </c>
      <c r="I136" s="349"/>
      <c r="J136" s="340"/>
      <c r="K136" s="341"/>
      <c r="L136" s="341"/>
      <c r="M136" s="341"/>
      <c r="N136" s="342"/>
      <c r="P136" s="18">
        <f t="shared" si="1"/>
        <v>0</v>
      </c>
      <c r="Q136" s="338"/>
      <c r="R136" s="344"/>
      <c r="S136" s="344"/>
      <c r="T136" s="344"/>
      <c r="U136" s="475"/>
    </row>
    <row r="137" spans="2:21" ht="26.4" x14ac:dyDescent="0.25">
      <c r="B137" s="346"/>
      <c r="C137" s="390"/>
      <c r="D137" s="71" t="s">
        <v>58</v>
      </c>
      <c r="E137" s="150" t="str">
        <f>HLOOKUP(Deckblatt!$C$12,Language!$C$1:$D$730,185,FALSE)</f>
        <v xml:space="preserve">Analyse Mikroklima
</v>
      </c>
      <c r="F137" s="346"/>
      <c r="G137" s="69"/>
      <c r="H137" s="18">
        <v>10</v>
      </c>
      <c r="I137" s="350"/>
      <c r="J137" s="340"/>
      <c r="K137" s="341"/>
      <c r="L137" s="341"/>
      <c r="M137" s="341"/>
      <c r="N137" s="342"/>
      <c r="P137" s="18">
        <f t="shared" si="1"/>
        <v>0</v>
      </c>
      <c r="Q137" s="338"/>
      <c r="R137" s="344"/>
      <c r="S137" s="344"/>
      <c r="T137" s="344"/>
      <c r="U137" s="475"/>
    </row>
    <row r="138" spans="2:21" ht="66" x14ac:dyDescent="0.25">
      <c r="B138" s="346"/>
      <c r="C138" s="390"/>
      <c r="D138" s="71" t="s">
        <v>181</v>
      </c>
      <c r="E138" s="134" t="str">
        <f>HLOOKUP(Deckblatt!$C$12,Language!$C$1:$D$730,186,FALSE)</f>
        <v xml:space="preserve">Sonneneinstrahlung am 21. Dezember in Stunden
- ≥ 1 h  (5 Punkte)
ODER
- ≥ 3 h  (10 Punkte)
</v>
      </c>
      <c r="F138" s="346"/>
      <c r="G138" s="69"/>
      <c r="H138" s="18">
        <v>10</v>
      </c>
      <c r="I138" s="350"/>
      <c r="J138" s="340"/>
      <c r="K138" s="341"/>
      <c r="L138" s="341"/>
      <c r="M138" s="341"/>
      <c r="N138" s="342"/>
      <c r="P138" s="18">
        <f t="shared" ref="P138:P202" si="2">IF(G138&gt;H138,H138,G138)</f>
        <v>0</v>
      </c>
      <c r="Q138" s="338"/>
      <c r="R138" s="344"/>
      <c r="S138" s="344"/>
      <c r="T138" s="344"/>
      <c r="U138" s="475"/>
    </row>
    <row r="139" spans="2:21" ht="69" customHeight="1" x14ac:dyDescent="0.25">
      <c r="B139" s="346"/>
      <c r="C139" s="390"/>
      <c r="D139" s="71" t="s">
        <v>246</v>
      </c>
      <c r="E139" s="134" t="str">
        <f>HLOOKUP(Deckblatt!$C$12,Language!$C$1:$D$730,187,FALSE)</f>
        <v xml:space="preserve">Verschattung der Untersuchungsbereiche in Prozent
≥ 10 % der Flächen haben einen sommerlichen Sonnenschutz  (5 Punkte)
ODER
≥ 30 % der Flächen haben einen sommerlichen Sonnenschutz  (10 Punkte)
</v>
      </c>
      <c r="F139" s="346"/>
      <c r="G139" s="69"/>
      <c r="H139" s="18">
        <v>10</v>
      </c>
      <c r="I139" s="350"/>
      <c r="J139" s="340"/>
      <c r="K139" s="341"/>
      <c r="L139" s="341"/>
      <c r="M139" s="341"/>
      <c r="N139" s="342"/>
      <c r="P139" s="18">
        <f t="shared" si="2"/>
        <v>0</v>
      </c>
      <c r="Q139" s="338"/>
      <c r="R139" s="344"/>
      <c r="S139" s="344"/>
      <c r="T139" s="344"/>
      <c r="U139" s="475"/>
    </row>
    <row r="140" spans="2:21" ht="69" customHeight="1" x14ac:dyDescent="0.25">
      <c r="B140" s="346"/>
      <c r="C140" s="390"/>
      <c r="D140" s="71" t="s">
        <v>250</v>
      </c>
      <c r="E140"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40" s="346"/>
      <c r="G140" s="69"/>
      <c r="H140" s="18">
        <v>10</v>
      </c>
      <c r="I140" s="350"/>
      <c r="J140" s="340"/>
      <c r="K140" s="341"/>
      <c r="L140" s="341"/>
      <c r="M140" s="341"/>
      <c r="N140" s="342"/>
      <c r="P140" s="18">
        <f t="shared" si="2"/>
        <v>0</v>
      </c>
      <c r="Q140" s="338"/>
      <c r="R140" s="344"/>
      <c r="S140" s="344"/>
      <c r="T140" s="344"/>
      <c r="U140" s="475"/>
    </row>
    <row r="141" spans="2:21" ht="39.6" x14ac:dyDescent="0.25">
      <c r="B141" s="346"/>
      <c r="C141" s="360"/>
      <c r="D141" s="71" t="s">
        <v>121</v>
      </c>
      <c r="E141" s="134" t="str">
        <f>HLOOKUP(Deckblatt!$C$12,Language!$C$1:$D$730,189,FALSE)</f>
        <v xml:space="preserve">Maßnahmen Verbesserung Mikroklima
Zwischen 33 und 100% der notwendigen Maßnahmen werden umgesetzt
</v>
      </c>
      <c r="F141" s="346"/>
      <c r="G141" s="69"/>
      <c r="H141" s="18">
        <v>30</v>
      </c>
      <c r="I141" s="350"/>
      <c r="J141" s="340"/>
      <c r="K141" s="341"/>
      <c r="L141" s="341"/>
      <c r="M141" s="341"/>
      <c r="N141" s="342"/>
      <c r="P141" s="18">
        <f t="shared" si="2"/>
        <v>0</v>
      </c>
      <c r="Q141" s="338"/>
      <c r="R141" s="344"/>
      <c r="S141" s="344"/>
      <c r="T141" s="344"/>
      <c r="U141" s="475"/>
    </row>
    <row r="142" spans="2:21" x14ac:dyDescent="0.25">
      <c r="B142" s="346"/>
      <c r="C142" s="359" t="s">
        <v>61</v>
      </c>
      <c r="D142" s="352" t="str">
        <f>HLOOKUP(Deckblatt!$C$12,Language!$C$1:$D$730,190,FALSE)</f>
        <v>Windkomfort</v>
      </c>
      <c r="E142" s="353"/>
      <c r="F142" s="346"/>
      <c r="G142" s="113"/>
      <c r="H142" s="21">
        <v>10</v>
      </c>
      <c r="I142" s="350"/>
      <c r="J142" s="340"/>
      <c r="K142" s="341"/>
      <c r="L142" s="341"/>
      <c r="M142" s="341"/>
      <c r="N142" s="342"/>
      <c r="P142" s="18">
        <f t="shared" si="2"/>
        <v>0</v>
      </c>
      <c r="Q142" s="338"/>
      <c r="R142" s="344"/>
      <c r="S142" s="344"/>
      <c r="T142" s="344"/>
      <c r="U142" s="475"/>
    </row>
    <row r="143" spans="2:21" ht="145.19999999999999" x14ac:dyDescent="0.25">
      <c r="B143" s="346"/>
      <c r="C143" s="360"/>
      <c r="D143" s="71" t="s">
        <v>63</v>
      </c>
      <c r="E143"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43" s="346"/>
      <c r="G143" s="69"/>
      <c r="H143" s="18">
        <v>10</v>
      </c>
      <c r="I143" s="350"/>
      <c r="J143" s="340"/>
      <c r="K143" s="341"/>
      <c r="L143" s="341"/>
      <c r="M143" s="341"/>
      <c r="N143" s="342"/>
      <c r="P143" s="18">
        <f t="shared" si="2"/>
        <v>0</v>
      </c>
      <c r="Q143" s="338"/>
      <c r="R143" s="344"/>
      <c r="S143" s="344"/>
      <c r="T143" s="344"/>
      <c r="U143" s="475"/>
    </row>
    <row r="144" spans="2:21" x14ac:dyDescent="0.25">
      <c r="B144" s="346"/>
      <c r="C144" s="359" t="s">
        <v>64</v>
      </c>
      <c r="D144" s="352" t="str">
        <f>HLOOKUP(Deckblatt!$C$12,Language!$C$1:$D$730,192,FALSE)</f>
        <v>Gefühlte Temperatur</v>
      </c>
      <c r="E144" s="353"/>
      <c r="F144" s="346"/>
      <c r="G144" s="113"/>
      <c r="H144" s="21">
        <v>20</v>
      </c>
      <c r="I144" s="350"/>
      <c r="J144" s="340"/>
      <c r="K144" s="341"/>
      <c r="L144" s="341"/>
      <c r="M144" s="341"/>
      <c r="N144" s="342"/>
      <c r="P144" s="18">
        <f t="shared" si="2"/>
        <v>0</v>
      </c>
      <c r="Q144" s="338"/>
      <c r="R144" s="344"/>
      <c r="S144" s="344"/>
      <c r="T144" s="344"/>
      <c r="U144" s="475"/>
    </row>
    <row r="145" spans="2:21" ht="145.19999999999999" x14ac:dyDescent="0.25">
      <c r="B145" s="370"/>
      <c r="C145" s="360"/>
      <c r="D145" s="71" t="s">
        <v>66</v>
      </c>
      <c r="E145"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45" s="370"/>
      <c r="G145" s="69"/>
      <c r="H145" s="18">
        <v>20</v>
      </c>
      <c r="I145" s="366"/>
      <c r="J145" s="340"/>
      <c r="K145" s="341"/>
      <c r="L145" s="341"/>
      <c r="M145" s="341"/>
      <c r="N145" s="342"/>
      <c r="P145" s="18">
        <f t="shared" si="2"/>
        <v>0</v>
      </c>
      <c r="Q145" s="339"/>
      <c r="R145" s="365"/>
      <c r="S145" s="344"/>
      <c r="T145" s="344"/>
      <c r="U145" s="475"/>
    </row>
    <row r="146" spans="2:21" x14ac:dyDescent="0.25">
      <c r="B146" s="63" t="s">
        <v>237</v>
      </c>
      <c r="C146" s="354" t="str">
        <f>HLOOKUP(Deckblatt!$C$12,Language!$C$1:$D$730,194,FALSE)</f>
        <v>Freiraum</v>
      </c>
      <c r="D146" s="354"/>
      <c r="E146" s="355"/>
      <c r="F146" s="64">
        <f>Q146</f>
        <v>0</v>
      </c>
      <c r="G146" s="374"/>
      <c r="H146" s="65">
        <v>100</v>
      </c>
      <c r="I146" s="180">
        <v>4</v>
      </c>
      <c r="J146" s="340"/>
      <c r="K146" s="341"/>
      <c r="L146" s="341"/>
      <c r="M146" s="341"/>
      <c r="N146" s="342"/>
      <c r="P146" s="18">
        <f t="shared" si="2"/>
        <v>0</v>
      </c>
      <c r="Q146" s="337">
        <f>SUM(P149:P150,P152:P153,P155:P156,P158:P159,P161:P167)</f>
        <v>0</v>
      </c>
      <c r="R146" s="343">
        <f>Q146/100</f>
        <v>0</v>
      </c>
      <c r="S146" s="344"/>
      <c r="T146" s="344"/>
      <c r="U146" s="475"/>
    </row>
    <row r="147" spans="2:21" x14ac:dyDescent="0.25">
      <c r="B147" s="345"/>
      <c r="C147" s="351" t="s">
        <v>54</v>
      </c>
      <c r="D147" s="352" t="str">
        <f>HLOOKUP(Deckblatt!$C$12,Language!$C$1:$D$730,195,FALSE)</f>
        <v>Einbindung in den landschaftlichen Kontext</v>
      </c>
      <c r="E147" s="353"/>
      <c r="F147" s="347"/>
      <c r="G147" s="364"/>
      <c r="H147" s="21">
        <v>25</v>
      </c>
      <c r="I147" s="349"/>
      <c r="J147" s="340"/>
      <c r="K147" s="341"/>
      <c r="L147" s="341"/>
      <c r="M147" s="341"/>
      <c r="N147" s="342"/>
      <c r="P147" s="18">
        <f t="shared" si="2"/>
        <v>0</v>
      </c>
      <c r="Q147" s="338"/>
      <c r="R147" s="344"/>
      <c r="S147" s="344"/>
      <c r="T147" s="344"/>
      <c r="U147" s="475"/>
    </row>
    <row r="148" spans="2:21" x14ac:dyDescent="0.25">
      <c r="B148" s="346"/>
      <c r="C148" s="351"/>
      <c r="D148" s="361" t="s">
        <v>58</v>
      </c>
      <c r="E148" s="150" t="str">
        <f>HLOOKUP(Deckblatt!$C$12,Language!$C$1:$D$730,196,FALSE)</f>
        <v>Berücksichtigung landschaftlicher Aspekte</v>
      </c>
      <c r="F148" s="348"/>
      <c r="G148" s="364"/>
      <c r="H148" s="21">
        <v>10</v>
      </c>
      <c r="I148" s="350"/>
      <c r="J148" s="340"/>
      <c r="K148" s="341"/>
      <c r="L148" s="341"/>
      <c r="M148" s="341"/>
      <c r="N148" s="342"/>
      <c r="P148" s="18">
        <f t="shared" si="2"/>
        <v>0</v>
      </c>
      <c r="Q148" s="338"/>
      <c r="R148" s="344"/>
      <c r="S148" s="344"/>
      <c r="T148" s="344"/>
      <c r="U148" s="475"/>
    </row>
    <row r="149" spans="2:21" ht="26.4" x14ac:dyDescent="0.25">
      <c r="B149" s="346"/>
      <c r="C149" s="351"/>
      <c r="D149" s="361"/>
      <c r="E149" s="134" t="str">
        <f>HLOOKUP(Deckblatt!$C$12,Language!$C$1:$D$730,197,FALSE)</f>
        <v xml:space="preserve">Es liegt eine Analyse/Bestandsuntersuchung vor.
</v>
      </c>
      <c r="F149" s="348"/>
      <c r="G149" s="69"/>
      <c r="H149" s="18">
        <v>5</v>
      </c>
      <c r="I149" s="350"/>
      <c r="J149" s="340"/>
      <c r="K149" s="341"/>
      <c r="L149" s="341"/>
      <c r="M149" s="341"/>
      <c r="N149" s="342"/>
      <c r="P149" s="18">
        <f t="shared" si="2"/>
        <v>0</v>
      </c>
      <c r="Q149" s="338"/>
      <c r="R149" s="344"/>
      <c r="S149" s="344"/>
      <c r="T149" s="344"/>
      <c r="U149" s="475"/>
    </row>
    <row r="150" spans="2:21" ht="52.8" x14ac:dyDescent="0.25">
      <c r="B150" s="346"/>
      <c r="C150" s="351"/>
      <c r="D150" s="361"/>
      <c r="E150" s="134" t="str">
        <f>HLOOKUP(Deckblatt!$C$12,Language!$C$1:$D$730,198,FALSE)</f>
        <v xml:space="preserve">Die Einbindung des Projekts in den landschaftlichen Kontext wird im Freiraumkonzept nachvollziehbar aus den Erkenntnissen der Analyse/Bestandsuntersuchung hergeleitet (Erläuterung).
</v>
      </c>
      <c r="F150" s="348"/>
      <c r="G150" s="69"/>
      <c r="H150" s="18">
        <v>5</v>
      </c>
      <c r="I150" s="350"/>
      <c r="J150" s="340"/>
      <c r="K150" s="341"/>
      <c r="L150" s="341"/>
      <c r="M150" s="341"/>
      <c r="N150" s="342"/>
      <c r="P150" s="18">
        <f t="shared" si="2"/>
        <v>0</v>
      </c>
      <c r="Q150" s="338"/>
      <c r="R150" s="344"/>
      <c r="S150" s="344"/>
      <c r="T150" s="344"/>
      <c r="U150" s="475"/>
    </row>
    <row r="151" spans="2:21" x14ac:dyDescent="0.25">
      <c r="B151" s="346"/>
      <c r="C151" s="351"/>
      <c r="D151" s="361" t="s">
        <v>88</v>
      </c>
      <c r="E151" s="150" t="str">
        <f>HLOOKUP(Deckblatt!$C$12,Language!$C$1:$D$730,199,FALSE)</f>
        <v>Einbindung in den städtebaulichen Kontext</v>
      </c>
      <c r="F151" s="348"/>
      <c r="G151" s="113"/>
      <c r="H151" s="21">
        <v>5</v>
      </c>
      <c r="I151" s="350"/>
      <c r="J151" s="340"/>
      <c r="K151" s="341"/>
      <c r="L151" s="341"/>
      <c r="M151" s="341"/>
      <c r="N151" s="342"/>
      <c r="P151" s="18">
        <f t="shared" si="2"/>
        <v>0</v>
      </c>
      <c r="Q151" s="338"/>
      <c r="R151" s="344"/>
      <c r="S151" s="344"/>
      <c r="T151" s="344"/>
      <c r="U151" s="475"/>
    </row>
    <row r="152" spans="2:21" ht="26.4" x14ac:dyDescent="0.25">
      <c r="B152" s="346"/>
      <c r="C152" s="351"/>
      <c r="D152" s="361"/>
      <c r="E152" s="134" t="str">
        <f>HLOOKUP(Deckblatt!$C$12,Language!$C$1:$D$730,200,FALSE)</f>
        <v xml:space="preserve">Es liegt eine Analyse/Bestandsuntersuchung vor.
</v>
      </c>
      <c r="F152" s="348"/>
      <c r="G152" s="69"/>
      <c r="H152" s="18">
        <v>3</v>
      </c>
      <c r="I152" s="350"/>
      <c r="J152" s="340"/>
      <c r="K152" s="341"/>
      <c r="L152" s="341"/>
      <c r="M152" s="341"/>
      <c r="N152" s="342"/>
      <c r="P152" s="18">
        <f t="shared" si="2"/>
        <v>0</v>
      </c>
      <c r="Q152" s="338"/>
      <c r="R152" s="344"/>
      <c r="S152" s="344"/>
      <c r="T152" s="344"/>
      <c r="U152" s="475"/>
    </row>
    <row r="153" spans="2:21" ht="52.8" x14ac:dyDescent="0.25">
      <c r="B153" s="346"/>
      <c r="C153" s="351"/>
      <c r="D153" s="361"/>
      <c r="E153" s="134" t="str">
        <f>HLOOKUP(Deckblatt!$C$12,Language!$C$1:$D$730,201,FALSE)</f>
        <v xml:space="preserve">Die Einbindung des Projekts in den städtebaulichen Kontext wird im Freiraumkonzept nachvollziehbar aus den Erkenntnissen der Analyse/Bestandsuntersuchung hergeleitet (Erläuterung).
</v>
      </c>
      <c r="F153" s="348"/>
      <c r="G153" s="69"/>
      <c r="H153" s="18">
        <v>2</v>
      </c>
      <c r="I153" s="350"/>
      <c r="J153" s="340"/>
      <c r="K153" s="341"/>
      <c r="L153" s="341"/>
      <c r="M153" s="341"/>
      <c r="N153" s="342"/>
      <c r="P153" s="18">
        <f t="shared" si="2"/>
        <v>0</v>
      </c>
      <c r="Q153" s="338"/>
      <c r="R153" s="344"/>
      <c r="S153" s="344"/>
      <c r="T153" s="344"/>
      <c r="U153" s="475"/>
    </row>
    <row r="154" spans="2:21" x14ac:dyDescent="0.25">
      <c r="B154" s="346"/>
      <c r="C154" s="351"/>
      <c r="D154" s="361" t="s">
        <v>246</v>
      </c>
      <c r="E154" s="150" t="str">
        <f>HLOOKUP(Deckblatt!$C$12,Language!$C$1:$D$730,202,FALSE)</f>
        <v>Einbindung in die übergeordnete Planung</v>
      </c>
      <c r="F154" s="348"/>
      <c r="G154" s="113"/>
      <c r="H154" s="21">
        <v>5</v>
      </c>
      <c r="I154" s="350"/>
      <c r="J154" s="340"/>
      <c r="K154" s="341"/>
      <c r="L154" s="341"/>
      <c r="M154" s="341"/>
      <c r="N154" s="342"/>
      <c r="P154" s="18">
        <f t="shared" si="2"/>
        <v>0</v>
      </c>
      <c r="Q154" s="338"/>
      <c r="R154" s="344"/>
      <c r="S154" s="344"/>
      <c r="T154" s="344"/>
      <c r="U154" s="475"/>
    </row>
    <row r="155" spans="2:21" ht="26.4" x14ac:dyDescent="0.25">
      <c r="B155" s="346"/>
      <c r="C155" s="351"/>
      <c r="D155" s="361"/>
      <c r="E155" s="134" t="str">
        <f>HLOOKUP(Deckblatt!$C$12,Language!$C$1:$D$730,203,FALSE)</f>
        <v xml:space="preserve">Es liegt eine Analyse/Bestandsuntersuchung vor.
</v>
      </c>
      <c r="F155" s="348"/>
      <c r="G155" s="69"/>
      <c r="H155" s="18">
        <v>3</v>
      </c>
      <c r="I155" s="350"/>
      <c r="J155" s="340"/>
      <c r="K155" s="341"/>
      <c r="L155" s="341"/>
      <c r="M155" s="341"/>
      <c r="N155" s="342"/>
      <c r="P155" s="18">
        <f t="shared" si="2"/>
        <v>0</v>
      </c>
      <c r="Q155" s="338"/>
      <c r="R155" s="344"/>
      <c r="S155" s="344"/>
      <c r="T155" s="344"/>
      <c r="U155" s="475"/>
    </row>
    <row r="156" spans="2:21" ht="52.8" x14ac:dyDescent="0.25">
      <c r="B156" s="346"/>
      <c r="C156" s="351"/>
      <c r="D156" s="361"/>
      <c r="E156" s="134" t="str">
        <f>HLOOKUP(Deckblatt!$C$12,Language!$C$1:$D$730,204,FALSE)</f>
        <v xml:space="preserve">Die Einbindung des Projekts in die übergeordnete Planung wird im Freiraumkonzept nachvollziehbar aus den Erkenntnissen der Analyse/Bestandsuntersuchung hergeleitet (Erläuterung). 
</v>
      </c>
      <c r="F156" s="348"/>
      <c r="G156" s="69"/>
      <c r="H156" s="18">
        <v>2</v>
      </c>
      <c r="I156" s="350"/>
      <c r="J156" s="340"/>
      <c r="K156" s="341"/>
      <c r="L156" s="341"/>
      <c r="M156" s="341"/>
      <c r="N156" s="342"/>
      <c r="P156" s="18">
        <f t="shared" si="2"/>
        <v>0</v>
      </c>
      <c r="Q156" s="338"/>
      <c r="R156" s="344"/>
      <c r="S156" s="344"/>
      <c r="T156" s="344"/>
      <c r="U156" s="475"/>
    </row>
    <row r="157" spans="2:21" ht="26.4" x14ac:dyDescent="0.25">
      <c r="B157" s="346"/>
      <c r="C157" s="351"/>
      <c r="D157" s="361" t="s">
        <v>250</v>
      </c>
      <c r="E157" s="150" t="str">
        <f>HLOOKUP(Deckblatt!$C$12,Language!$C$1:$D$730,205,FALSE)</f>
        <v>Einbindung bestehender und identitätsstiftender Landschafts- und Freiraumelemente</v>
      </c>
      <c r="F157" s="348"/>
      <c r="G157" s="113"/>
      <c r="H157" s="21">
        <v>5</v>
      </c>
      <c r="I157" s="350"/>
      <c r="J157" s="340"/>
      <c r="K157" s="341"/>
      <c r="L157" s="341"/>
      <c r="M157" s="341"/>
      <c r="N157" s="342"/>
      <c r="P157" s="18">
        <f t="shared" si="2"/>
        <v>0</v>
      </c>
      <c r="Q157" s="338"/>
      <c r="R157" s="344"/>
      <c r="S157" s="344"/>
      <c r="T157" s="344"/>
      <c r="U157" s="475"/>
    </row>
    <row r="158" spans="2:21" ht="26.4" x14ac:dyDescent="0.25">
      <c r="B158" s="346"/>
      <c r="C158" s="351"/>
      <c r="D158" s="361"/>
      <c r="E158" s="134" t="str">
        <f>HLOOKUP(Deckblatt!$C$12,Language!$C$1:$D$730,206,FALSE)</f>
        <v xml:space="preserve">Es liegt eine Analyse/Bestandsuntersuchung vor.
</v>
      </c>
      <c r="F158" s="348"/>
      <c r="G158" s="69"/>
      <c r="H158" s="18">
        <v>3</v>
      </c>
      <c r="I158" s="350"/>
      <c r="J158" s="340"/>
      <c r="K158" s="341"/>
      <c r="L158" s="341"/>
      <c r="M158" s="341"/>
      <c r="N158" s="342"/>
      <c r="P158" s="18">
        <f t="shared" si="2"/>
        <v>0</v>
      </c>
      <c r="Q158" s="338"/>
      <c r="R158" s="344"/>
      <c r="S158" s="344"/>
      <c r="T158" s="344"/>
      <c r="U158" s="475"/>
    </row>
    <row r="159" spans="2:21" ht="52.8" x14ac:dyDescent="0.25">
      <c r="B159" s="346"/>
      <c r="C159" s="351"/>
      <c r="D159" s="361"/>
      <c r="E159"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59" s="348"/>
      <c r="G159" s="69"/>
      <c r="H159" s="18">
        <v>2</v>
      </c>
      <c r="I159" s="350"/>
      <c r="J159" s="340"/>
      <c r="K159" s="341"/>
      <c r="L159" s="341"/>
      <c r="M159" s="341"/>
      <c r="N159" s="342"/>
      <c r="P159" s="18">
        <f t="shared" si="2"/>
        <v>0</v>
      </c>
      <c r="Q159" s="338"/>
      <c r="R159" s="344"/>
      <c r="S159" s="344"/>
      <c r="T159" s="344"/>
      <c r="U159" s="475"/>
    </row>
    <row r="160" spans="2:21" x14ac:dyDescent="0.25">
      <c r="B160" s="346"/>
      <c r="C160" s="359" t="s">
        <v>61</v>
      </c>
      <c r="D160" s="352" t="str">
        <f>HLOOKUP(Deckblatt!$C$12,Language!$C$1:$D$730,208,FALSE)</f>
        <v>Qualifizierung der Freiräume</v>
      </c>
      <c r="E160" s="353"/>
      <c r="F160" s="348"/>
      <c r="G160" s="113"/>
      <c r="H160" s="21">
        <v>75</v>
      </c>
      <c r="I160" s="350"/>
      <c r="J160" s="340"/>
      <c r="K160" s="341"/>
      <c r="L160" s="341"/>
      <c r="M160" s="341"/>
      <c r="N160" s="342"/>
      <c r="P160" s="18">
        <f t="shared" si="2"/>
        <v>0</v>
      </c>
      <c r="Q160" s="338"/>
      <c r="R160" s="344"/>
      <c r="S160" s="344"/>
      <c r="T160" s="344"/>
      <c r="U160" s="475"/>
    </row>
    <row r="161" spans="2:21" ht="26.4" x14ac:dyDescent="0.25">
      <c r="B161" s="346"/>
      <c r="C161" s="390"/>
      <c r="D161" s="71" t="s">
        <v>63</v>
      </c>
      <c r="E161" s="150" t="str">
        <f>HLOOKUP(Deckblatt!$C$12,Language!$C$1:$D$730,209,FALSE)</f>
        <v xml:space="preserve">Freiraumstruktur
</v>
      </c>
      <c r="F161" s="348"/>
      <c r="G161" s="69"/>
      <c r="H161" s="18">
        <v>15</v>
      </c>
      <c r="I161" s="350"/>
      <c r="J161" s="340"/>
      <c r="K161" s="341"/>
      <c r="L161" s="341"/>
      <c r="M161" s="341"/>
      <c r="N161" s="342"/>
      <c r="P161" s="18">
        <f t="shared" si="2"/>
        <v>0</v>
      </c>
      <c r="Q161" s="338"/>
      <c r="R161" s="344"/>
      <c r="S161" s="344"/>
      <c r="T161" s="344"/>
      <c r="U161" s="475"/>
    </row>
    <row r="162" spans="2:21" ht="26.4" x14ac:dyDescent="0.25">
      <c r="B162" s="346"/>
      <c r="C162" s="390"/>
      <c r="D162" s="71" t="s">
        <v>186</v>
      </c>
      <c r="E162" s="150" t="str">
        <f>HLOOKUP(Deckblatt!$C$12,Language!$C$1:$D$730,210,FALSE)</f>
        <v xml:space="preserve">Freiraumtypen
</v>
      </c>
      <c r="F162" s="348"/>
      <c r="G162" s="69"/>
      <c r="H162" s="18">
        <v>10</v>
      </c>
      <c r="I162" s="350"/>
      <c r="J162" s="340"/>
      <c r="K162" s="341"/>
      <c r="L162" s="341"/>
      <c r="M162" s="341"/>
      <c r="N162" s="342"/>
      <c r="P162" s="18">
        <f t="shared" si="2"/>
        <v>0</v>
      </c>
      <c r="Q162" s="338"/>
      <c r="R162" s="344"/>
      <c r="S162" s="344"/>
      <c r="T162" s="344"/>
      <c r="U162" s="475"/>
    </row>
    <row r="163" spans="2:21" ht="26.4" x14ac:dyDescent="0.25">
      <c r="B163" s="346"/>
      <c r="C163" s="390"/>
      <c r="D163" s="71" t="s">
        <v>255</v>
      </c>
      <c r="E163" s="150" t="str">
        <f>HLOOKUP(Deckblatt!$C$12,Language!$C$1:$D$730,211,FALSE)</f>
        <v xml:space="preserve">Materialität
</v>
      </c>
      <c r="F163" s="348"/>
      <c r="G163" s="69"/>
      <c r="H163" s="18">
        <v>10</v>
      </c>
      <c r="I163" s="350"/>
      <c r="J163" s="340"/>
      <c r="K163" s="341"/>
      <c r="L163" s="341"/>
      <c r="M163" s="341"/>
      <c r="N163" s="342"/>
      <c r="P163" s="18">
        <f t="shared" si="2"/>
        <v>0</v>
      </c>
      <c r="Q163" s="338"/>
      <c r="R163" s="344"/>
      <c r="S163" s="344"/>
      <c r="T163" s="344"/>
      <c r="U163" s="475"/>
    </row>
    <row r="164" spans="2:21" ht="26.4" x14ac:dyDescent="0.25">
      <c r="B164" s="346"/>
      <c r="C164" s="390"/>
      <c r="D164" s="71" t="s">
        <v>256</v>
      </c>
      <c r="E164" s="150" t="str">
        <f>HLOOKUP(Deckblatt!$C$12,Language!$C$1:$D$730,212,FALSE)</f>
        <v xml:space="preserve">Vegetation
</v>
      </c>
      <c r="F164" s="348"/>
      <c r="G164" s="69"/>
      <c r="H164" s="18">
        <v>10</v>
      </c>
      <c r="I164" s="350"/>
      <c r="J164" s="340"/>
      <c r="K164" s="341"/>
      <c r="L164" s="341"/>
      <c r="M164" s="341"/>
      <c r="N164" s="342"/>
      <c r="P164" s="18">
        <f t="shared" si="2"/>
        <v>0</v>
      </c>
      <c r="Q164" s="338"/>
      <c r="R164" s="344"/>
      <c r="S164" s="344"/>
      <c r="T164" s="344"/>
      <c r="U164" s="475"/>
    </row>
    <row r="165" spans="2:21" ht="24.6" customHeight="1" x14ac:dyDescent="0.25">
      <c r="B165" s="346"/>
      <c r="C165" s="390"/>
      <c r="D165" s="71" t="s">
        <v>257</v>
      </c>
      <c r="E165" s="150" t="str">
        <f>HLOOKUP(Deckblatt!$C$12,Language!$C$1:$D$730,213,FALSE)</f>
        <v xml:space="preserve">Ausstattung
</v>
      </c>
      <c r="F165" s="348"/>
      <c r="G165" s="69"/>
      <c r="H165" s="18">
        <v>10</v>
      </c>
      <c r="I165" s="350"/>
      <c r="J165" s="340"/>
      <c r="K165" s="341"/>
      <c r="L165" s="341"/>
      <c r="M165" s="341"/>
      <c r="N165" s="342"/>
      <c r="P165" s="18">
        <f t="shared" si="2"/>
        <v>0</v>
      </c>
      <c r="Q165" s="338"/>
      <c r="R165" s="344"/>
      <c r="S165" s="344"/>
      <c r="T165" s="344"/>
      <c r="U165" s="475"/>
    </row>
    <row r="166" spans="2:21" ht="26.4" x14ac:dyDescent="0.25">
      <c r="B166" s="346"/>
      <c r="C166" s="390"/>
      <c r="D166" s="71" t="s">
        <v>258</v>
      </c>
      <c r="E166" s="150" t="str">
        <f>HLOOKUP(Deckblatt!$C$12,Language!$C$1:$D$730,214,FALSE)</f>
        <v xml:space="preserve">Beleuchtung
</v>
      </c>
      <c r="F166" s="348"/>
      <c r="G166" s="69"/>
      <c r="H166" s="18">
        <v>10</v>
      </c>
      <c r="I166" s="350"/>
      <c r="J166" s="340"/>
      <c r="K166" s="341"/>
      <c r="L166" s="341"/>
      <c r="M166" s="341"/>
      <c r="N166" s="342"/>
      <c r="P166" s="18">
        <f t="shared" si="2"/>
        <v>0</v>
      </c>
      <c r="Q166" s="338"/>
      <c r="R166" s="344"/>
      <c r="S166" s="344"/>
      <c r="T166" s="344"/>
      <c r="U166" s="475"/>
    </row>
    <row r="167" spans="2:21" ht="26.4" x14ac:dyDescent="0.25">
      <c r="B167" s="346"/>
      <c r="C167" s="390"/>
      <c r="D167" s="71" t="s">
        <v>259</v>
      </c>
      <c r="E167" s="150" t="str">
        <f>HLOOKUP(Deckblatt!$C$12,Language!$C$1:$D$730,215,FALSE)</f>
        <v xml:space="preserve">Verkehrsflächen
</v>
      </c>
      <c r="F167" s="348"/>
      <c r="G167" s="69"/>
      <c r="H167" s="18">
        <v>10</v>
      </c>
      <c r="I167" s="350"/>
      <c r="J167" s="340"/>
      <c r="K167" s="341"/>
      <c r="L167" s="341"/>
      <c r="M167" s="341"/>
      <c r="N167" s="342"/>
      <c r="P167" s="18">
        <f t="shared" si="2"/>
        <v>0</v>
      </c>
      <c r="Q167" s="338"/>
      <c r="R167" s="344"/>
      <c r="S167" s="344"/>
      <c r="T167" s="344"/>
      <c r="U167" s="475"/>
    </row>
    <row r="168" spans="2:21" x14ac:dyDescent="0.25">
      <c r="B168" s="55" t="s">
        <v>270</v>
      </c>
      <c r="C168" s="354" t="str">
        <f>HLOOKUP(Deckblatt!$C$12,Language!$C$1:$D$730,254,FALSE)</f>
        <v>Emissionen / Immissionen</v>
      </c>
      <c r="D168" s="354"/>
      <c r="E168" s="355"/>
      <c r="F168" s="56">
        <f>Q168</f>
        <v>0</v>
      </c>
      <c r="G168" s="356"/>
      <c r="H168" s="21">
        <v>100</v>
      </c>
      <c r="I168" s="176">
        <v>3</v>
      </c>
      <c r="J168" s="340"/>
      <c r="K168" s="341"/>
      <c r="L168" s="341"/>
      <c r="M168" s="341"/>
      <c r="N168" s="342"/>
      <c r="P168" s="18">
        <f t="shared" si="2"/>
        <v>0</v>
      </c>
      <c r="Q168" s="337">
        <f>IF(SUM(P171,P173:P174,P176,P178,P180:P181,P186:P189)-P183&gt;100,100,SUM(P171,P173:P174,P176,P178,P180:P181,P186:P189)-P183)</f>
        <v>0</v>
      </c>
      <c r="R168" s="343">
        <f>Q168/100</f>
        <v>0</v>
      </c>
      <c r="S168" s="344"/>
      <c r="T168" s="344"/>
      <c r="U168" s="475"/>
    </row>
    <row r="169" spans="2:21" x14ac:dyDescent="0.25">
      <c r="B169" s="375"/>
      <c r="C169" s="351" t="s">
        <v>54</v>
      </c>
      <c r="D169" s="352" t="str">
        <f>HLOOKUP(Deckblatt!$C$12,Language!$C$1:$D$730,255,FALSE)</f>
        <v>Luftqualität</v>
      </c>
      <c r="E169" s="353"/>
      <c r="F169" s="485"/>
      <c r="G169" s="356"/>
      <c r="H169" s="21">
        <v>20</v>
      </c>
      <c r="I169" s="379"/>
      <c r="J169" s="340"/>
      <c r="K169" s="341"/>
      <c r="L169" s="341"/>
      <c r="M169" s="341"/>
      <c r="N169" s="342"/>
      <c r="P169" s="18">
        <f t="shared" si="2"/>
        <v>0</v>
      </c>
      <c r="Q169" s="338"/>
      <c r="R169" s="344"/>
      <c r="S169" s="344"/>
      <c r="T169" s="344"/>
      <c r="U169" s="475"/>
    </row>
    <row r="170" spans="2:21" x14ac:dyDescent="0.25">
      <c r="B170" s="375"/>
      <c r="C170" s="351"/>
      <c r="D170" s="361" t="s">
        <v>58</v>
      </c>
      <c r="E170" s="150" t="str">
        <f>HLOOKUP(Deckblatt!$C$12,Language!$C$1:$D$730,256,FALSE)</f>
        <v>Einhaltung der gesetzlichen Grenzwerte für Luftqualitätsmerkmale</v>
      </c>
      <c r="F170" s="485"/>
      <c r="G170" s="356"/>
      <c r="H170" s="21">
        <v>10</v>
      </c>
      <c r="I170" s="379"/>
      <c r="J170" s="340"/>
      <c r="K170" s="341"/>
      <c r="L170" s="341"/>
      <c r="M170" s="341"/>
      <c r="N170" s="342"/>
      <c r="P170" s="18">
        <f t="shared" si="2"/>
        <v>0</v>
      </c>
      <c r="Q170" s="338"/>
      <c r="R170" s="344"/>
      <c r="S170" s="344"/>
      <c r="T170" s="344"/>
      <c r="U170" s="475"/>
    </row>
    <row r="171" spans="2:21" ht="66" x14ac:dyDescent="0.25">
      <c r="B171" s="375"/>
      <c r="C171" s="351"/>
      <c r="D171" s="361"/>
      <c r="E171" s="134" t="str">
        <f>HLOOKUP(Deckblatt!$C$12,Language!$C$1:$D$730,257,FALSE)</f>
        <v xml:space="preserve">- NO2-Überschreitung an maximal 18 3-Stunden-Intervallen (über den Ein-Stunden-Tagesmaxima-Wert) (5 Punkte)
ODER
- Keine Überschreitung NO2 (10 Punkte)
</v>
      </c>
      <c r="F171" s="485"/>
      <c r="G171" s="69"/>
      <c r="H171" s="18">
        <v>10</v>
      </c>
      <c r="I171" s="379"/>
      <c r="J171" s="340"/>
      <c r="K171" s="341"/>
      <c r="L171" s="341"/>
      <c r="M171" s="341"/>
      <c r="N171" s="342"/>
      <c r="P171" s="18">
        <f t="shared" si="2"/>
        <v>0</v>
      </c>
      <c r="Q171" s="338"/>
      <c r="R171" s="344"/>
      <c r="S171" s="344"/>
      <c r="T171" s="344"/>
      <c r="U171" s="475"/>
    </row>
    <row r="172" spans="2:21" x14ac:dyDescent="0.25">
      <c r="B172" s="375"/>
      <c r="C172" s="351"/>
      <c r="D172" s="361" t="s">
        <v>181</v>
      </c>
      <c r="E172" s="150" t="str">
        <f>HLOOKUP(Deckblatt!$C$12,Language!$C$1:$D$730,258,FALSE)</f>
        <v>Veränderung der Immissionssituation / Lufthygienischen Gutachten</v>
      </c>
      <c r="F172" s="485"/>
      <c r="G172" s="113"/>
      <c r="H172" s="21">
        <v>10</v>
      </c>
      <c r="I172" s="379"/>
      <c r="J172" s="340"/>
      <c r="K172" s="341"/>
      <c r="L172" s="341"/>
      <c r="M172" s="341"/>
      <c r="N172" s="342"/>
      <c r="P172" s="18">
        <f t="shared" si="2"/>
        <v>0</v>
      </c>
      <c r="Q172" s="338"/>
      <c r="R172" s="344"/>
      <c r="S172" s="344"/>
      <c r="T172" s="344"/>
      <c r="U172" s="475"/>
    </row>
    <row r="173" spans="2:21" ht="26.4" x14ac:dyDescent="0.25">
      <c r="B173" s="375"/>
      <c r="C173" s="351"/>
      <c r="D173" s="361"/>
      <c r="E173" s="134" t="str">
        <f>HLOOKUP(Deckblatt!$C$12,Language!$C$1:$D$730,259,FALSE)</f>
        <v xml:space="preserve">Durchführung eines qualifizierten lufthygienisches Gutachtens
</v>
      </c>
      <c r="F173" s="485"/>
      <c r="G173" s="69"/>
      <c r="H173" s="18">
        <v>3</v>
      </c>
      <c r="I173" s="379"/>
      <c r="J173" s="340"/>
      <c r="K173" s="341"/>
      <c r="L173" s="341"/>
      <c r="M173" s="341"/>
      <c r="N173" s="342"/>
      <c r="P173" s="18">
        <f t="shared" si="2"/>
        <v>0</v>
      </c>
      <c r="Q173" s="338"/>
      <c r="R173" s="344"/>
      <c r="S173" s="344"/>
      <c r="T173" s="344"/>
      <c r="U173" s="475"/>
    </row>
    <row r="174" spans="2:21" ht="66" x14ac:dyDescent="0.25">
      <c r="B174" s="375"/>
      <c r="C174" s="351"/>
      <c r="D174" s="361"/>
      <c r="E174" s="134" t="str">
        <f>HLOOKUP(Deckblatt!$C$12,Language!$C$1:$D$730,260,FALSE)</f>
        <v xml:space="preserve">Umsetzung der Ergebnisse des lufthygienisches Gutachtens
- mind. 50 % Umgesetzt (3 Punkte)
ODER
- vollständig umgesetzt (7 Punkte)
</v>
      </c>
      <c r="F174" s="485"/>
      <c r="G174" s="69"/>
      <c r="H174" s="18">
        <v>7</v>
      </c>
      <c r="I174" s="379"/>
      <c r="J174" s="340"/>
      <c r="K174" s="341"/>
      <c r="L174" s="341"/>
      <c r="M174" s="341"/>
      <c r="N174" s="342"/>
      <c r="P174" s="18">
        <f t="shared" si="2"/>
        <v>0</v>
      </c>
      <c r="Q174" s="338"/>
      <c r="R174" s="344"/>
      <c r="S174" s="344"/>
      <c r="T174" s="344"/>
      <c r="U174" s="475"/>
    </row>
    <row r="175" spans="2:21" x14ac:dyDescent="0.25">
      <c r="B175" s="375"/>
      <c r="C175" s="351" t="s">
        <v>64</v>
      </c>
      <c r="D175" s="352" t="str">
        <f>HLOOKUP(Deckblatt!$C$12,Language!$C$1:$D$730,263,FALSE)</f>
        <v>Lärm auf dem zentralen öffentlich zugänglichen Freiraum</v>
      </c>
      <c r="E175" s="353"/>
      <c r="F175" s="485"/>
      <c r="G175" s="113"/>
      <c r="H175" s="21">
        <v>5</v>
      </c>
      <c r="I175" s="379"/>
      <c r="J175" s="340"/>
      <c r="K175" s="341"/>
      <c r="L175" s="341"/>
      <c r="M175" s="341"/>
      <c r="N175" s="342"/>
      <c r="P175" s="18">
        <f t="shared" si="2"/>
        <v>0</v>
      </c>
      <c r="Q175" s="338"/>
      <c r="R175" s="344"/>
      <c r="S175" s="344"/>
      <c r="T175" s="344"/>
      <c r="U175" s="475"/>
    </row>
    <row r="176" spans="2:21" ht="26.4" x14ac:dyDescent="0.25">
      <c r="B176" s="375"/>
      <c r="C176" s="351"/>
      <c r="D176" s="71" t="s">
        <v>66</v>
      </c>
      <c r="E176" s="150" t="str">
        <f>HLOOKUP(Deckblatt!$C$12,Language!$C$1:$D$730,264,FALSE)</f>
        <v xml:space="preserve">Lärmwert Freiraum (Tag)
</v>
      </c>
      <c r="F176" s="485"/>
      <c r="G176" s="69"/>
      <c r="H176" s="18">
        <v>5</v>
      </c>
      <c r="I176" s="379"/>
      <c r="J176" s="340"/>
      <c r="K176" s="341"/>
      <c r="L176" s="341"/>
      <c r="M176" s="341"/>
      <c r="N176" s="342"/>
      <c r="P176" s="18">
        <f t="shared" si="2"/>
        <v>0</v>
      </c>
      <c r="Q176" s="338"/>
      <c r="R176" s="344"/>
      <c r="S176" s="344"/>
      <c r="T176" s="344"/>
      <c r="U176" s="475"/>
    </row>
    <row r="177" spans="2:21" x14ac:dyDescent="0.25">
      <c r="B177" s="375"/>
      <c r="C177" s="369" t="s">
        <v>67</v>
      </c>
      <c r="D177" s="352" t="str">
        <f>HLOOKUP(Deckblatt!$C$12,Language!$C$1:$D$730,265,FALSE)</f>
        <v>Gewerbelärm / Lärm aus der Event-Nutzung  außerhalb des Quartiers</v>
      </c>
      <c r="E177" s="353"/>
      <c r="F177" s="485"/>
      <c r="G177" s="113"/>
      <c r="H177" s="21">
        <v>25</v>
      </c>
      <c r="I177" s="379"/>
      <c r="J177" s="340"/>
      <c r="K177" s="341"/>
      <c r="L177" s="341"/>
      <c r="M177" s="341"/>
      <c r="N177" s="342"/>
      <c r="P177" s="18">
        <f t="shared" si="2"/>
        <v>0</v>
      </c>
      <c r="Q177" s="338"/>
      <c r="R177" s="344"/>
      <c r="S177" s="344"/>
      <c r="T177" s="344"/>
      <c r="U177" s="475"/>
    </row>
    <row r="178" spans="2:21" ht="39.6" x14ac:dyDescent="0.25">
      <c r="B178" s="375"/>
      <c r="C178" s="479"/>
      <c r="D178" s="71" t="s">
        <v>69</v>
      </c>
      <c r="E178" s="150" t="str">
        <f>HLOOKUP(Deckblatt!$C$12,Language!$C$1:$D$730,266,FALSE)</f>
        <v xml:space="preserve">Industrie- und Gewerbelärm in benachbarten empfindlichen Nutzungsbereichen 
	</v>
      </c>
      <c r="F178" s="485"/>
      <c r="G178" s="69"/>
      <c r="H178" s="18">
        <v>25</v>
      </c>
      <c r="I178" s="379"/>
      <c r="J178" s="340"/>
      <c r="K178" s="341"/>
      <c r="L178" s="341"/>
      <c r="M178" s="341"/>
      <c r="N178" s="342"/>
      <c r="P178" s="18">
        <f t="shared" si="2"/>
        <v>0</v>
      </c>
      <c r="Q178" s="338"/>
      <c r="R178" s="344"/>
      <c r="S178" s="344"/>
      <c r="T178" s="344"/>
      <c r="U178" s="475"/>
    </row>
    <row r="179" spans="2:21" x14ac:dyDescent="0.25">
      <c r="B179" s="375"/>
      <c r="C179" s="359" t="s">
        <v>154</v>
      </c>
      <c r="D179" s="352" t="str">
        <f>HLOOKUP(Deckblatt!$C$12,Language!$C$1:$D$730,267,FALSE)</f>
        <v xml:space="preserve">Vermeidung oder Verminderung von Emissionen </v>
      </c>
      <c r="E179" s="353"/>
      <c r="F179" s="485"/>
      <c r="G179" s="113"/>
      <c r="H179" s="21">
        <v>20</v>
      </c>
      <c r="I179" s="379"/>
      <c r="J179" s="340"/>
      <c r="K179" s="341"/>
      <c r="L179" s="341"/>
      <c r="M179" s="341"/>
      <c r="N179" s="342"/>
      <c r="P179" s="18">
        <f t="shared" si="2"/>
        <v>0</v>
      </c>
      <c r="Q179" s="338"/>
      <c r="R179" s="344"/>
      <c r="S179" s="344"/>
      <c r="T179" s="344"/>
      <c r="U179" s="475"/>
    </row>
    <row r="180" spans="2:21" ht="25.95" customHeight="1" x14ac:dyDescent="0.25">
      <c r="B180" s="375"/>
      <c r="C180" s="390"/>
      <c r="D180" s="71" t="s">
        <v>156</v>
      </c>
      <c r="E180" s="150" t="str">
        <f>HLOOKUP(Deckblatt!$C$12,Language!$C$1:$D$730,268,FALSE)</f>
        <v>Luftbelastung durch Heiz-/Feuerungsanlagen</v>
      </c>
      <c r="F180" s="485"/>
      <c r="G180" s="69"/>
      <c r="H180" s="18">
        <v>10</v>
      </c>
      <c r="I180" s="379"/>
      <c r="J180" s="340"/>
      <c r="K180" s="341"/>
      <c r="L180" s="341"/>
      <c r="M180" s="341"/>
      <c r="N180" s="342"/>
      <c r="P180" s="18">
        <f t="shared" si="2"/>
        <v>0</v>
      </c>
      <c r="Q180" s="338"/>
      <c r="R180" s="344"/>
      <c r="S180" s="344"/>
      <c r="T180" s="344"/>
      <c r="U180" s="475"/>
    </row>
    <row r="181" spans="2:21" ht="39.6" x14ac:dyDescent="0.25">
      <c r="B181" s="375"/>
      <c r="C181" s="360"/>
      <c r="D181" s="71" t="s">
        <v>219</v>
      </c>
      <c r="E181" s="150" t="str">
        <f>HLOOKUP(Deckblatt!$C$12,Language!$C$1:$D$730,270,FALSE)</f>
        <v xml:space="preserve">Gewerbelärm / Lärm durch zusätzliches Verkehrsaufkommen in benachbarten empfindlichen Nutzungsbereichen
</v>
      </c>
      <c r="F181" s="485"/>
      <c r="G181" s="69"/>
      <c r="H181" s="18">
        <v>10</v>
      </c>
      <c r="I181" s="379"/>
      <c r="J181" s="340"/>
      <c r="K181" s="341"/>
      <c r="L181" s="341"/>
      <c r="M181" s="341"/>
      <c r="N181" s="342"/>
      <c r="P181" s="18">
        <f t="shared" si="2"/>
        <v>0</v>
      </c>
      <c r="Q181" s="338"/>
      <c r="R181" s="344"/>
      <c r="S181" s="344"/>
      <c r="T181" s="344"/>
      <c r="U181" s="475"/>
    </row>
    <row r="182" spans="2:21" ht="26.1" customHeight="1" x14ac:dyDescent="0.25">
      <c r="B182" s="375"/>
      <c r="C182" s="351" t="s">
        <v>157</v>
      </c>
      <c r="D182" s="367" t="str">
        <f>HLOOKUP(Deckblatt!$C$12,Language!$C$1:$D$730,271,FALSE)</f>
        <v>Lärm aus Schienen- und Flugverkehr, Industrie und Gewerbe sowie Sport und Freizeit (Reduzierungsfaktor)</v>
      </c>
      <c r="E182" s="368"/>
      <c r="F182" s="485"/>
      <c r="G182" s="113"/>
      <c r="H182" s="21">
        <v>51.5</v>
      </c>
      <c r="I182" s="379"/>
      <c r="J182" s="340"/>
      <c r="K182" s="341"/>
      <c r="L182" s="341"/>
      <c r="M182" s="341"/>
      <c r="N182" s="342"/>
      <c r="P182" s="18">
        <f t="shared" si="2"/>
        <v>0</v>
      </c>
      <c r="Q182" s="338"/>
      <c r="R182" s="344"/>
      <c r="S182" s="344"/>
      <c r="T182" s="344"/>
      <c r="U182" s="475"/>
    </row>
    <row r="183" spans="2:21" ht="92.4" x14ac:dyDescent="0.25">
      <c r="B183" s="375"/>
      <c r="C183" s="351"/>
      <c r="D183" s="71" t="s">
        <v>159</v>
      </c>
      <c r="E183"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183" s="485"/>
      <c r="G183" s="69"/>
      <c r="H183" s="18">
        <v>51.5</v>
      </c>
      <c r="I183" s="379"/>
      <c r="J183" s="340"/>
      <c r="K183" s="341"/>
      <c r="L183" s="341"/>
      <c r="M183" s="341"/>
      <c r="N183" s="342"/>
      <c r="P183" s="18">
        <f t="shared" si="2"/>
        <v>0</v>
      </c>
      <c r="Q183" s="338"/>
      <c r="R183" s="344"/>
      <c r="S183" s="344"/>
      <c r="T183" s="344"/>
      <c r="U183" s="475"/>
    </row>
    <row r="184" spans="2:21" ht="13.2" customHeight="1" x14ac:dyDescent="0.25">
      <c r="B184" s="375"/>
      <c r="C184" s="351" t="s">
        <v>282</v>
      </c>
      <c r="D184" s="352" t="str">
        <f>HLOOKUP(Deckblatt!$C$12,Language!$C$1:$D$730,273,FALSE)</f>
        <v>Maßnahmen zur Reduzierung der Lichtverschmutzung</v>
      </c>
      <c r="E184" s="353"/>
      <c r="F184" s="485"/>
      <c r="G184" s="356"/>
      <c r="H184" s="21">
        <v>30</v>
      </c>
      <c r="I184" s="379"/>
      <c r="J184" s="340"/>
      <c r="K184" s="341"/>
      <c r="L184" s="341"/>
      <c r="M184" s="341"/>
      <c r="N184" s="342"/>
      <c r="P184" s="18">
        <f t="shared" si="2"/>
        <v>0</v>
      </c>
      <c r="Q184" s="338"/>
      <c r="R184" s="344"/>
      <c r="S184" s="344"/>
      <c r="T184" s="344"/>
      <c r="U184" s="475"/>
    </row>
    <row r="185" spans="2:21" x14ac:dyDescent="0.25">
      <c r="B185" s="375"/>
      <c r="C185" s="351"/>
      <c r="D185" s="361" t="s">
        <v>284</v>
      </c>
      <c r="E185" s="150" t="str">
        <f>HLOOKUP(Deckblatt!$C$12,Language!$C$1:$D$730,274,FALSE)</f>
        <v>Maßnahmen zur Reduzierung der Lichtverschmutzung</v>
      </c>
      <c r="F185" s="485"/>
      <c r="G185" s="356"/>
      <c r="H185" s="21">
        <v>30</v>
      </c>
      <c r="I185" s="379"/>
      <c r="J185" s="340"/>
      <c r="K185" s="341"/>
      <c r="L185" s="341"/>
      <c r="M185" s="341"/>
      <c r="N185" s="342"/>
      <c r="P185" s="18">
        <f t="shared" si="2"/>
        <v>0</v>
      </c>
      <c r="Q185" s="338"/>
      <c r="R185" s="344"/>
      <c r="S185" s="344"/>
      <c r="T185" s="344"/>
      <c r="U185" s="475"/>
    </row>
    <row r="186" spans="2:21" ht="39.6" x14ac:dyDescent="0.25">
      <c r="B186" s="375"/>
      <c r="C186" s="351"/>
      <c r="D186" s="361"/>
      <c r="E186" s="134" t="str">
        <f>HLOOKUP(Deckblatt!$C$12,Language!$C$1:$D$730,275,FALSE)</f>
        <v>Es gibt ein (umgesetztes) Beleuchtungskonzept, das explizit auf das Thema Lichtverschmutzung und deren Vermeidung eingeht  und v. a. eine möglichst geringe Raumaufhellung angrenzender Nutzungen berücksichtigt.</v>
      </c>
      <c r="F186" s="485"/>
      <c r="G186" s="69"/>
      <c r="H186" s="18">
        <v>8</v>
      </c>
      <c r="I186" s="379"/>
      <c r="J186" s="340"/>
      <c r="K186" s="341"/>
      <c r="L186" s="341"/>
      <c r="M186" s="341"/>
      <c r="N186" s="342"/>
      <c r="P186" s="18">
        <f t="shared" si="2"/>
        <v>0</v>
      </c>
      <c r="Q186" s="338"/>
      <c r="R186" s="344"/>
      <c r="S186" s="344"/>
      <c r="T186" s="344"/>
      <c r="U186" s="475"/>
    </row>
    <row r="187" spans="2:21" ht="39.6" x14ac:dyDescent="0.25">
      <c r="B187" s="375"/>
      <c r="C187" s="351"/>
      <c r="D187" s="361"/>
      <c r="E187" s="134" t="str">
        <f>HLOOKUP(Deckblatt!$C$12,Language!$C$1:$D$730,276,FALSE)</f>
        <v xml:space="preserve">Alle Leuchtmittel im Außenbereich sind derart gestaltet, das keine Lichtstreuung nach oben und zur Seite stattfindet.
</v>
      </c>
      <c r="F187" s="485"/>
      <c r="G187" s="69"/>
      <c r="H187" s="18">
        <v>8</v>
      </c>
      <c r="I187" s="379"/>
      <c r="J187" s="340"/>
      <c r="K187" s="341"/>
      <c r="L187" s="341"/>
      <c r="M187" s="341"/>
      <c r="N187" s="342"/>
      <c r="P187" s="18">
        <f t="shared" si="2"/>
        <v>0</v>
      </c>
      <c r="Q187" s="338"/>
      <c r="R187" s="344"/>
      <c r="S187" s="344"/>
      <c r="T187" s="344"/>
      <c r="U187" s="475"/>
    </row>
    <row r="188" spans="2:21" ht="39.6" x14ac:dyDescent="0.25">
      <c r="B188" s="375"/>
      <c r="C188" s="351"/>
      <c r="D188" s="361"/>
      <c r="E188" s="134" t="str">
        <f>HLOOKUP(Deckblatt!$C$12,Language!$C$1:$D$730,277,FALSE)</f>
        <v xml:space="preserve">Alle Leuchtmittel im Außenbereich verfügen über Lichtfarben und Orientierung die für den Artenschutz unschädlich sind.
</v>
      </c>
      <c r="F188" s="485"/>
      <c r="G188" s="69"/>
      <c r="H188" s="18">
        <v>8</v>
      </c>
      <c r="I188" s="379"/>
      <c r="J188" s="340"/>
      <c r="K188" s="341"/>
      <c r="L188" s="341"/>
      <c r="M188" s="341"/>
      <c r="N188" s="342"/>
      <c r="P188" s="18">
        <f t="shared" si="2"/>
        <v>0</v>
      </c>
      <c r="Q188" s="338"/>
      <c r="R188" s="344"/>
      <c r="S188" s="344"/>
      <c r="T188" s="344"/>
      <c r="U188" s="475"/>
    </row>
    <row r="189" spans="2:21" ht="26.4" x14ac:dyDescent="0.25">
      <c r="B189" s="375"/>
      <c r="C189" s="351"/>
      <c r="D189" s="361"/>
      <c r="E189" s="134" t="str">
        <f>HLOOKUP(Deckblatt!$C$12,Language!$C$1:$D$730,278,FALSE)</f>
        <v xml:space="preserve">Bei allen Leuchtmittel treten keine unerwünschten Blendeffekte auf
</v>
      </c>
      <c r="F189" s="485"/>
      <c r="G189" s="69"/>
      <c r="H189" s="18">
        <v>6</v>
      </c>
      <c r="I189" s="379"/>
      <c r="J189" s="340"/>
      <c r="K189" s="341"/>
      <c r="L189" s="341"/>
      <c r="M189" s="341"/>
      <c r="N189" s="342"/>
      <c r="P189" s="18">
        <f t="shared" si="2"/>
        <v>0</v>
      </c>
      <c r="Q189" s="338"/>
      <c r="R189" s="344"/>
      <c r="S189" s="344"/>
      <c r="T189" s="344"/>
      <c r="U189" s="475"/>
    </row>
    <row r="190" spans="2:21" x14ac:dyDescent="0.25">
      <c r="B190" s="55" t="s">
        <v>294</v>
      </c>
      <c r="C190" s="354" t="str">
        <f>HLOOKUP(Deckblatt!$C$12,Language!$C$1:$D$730,279,FALSE)</f>
        <v>Barrierefreiheit</v>
      </c>
      <c r="D190" s="354"/>
      <c r="E190" s="355"/>
      <c r="F190" s="56">
        <f>Q190</f>
        <v>0</v>
      </c>
      <c r="G190" s="364"/>
      <c r="H190" s="21">
        <v>100</v>
      </c>
      <c r="I190" s="137">
        <v>3</v>
      </c>
      <c r="J190" s="340"/>
      <c r="K190" s="341"/>
      <c r="L190" s="341"/>
      <c r="M190" s="341"/>
      <c r="N190" s="342"/>
      <c r="P190" s="18">
        <f t="shared" si="2"/>
        <v>0</v>
      </c>
      <c r="Q190" s="337">
        <f>SUM(P192,IF(SUM(P195:P198)&gt;20,20,SUM(P195:P198)),IF(SUM(P201:P212)&gt;15,15,SUM(P201:P212)),IF(SUM(P215:P222)&gt;10,10,SUM(P215:P222)),IF(SUM(P225:P229)&gt;8,8,SUM(P225:P229)),IF(P232+P233+P234&gt;4,4,P232+P233+P234),P237:P238,P240)</f>
        <v>0</v>
      </c>
      <c r="R190" s="343">
        <f>Q190/100</f>
        <v>0</v>
      </c>
      <c r="S190" s="344"/>
      <c r="T190" s="344"/>
      <c r="U190" s="475"/>
    </row>
    <row r="191" spans="2:21" ht="13.2" customHeight="1" x14ac:dyDescent="0.25">
      <c r="B191" s="375"/>
      <c r="C191" s="351" t="s">
        <v>54</v>
      </c>
      <c r="D191" s="352" t="str">
        <f>HLOOKUP(Deckblatt!$C$12,Language!$C$1:$D$730,280,FALSE)</f>
        <v>Barrierefreie Fläche</v>
      </c>
      <c r="E191" s="353"/>
      <c r="F191" s="363"/>
      <c r="G191" s="364"/>
      <c r="H191" s="21">
        <v>30</v>
      </c>
      <c r="I191" s="379"/>
      <c r="J191" s="340"/>
      <c r="K191" s="341"/>
      <c r="L191" s="341"/>
      <c r="M191" s="341"/>
      <c r="N191" s="342"/>
      <c r="P191" s="18">
        <f t="shared" si="2"/>
        <v>0</v>
      </c>
      <c r="Q191" s="338"/>
      <c r="R191" s="344"/>
      <c r="S191" s="344"/>
      <c r="T191" s="344"/>
      <c r="U191" s="475"/>
    </row>
    <row r="192" spans="2:21" ht="26.4" x14ac:dyDescent="0.25">
      <c r="B192" s="375"/>
      <c r="C192" s="351"/>
      <c r="D192" s="160" t="s">
        <v>58</v>
      </c>
      <c r="E192" s="134" t="str">
        <f>HLOOKUP(Deckblatt!$C$12,Language!$C$1:$D$730,281,FALSE)</f>
        <v xml:space="preserve">Index Barrierefreiheit
</v>
      </c>
      <c r="F192" s="363"/>
      <c r="G192" s="69"/>
      <c r="H192" s="18">
        <v>30</v>
      </c>
      <c r="I192" s="379"/>
      <c r="J192" s="340"/>
      <c r="K192" s="341"/>
      <c r="L192" s="341"/>
      <c r="M192" s="341"/>
      <c r="N192" s="342"/>
      <c r="P192" s="18">
        <f t="shared" si="2"/>
        <v>0</v>
      </c>
      <c r="Q192" s="338"/>
      <c r="R192" s="344"/>
      <c r="S192" s="344"/>
      <c r="T192" s="344"/>
      <c r="U192" s="475"/>
    </row>
    <row r="193" spans="2:21" ht="13.2" customHeight="1" x14ac:dyDescent="0.25">
      <c r="B193" s="375"/>
      <c r="C193" s="351" t="s">
        <v>61</v>
      </c>
      <c r="D193" s="352" t="str">
        <f>HLOOKUP(Deckblatt!$C$12,Language!$C$1:$D$730,282,FALSE)</f>
        <v>Erreichbarkeit der notwendigen Infrastruktur</v>
      </c>
      <c r="E193" s="353"/>
      <c r="F193" s="363"/>
      <c r="G193" s="356"/>
      <c r="H193" s="21">
        <v>20</v>
      </c>
      <c r="I193" s="379"/>
      <c r="J193" s="340"/>
      <c r="K193" s="341"/>
      <c r="L193" s="341"/>
      <c r="M193" s="341"/>
      <c r="N193" s="342"/>
      <c r="P193" s="18">
        <f t="shared" si="2"/>
        <v>0</v>
      </c>
      <c r="Q193" s="338"/>
      <c r="R193" s="344"/>
      <c r="S193" s="344"/>
      <c r="T193" s="344"/>
      <c r="U193" s="475"/>
    </row>
    <row r="194" spans="2:21" x14ac:dyDescent="0.25">
      <c r="B194" s="375"/>
      <c r="C194" s="351"/>
      <c r="D194" s="376" t="s">
        <v>63</v>
      </c>
      <c r="E194" s="150" t="str">
        <f>HLOOKUP(Deckblatt!$C$12,Language!$C$1:$D$730,283,FALSE)</f>
        <v>Lokale Einrichtungen</v>
      </c>
      <c r="F194" s="363"/>
      <c r="G194" s="356"/>
      <c r="H194" s="21">
        <v>20</v>
      </c>
      <c r="I194" s="379"/>
      <c r="J194" s="340"/>
      <c r="K194" s="341"/>
      <c r="L194" s="341"/>
      <c r="M194" s="341"/>
      <c r="N194" s="342"/>
      <c r="P194" s="18">
        <f t="shared" si="2"/>
        <v>0</v>
      </c>
      <c r="Q194" s="338"/>
      <c r="R194" s="344"/>
      <c r="S194" s="344"/>
      <c r="T194" s="344"/>
      <c r="U194" s="475"/>
    </row>
    <row r="195" spans="2:21" ht="39.6" x14ac:dyDescent="0.25">
      <c r="B195" s="375"/>
      <c r="C195" s="351"/>
      <c r="D195" s="376"/>
      <c r="E195" s="134" t="str">
        <f>HLOOKUP(Deckblatt!$C$12,Language!$C$1:$D$730,288,FALSE)</f>
        <v xml:space="preserve">Medizinische Versorgung: Allgemeinmediziner max. Gehdistanz 400m Luftlinie
</v>
      </c>
      <c r="F195" s="363"/>
      <c r="G195" s="69"/>
      <c r="H195" s="18">
        <v>5</v>
      </c>
      <c r="I195" s="379"/>
      <c r="J195" s="340"/>
      <c r="K195" s="341"/>
      <c r="L195" s="341"/>
      <c r="M195" s="341"/>
      <c r="N195" s="342"/>
      <c r="P195" s="18">
        <f t="shared" si="2"/>
        <v>0</v>
      </c>
      <c r="Q195" s="338"/>
      <c r="R195" s="344"/>
      <c r="S195" s="344"/>
      <c r="T195" s="344"/>
      <c r="U195" s="475"/>
    </row>
    <row r="196" spans="2:21" ht="26.4" x14ac:dyDescent="0.25">
      <c r="B196" s="375"/>
      <c r="C196" s="351"/>
      <c r="D196" s="376"/>
      <c r="E196" s="134" t="str">
        <f>HLOOKUP(Deckblatt!$C$12,Language!$C$1:$D$730,289,FALSE)</f>
        <v xml:space="preserve">Bus- oder Straßenbahnhaltestelle: max. Gehdistanz 200m Luftlinie
</v>
      </c>
      <c r="F196" s="363"/>
      <c r="G196" s="69"/>
      <c r="H196" s="18">
        <v>5</v>
      </c>
      <c r="I196" s="379"/>
      <c r="J196" s="340"/>
      <c r="K196" s="341"/>
      <c r="L196" s="341"/>
      <c r="M196" s="341"/>
      <c r="N196" s="342"/>
      <c r="P196" s="18">
        <f t="shared" si="2"/>
        <v>0</v>
      </c>
      <c r="Q196" s="338"/>
      <c r="R196" s="344"/>
      <c r="S196" s="344"/>
      <c r="T196" s="344"/>
      <c r="U196" s="475"/>
    </row>
    <row r="197" spans="2:21" ht="39.6" x14ac:dyDescent="0.25">
      <c r="B197" s="375"/>
      <c r="C197" s="351"/>
      <c r="D197" s="376"/>
      <c r="E197" s="134" t="str">
        <f>HLOOKUP(Deckblatt!$C$12,Language!$C$1:$D$730,290,FALSE)</f>
        <v xml:space="preserve">Gastronomie: Restaurant, Café, Kantine, Mensa, etc.
max. Gehdistanz 400 m Luftlinie
</v>
      </c>
      <c r="F197" s="363"/>
      <c r="G197" s="69"/>
      <c r="H197" s="18">
        <v>5</v>
      </c>
      <c r="I197" s="379"/>
      <c r="J197" s="340"/>
      <c r="K197" s="341"/>
      <c r="L197" s="341"/>
      <c r="M197" s="341"/>
      <c r="N197" s="342"/>
      <c r="P197" s="18">
        <f t="shared" si="2"/>
        <v>0</v>
      </c>
      <c r="Q197" s="338"/>
      <c r="R197" s="344"/>
      <c r="S197" s="344"/>
      <c r="T197" s="344"/>
      <c r="U197" s="475"/>
    </row>
    <row r="198" spans="2:21" ht="37.200000000000003" customHeight="1" x14ac:dyDescent="0.25">
      <c r="B198" s="375"/>
      <c r="C198" s="351"/>
      <c r="D198" s="376"/>
      <c r="E198" s="134" t="str">
        <f>HLOOKUP(Deckblatt!$C$12,Language!$C$1:$D$730,291,FALSE)</f>
        <v xml:space="preserve">Sanitäre Einrichtung: Behinderten WC max. Gehdistanz 200 m Luftlinie
</v>
      </c>
      <c r="F198" s="363"/>
      <c r="G198" s="69"/>
      <c r="H198" s="18">
        <v>5</v>
      </c>
      <c r="I198" s="379"/>
      <c r="J198" s="340"/>
      <c r="K198" s="341"/>
      <c r="L198" s="341"/>
      <c r="M198" s="341"/>
      <c r="N198" s="342"/>
      <c r="P198" s="18">
        <f t="shared" si="2"/>
        <v>0</v>
      </c>
      <c r="Q198" s="338"/>
      <c r="R198" s="344"/>
      <c r="S198" s="344"/>
      <c r="T198" s="344"/>
      <c r="U198" s="475"/>
    </row>
    <row r="199" spans="2:21" ht="13.2" customHeight="1" x14ac:dyDescent="0.25">
      <c r="B199" s="375"/>
      <c r="C199" s="351" t="s">
        <v>64</v>
      </c>
      <c r="D199" s="352" t="str">
        <f>HLOOKUP(Deckblatt!$C$12,Language!$C$1:$D$730,292,FALSE)</f>
        <v>Barrierefreiheit der Verkehrsflächen</v>
      </c>
      <c r="E199" s="353"/>
      <c r="F199" s="363"/>
      <c r="G199" s="356"/>
      <c r="H199" s="21">
        <v>15</v>
      </c>
      <c r="I199" s="379"/>
      <c r="J199" s="340"/>
      <c r="K199" s="341"/>
      <c r="L199" s="341"/>
      <c r="M199" s="341"/>
      <c r="N199" s="342"/>
      <c r="P199" s="18">
        <f t="shared" si="2"/>
        <v>0</v>
      </c>
      <c r="Q199" s="338"/>
      <c r="R199" s="344"/>
      <c r="S199" s="344"/>
      <c r="T199" s="344"/>
      <c r="U199" s="475"/>
    </row>
    <row r="200" spans="2:21" x14ac:dyDescent="0.25">
      <c r="B200" s="375"/>
      <c r="C200" s="351"/>
      <c r="D200" s="376" t="s">
        <v>66</v>
      </c>
      <c r="E200" s="150" t="str">
        <f>HLOOKUP(Deckblatt!$C$12,Language!$C$1:$D$730,293,FALSE)</f>
        <v>Barrierefreie Bewegungsflächen</v>
      </c>
      <c r="F200" s="363"/>
      <c r="G200" s="356"/>
      <c r="H200" s="21">
        <v>15</v>
      </c>
      <c r="I200" s="379"/>
      <c r="J200" s="340"/>
      <c r="K200" s="341"/>
      <c r="L200" s="341"/>
      <c r="M200" s="341"/>
      <c r="N200" s="342"/>
      <c r="P200" s="18">
        <f t="shared" si="2"/>
        <v>0</v>
      </c>
      <c r="Q200" s="338"/>
      <c r="R200" s="344"/>
      <c r="S200" s="344"/>
      <c r="T200" s="344"/>
      <c r="U200" s="475"/>
    </row>
    <row r="201" spans="2:21" ht="52.8" x14ac:dyDescent="0.25">
      <c r="B201" s="375"/>
      <c r="C201" s="351"/>
      <c r="D201" s="376"/>
      <c r="E201" s="134" t="str">
        <f>HLOOKUP(Deckblatt!$C$12,Language!$C$1:$D$730,294,FALSE)</f>
        <v xml:space="preserve">Breite der Bewegungsfläche auf Gehwegen im Umfeld von Schulen, Kinderbetreuungseinrichtungen, Freizeit- und Pflegeeinrichtungen, Einkaufszentren, bei Fußgängerüberwegen und Furten: 3 m
</v>
      </c>
      <c r="F201" s="363"/>
      <c r="G201" s="69"/>
      <c r="H201" s="18">
        <v>2</v>
      </c>
      <c r="I201" s="379"/>
      <c r="J201" s="340"/>
      <c r="K201" s="341"/>
      <c r="L201" s="341"/>
      <c r="M201" s="341"/>
      <c r="N201" s="342"/>
      <c r="P201" s="18">
        <f t="shared" si="2"/>
        <v>0</v>
      </c>
      <c r="Q201" s="338"/>
      <c r="R201" s="344"/>
      <c r="S201" s="344"/>
      <c r="T201" s="344"/>
      <c r="U201" s="475"/>
    </row>
    <row r="202" spans="2:21" ht="39.6" x14ac:dyDescent="0.25">
      <c r="B202" s="375"/>
      <c r="C202" s="351"/>
      <c r="D202" s="376"/>
      <c r="E202" s="134" t="str">
        <f>HLOOKUP(Deckblatt!$C$12,Language!$C$1:$D$730,295,FALSE)</f>
        <v xml:space="preserve">Breite der Bewegungsfläche von Gehwegen an der schmalsten Stelle (im Straßenraum und in Freiflächen): 1,5 m
</v>
      </c>
      <c r="F202" s="363"/>
      <c r="G202" s="69"/>
      <c r="H202" s="18">
        <v>2</v>
      </c>
      <c r="I202" s="379"/>
      <c r="J202" s="340"/>
      <c r="K202" s="341"/>
      <c r="L202" s="341"/>
      <c r="M202" s="341"/>
      <c r="N202" s="342"/>
      <c r="P202" s="18">
        <f t="shared" si="2"/>
        <v>0</v>
      </c>
      <c r="Q202" s="338"/>
      <c r="R202" s="344"/>
      <c r="S202" s="344"/>
      <c r="T202" s="344"/>
      <c r="U202" s="475"/>
    </row>
    <row r="203" spans="2:21" ht="39.6" x14ac:dyDescent="0.25">
      <c r="B203" s="375"/>
      <c r="C203" s="351"/>
      <c r="D203" s="376"/>
      <c r="E203" s="134" t="str">
        <f>HLOOKUP(Deckblatt!$C$12,Language!$C$1:$D$730,296,FALSE)</f>
        <v xml:space="preserve">Breite der Bewegungsfläche auf Nebengehwegen, in Durchgängen an Kassen und Kontrollen: 0,9 m
</v>
      </c>
      <c r="F203" s="363"/>
      <c r="G203" s="69"/>
      <c r="H203" s="18">
        <v>2</v>
      </c>
      <c r="I203" s="379"/>
      <c r="J203" s="340"/>
      <c r="K203" s="341"/>
      <c r="L203" s="341"/>
      <c r="M203" s="341"/>
      <c r="N203" s="342"/>
      <c r="P203" s="18">
        <f t="shared" ref="P203:P266" si="3">IF(G203&gt;H203,H203,G203)</f>
        <v>0</v>
      </c>
      <c r="Q203" s="338"/>
      <c r="R203" s="344"/>
      <c r="S203" s="344"/>
      <c r="T203" s="344"/>
      <c r="U203" s="475"/>
    </row>
    <row r="204" spans="2:21" ht="52.8" x14ac:dyDescent="0.25">
      <c r="B204" s="375"/>
      <c r="C204" s="351"/>
      <c r="D204" s="376"/>
      <c r="E204" s="134" t="str">
        <f>HLOOKUP(Deckblatt!$C$12,Language!$C$1:$D$730,297,FALSE)</f>
        <v xml:space="preserve">Verweilplätze vor öffentlichen Einrichtungen: 1,5x1,5 m
(z.B. als Wendemöglichkeit, als Ruhe- oder Verweilfläche, am Anfang und Ende einer Rampe, vor Haus- und Gebäudeeingängen etc.)
</v>
      </c>
      <c r="F204" s="363"/>
      <c r="G204" s="69"/>
      <c r="H204" s="18">
        <v>2</v>
      </c>
      <c r="I204" s="379"/>
      <c r="J204" s="340"/>
      <c r="K204" s="341"/>
      <c r="L204" s="341"/>
      <c r="M204" s="341"/>
      <c r="N204" s="342"/>
      <c r="P204" s="18">
        <f t="shared" si="3"/>
        <v>0</v>
      </c>
      <c r="Q204" s="338"/>
      <c r="R204" s="344"/>
      <c r="S204" s="344"/>
      <c r="T204" s="344"/>
      <c r="U204" s="475"/>
    </row>
    <row r="205" spans="2:21" ht="39.6" x14ac:dyDescent="0.25">
      <c r="B205" s="375"/>
      <c r="C205" s="351"/>
      <c r="D205" s="376"/>
      <c r="E205" s="134" t="str">
        <f>HLOOKUP(Deckblatt!$C$12,Language!$C$1:$D$730,298,FALSE)</f>
        <v xml:space="preserve">Bewegungsfläche innerhalb der Gehwege: 2,0 x 2,5 m (nach max. 18m, innerhalb der Sichtweite)
</v>
      </c>
      <c r="F205" s="363"/>
      <c r="G205" s="69"/>
      <c r="H205" s="18">
        <v>2</v>
      </c>
      <c r="I205" s="379"/>
      <c r="J205" s="340"/>
      <c r="K205" s="341"/>
      <c r="L205" s="341"/>
      <c r="M205" s="341"/>
      <c r="N205" s="342"/>
      <c r="P205" s="18">
        <f t="shared" si="3"/>
        <v>0</v>
      </c>
      <c r="Q205" s="338"/>
      <c r="R205" s="344"/>
      <c r="S205" s="344"/>
      <c r="T205" s="344"/>
      <c r="U205" s="475"/>
    </row>
    <row r="206" spans="2:21" ht="39.6" x14ac:dyDescent="0.25">
      <c r="B206" s="375"/>
      <c r="C206" s="351"/>
      <c r="D206" s="376"/>
      <c r="E206" s="134" t="str">
        <f>HLOOKUP(Deckblatt!$C$12,Language!$C$1:$D$730,299,FALSE)</f>
        <v xml:space="preserve">Gehwege mit Längsgefälle von 0-3% ausführen, wenn nötig bei 3-6 % Gefälle nur Verweilplätzen spätestens alle 10 m
</v>
      </c>
      <c r="F206" s="363"/>
      <c r="G206" s="69"/>
      <c r="H206" s="18">
        <v>2</v>
      </c>
      <c r="I206" s="379"/>
      <c r="J206" s="340"/>
      <c r="K206" s="341"/>
      <c r="L206" s="341"/>
      <c r="M206" s="341"/>
      <c r="N206" s="342"/>
      <c r="P206" s="18">
        <f t="shared" si="3"/>
        <v>0</v>
      </c>
      <c r="Q206" s="338"/>
      <c r="R206" s="344"/>
      <c r="S206" s="344"/>
      <c r="T206" s="344"/>
      <c r="U206" s="475"/>
    </row>
    <row r="207" spans="2:21" ht="39.6" x14ac:dyDescent="0.25">
      <c r="B207" s="375"/>
      <c r="C207" s="351"/>
      <c r="D207" s="376"/>
      <c r="E207" s="134" t="str">
        <f>HLOOKUP(Deckblatt!$C$12,Language!$C$1:$D$730,300,FALSE)</f>
        <v xml:space="preserve">Verkehrsberuhigter Straßenraum: Orientierung schaffen mittels taktil und optisch kontrastierendem Leitsystem
</v>
      </c>
      <c r="F207" s="363"/>
      <c r="G207" s="69"/>
      <c r="H207" s="18">
        <v>2</v>
      </c>
      <c r="I207" s="379"/>
      <c r="J207" s="340"/>
      <c r="K207" s="341"/>
      <c r="L207" s="341"/>
      <c r="M207" s="341"/>
      <c r="N207" s="342"/>
      <c r="P207" s="18">
        <f t="shared" si="3"/>
        <v>0</v>
      </c>
      <c r="Q207" s="338"/>
      <c r="R207" s="344"/>
      <c r="S207" s="344"/>
      <c r="T207" s="344"/>
      <c r="U207" s="475"/>
    </row>
    <row r="208" spans="2:21" ht="39.6" x14ac:dyDescent="0.25">
      <c r="B208" s="375"/>
      <c r="C208" s="351"/>
      <c r="D208" s="376"/>
      <c r="E208" s="134" t="str">
        <f>HLOOKUP(Deckblatt!$C$12,Language!$C$1:$D$730,301,FALSE)</f>
        <v xml:space="preserve">Zugang, Fußgängerüberweg und Furt mit abgesenktem Bürgersteig, senkrecht zur Straße, ohne Sichthindernisse
</v>
      </c>
      <c r="F208" s="363"/>
      <c r="G208" s="69"/>
      <c r="H208" s="18">
        <v>2</v>
      </c>
      <c r="I208" s="379"/>
      <c r="J208" s="340"/>
      <c r="K208" s="341"/>
      <c r="L208" s="341"/>
      <c r="M208" s="341"/>
      <c r="N208" s="342"/>
      <c r="P208" s="18">
        <f t="shared" si="3"/>
        <v>0</v>
      </c>
      <c r="Q208" s="338"/>
      <c r="R208" s="344"/>
      <c r="S208" s="344"/>
      <c r="T208" s="344"/>
      <c r="U208" s="475"/>
    </row>
    <row r="209" spans="2:21" ht="39.6" x14ac:dyDescent="0.25">
      <c r="B209" s="375"/>
      <c r="C209" s="351"/>
      <c r="D209" s="376"/>
      <c r="E209" s="134" t="str">
        <f>HLOOKUP(Deckblatt!$C$12,Language!$C$1:$D$730,302,FALSE)</f>
        <v xml:space="preserve">Unterschiedliche Ebenen sind mittels DIN-konformen Rampen oder Aufzügen zugängig zu machen (evtl. auch Fahrtreppe oder Fahrsteig).
</v>
      </c>
      <c r="F209" s="363"/>
      <c r="G209" s="69"/>
      <c r="H209" s="18">
        <v>2</v>
      </c>
      <c r="I209" s="379"/>
      <c r="J209" s="340"/>
      <c r="K209" s="341"/>
      <c r="L209" s="341"/>
      <c r="M209" s="341"/>
      <c r="N209" s="342"/>
      <c r="P209" s="18">
        <f t="shared" si="3"/>
        <v>0</v>
      </c>
      <c r="Q209" s="338"/>
      <c r="R209" s="344"/>
      <c r="S209" s="344"/>
      <c r="T209" s="344"/>
      <c r="U209" s="475"/>
    </row>
    <row r="210" spans="2:21" ht="52.8" x14ac:dyDescent="0.25">
      <c r="B210" s="375"/>
      <c r="C210" s="351"/>
      <c r="D210" s="376"/>
      <c r="E210" s="134" t="str">
        <f>HLOOKUP(Deckblatt!$C$12,Language!$C$1:$D$730,303,FALSE)</f>
        <v xml:space="preserve">Barrierefreie Haltestellen ÖPNV (zu überwindende Höhenunterschiede und Abstände ≤ 3 cm, Einstiegstellen markiert, Witterungsschutz, Bewegungsflächen nicht von Radwegen gequert)
</v>
      </c>
      <c r="F210" s="363"/>
      <c r="G210" s="69"/>
      <c r="H210" s="18">
        <v>2</v>
      </c>
      <c r="I210" s="379"/>
      <c r="J210" s="340"/>
      <c r="K210" s="341"/>
      <c r="L210" s="341"/>
      <c r="M210" s="341"/>
      <c r="N210" s="342"/>
      <c r="P210" s="18">
        <f t="shared" si="3"/>
        <v>0</v>
      </c>
      <c r="Q210" s="338"/>
      <c r="R210" s="344"/>
      <c r="S210" s="344"/>
      <c r="T210" s="344"/>
      <c r="U210" s="475"/>
    </row>
    <row r="211" spans="2:21" ht="66" x14ac:dyDescent="0.25">
      <c r="B211" s="375"/>
      <c r="C211" s="351"/>
      <c r="D211" s="376"/>
      <c r="E211"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11" s="363"/>
      <c r="G211" s="69"/>
      <c r="H211" s="18">
        <v>2</v>
      </c>
      <c r="I211" s="379"/>
      <c r="J211" s="340"/>
      <c r="K211" s="341"/>
      <c r="L211" s="341"/>
      <c r="M211" s="341"/>
      <c r="N211" s="342"/>
      <c r="P211" s="18">
        <f t="shared" si="3"/>
        <v>0</v>
      </c>
      <c r="Q211" s="338"/>
      <c r="R211" s="344"/>
      <c r="S211" s="344"/>
      <c r="T211" s="344"/>
      <c r="U211" s="475"/>
    </row>
    <row r="212" spans="2:21" ht="108.6" customHeight="1" x14ac:dyDescent="0.25">
      <c r="B212" s="375"/>
      <c r="C212" s="125"/>
      <c r="D212" s="161"/>
      <c r="E212" s="134" t="str">
        <f>HLOOKUP(Deckblatt!$C$12,Language!$C$1:$D$730,305,FALSE)</f>
        <v>Ausreichend behindertengerechte Pkw-Stellplätze in unmittelbarer Nähe der Arena (entsprechend der Gesamtkapazität der Arena: 
15.000 – 20.000 Besucher = mind. 30 Rollstuhlfahrer + mind. 10 Sehbehindert; 
20.000 – 30.000 Besucher = mind. 50 Rollstuhlfahrer + 12 Sehbehindert; 
30.000 – 50.000 = mind. 75 Rollstuhlfahrer + mind. 15 Sehbehindert; 
&gt; 50.000 Besucher = mind. 100 Rollstuhlfahrer + mind. 20 Sehbehindert)</v>
      </c>
      <c r="F212" s="363"/>
      <c r="G212" s="69"/>
      <c r="H212" s="18">
        <v>2</v>
      </c>
      <c r="I212" s="379"/>
      <c r="J212" s="340"/>
      <c r="K212" s="341"/>
      <c r="L212" s="341"/>
      <c r="M212" s="341"/>
      <c r="N212" s="342"/>
      <c r="P212" s="18">
        <f t="shared" si="3"/>
        <v>0</v>
      </c>
      <c r="Q212" s="338"/>
      <c r="R212" s="344"/>
      <c r="S212" s="344"/>
      <c r="T212" s="344"/>
      <c r="U212" s="475"/>
    </row>
    <row r="213" spans="2:21" ht="13.2" customHeight="1" x14ac:dyDescent="0.25">
      <c r="B213" s="375"/>
      <c r="C213" s="351" t="s">
        <v>67</v>
      </c>
      <c r="D213" s="352" t="str">
        <f>HLOOKUP(Deckblatt!$C$12,Language!$C$1:$D$730,306,FALSE)</f>
        <v>Visuelle Informationen im öffentlichen Raum</v>
      </c>
      <c r="E213" s="353"/>
      <c r="F213" s="363"/>
      <c r="G213" s="356"/>
      <c r="H213" s="21">
        <v>10</v>
      </c>
      <c r="I213" s="379"/>
      <c r="J213" s="340"/>
      <c r="K213" s="341"/>
      <c r="L213" s="341"/>
      <c r="M213" s="341"/>
      <c r="N213" s="342"/>
      <c r="P213" s="18">
        <f t="shared" si="3"/>
        <v>0</v>
      </c>
      <c r="Q213" s="338"/>
      <c r="R213" s="344"/>
      <c r="S213" s="344"/>
      <c r="T213" s="344"/>
      <c r="U213" s="475"/>
    </row>
    <row r="214" spans="2:21" x14ac:dyDescent="0.25">
      <c r="B214" s="375"/>
      <c r="C214" s="351"/>
      <c r="D214" s="376" t="s">
        <v>69</v>
      </c>
      <c r="E214" s="150" t="str">
        <f>HLOOKUP(Deckblatt!$C$12,Language!$C$1:$D$730,307,FALSE)</f>
        <v>Visuelle Informationselemente</v>
      </c>
      <c r="F214" s="363"/>
      <c r="G214" s="356"/>
      <c r="H214" s="21">
        <v>10</v>
      </c>
      <c r="I214" s="379"/>
      <c r="J214" s="340"/>
      <c r="K214" s="341"/>
      <c r="L214" s="341"/>
      <c r="M214" s="341"/>
      <c r="N214" s="342"/>
      <c r="P214" s="18">
        <f t="shared" si="3"/>
        <v>0</v>
      </c>
      <c r="Q214" s="338"/>
      <c r="R214" s="344"/>
      <c r="S214" s="344"/>
      <c r="T214" s="344"/>
      <c r="U214" s="475"/>
    </row>
    <row r="215" spans="2:21" ht="52.8" x14ac:dyDescent="0.25">
      <c r="B215" s="375"/>
      <c r="C215" s="351"/>
      <c r="D215" s="376"/>
      <c r="E215" s="134" t="str">
        <f>HLOOKUP(Deckblatt!$C$12,Language!$C$1:$D$730,308,FALSE)</f>
        <v xml:space="preserve">Einhaltung der vorgeschriebenen Kontraste bei Schrift- und Bildzeichen, besonders mit Notfall- und Warnfunktionen sowie bei Informationsträgern (Besondere Vorsicht bei Sonderlösungen!)
</v>
      </c>
      <c r="F215" s="363"/>
      <c r="G215" s="69"/>
      <c r="H215" s="18">
        <v>2</v>
      </c>
      <c r="I215" s="379"/>
      <c r="J215" s="340"/>
      <c r="K215" s="341"/>
      <c r="L215" s="341"/>
      <c r="M215" s="341"/>
      <c r="N215" s="342"/>
      <c r="P215" s="18">
        <f t="shared" si="3"/>
        <v>0</v>
      </c>
      <c r="Q215" s="338"/>
      <c r="R215" s="344"/>
      <c r="S215" s="344"/>
      <c r="T215" s="344"/>
      <c r="U215" s="475"/>
    </row>
    <row r="216" spans="2:21" ht="52.8" x14ac:dyDescent="0.25">
      <c r="B216" s="375"/>
      <c r="C216" s="351"/>
      <c r="D216" s="376"/>
      <c r="E216" s="134" t="str">
        <f>HLOOKUP(Deckblatt!$C$12,Language!$C$1:$D$730,309,FALSE)</f>
        <v xml:space="preserve">Realisierung einer gleichmäßigen, blendfreien Grundbeleuchtung mit akzentuierter Beleuchtung wichtiger Bereiche (z. B. Treppen) und möglicher Ziele (z. B. Informationstafeln)
</v>
      </c>
      <c r="F216" s="363"/>
      <c r="G216" s="69"/>
      <c r="H216" s="18">
        <v>2</v>
      </c>
      <c r="I216" s="379"/>
      <c r="J216" s="340"/>
      <c r="K216" s="341"/>
      <c r="L216" s="341"/>
      <c r="M216" s="341"/>
      <c r="N216" s="342"/>
      <c r="P216" s="18">
        <f t="shared" si="3"/>
        <v>0</v>
      </c>
      <c r="Q216" s="338"/>
      <c r="R216" s="344"/>
      <c r="S216" s="344"/>
      <c r="T216" s="344"/>
      <c r="U216" s="475"/>
    </row>
    <row r="217" spans="2:21" ht="26.4" x14ac:dyDescent="0.25">
      <c r="B217" s="375"/>
      <c r="C217" s="351"/>
      <c r="D217" s="376"/>
      <c r="E217" s="134" t="str">
        <f>HLOOKUP(Deckblatt!$C$12,Language!$C$1:$D$730,310,FALSE)</f>
        <v xml:space="preserve">Wahl hilfreicher Farbkombinationen von Sehobjekt und Umfeld
</v>
      </c>
      <c r="F217" s="363"/>
      <c r="G217" s="69"/>
      <c r="H217" s="18">
        <v>2</v>
      </c>
      <c r="I217" s="379"/>
      <c r="J217" s="340"/>
      <c r="K217" s="341"/>
      <c r="L217" s="341"/>
      <c r="M217" s="341"/>
      <c r="N217" s="342"/>
      <c r="P217" s="18">
        <f t="shared" si="3"/>
        <v>0</v>
      </c>
      <c r="Q217" s="338"/>
      <c r="R217" s="344"/>
      <c r="S217" s="344"/>
      <c r="T217" s="344"/>
      <c r="U217" s="475"/>
    </row>
    <row r="218" spans="2:21" ht="39.6" x14ac:dyDescent="0.25">
      <c r="B218" s="375"/>
      <c r="C218" s="351"/>
      <c r="D218" s="376"/>
      <c r="E218" s="134" t="str">
        <f>HLOOKUP(Deckblatt!$C$12,Language!$C$1:$D$730,311,FALSE)</f>
        <v xml:space="preserve">Einhaltung der Mindestzeichengröße in Abhängigkeit von der Beobachterentfernung
</v>
      </c>
      <c r="F218" s="363"/>
      <c r="G218" s="69"/>
      <c r="H218" s="18">
        <v>2</v>
      </c>
      <c r="I218" s="379"/>
      <c r="J218" s="340"/>
      <c r="K218" s="341"/>
      <c r="L218" s="341"/>
      <c r="M218" s="341"/>
      <c r="N218" s="342"/>
      <c r="P218" s="18">
        <f t="shared" si="3"/>
        <v>0</v>
      </c>
      <c r="Q218" s="338"/>
      <c r="R218" s="344"/>
      <c r="S218" s="344"/>
      <c r="T218" s="344"/>
      <c r="U218" s="475"/>
    </row>
    <row r="219" spans="2:21" ht="26.4" x14ac:dyDescent="0.25">
      <c r="B219" s="375"/>
      <c r="C219" s="351"/>
      <c r="D219" s="376"/>
      <c r="E219" s="134" t="str">
        <f>HLOOKUP(Deckblatt!$C$12,Language!$C$1:$D$730,312,FALSE)</f>
        <v xml:space="preserve">Anbringung und Beständigkeit visueller Informationen
</v>
      </c>
      <c r="F219" s="363"/>
      <c r="G219" s="69"/>
      <c r="H219" s="18">
        <v>2</v>
      </c>
      <c r="I219" s="379"/>
      <c r="J219" s="340"/>
      <c r="K219" s="341"/>
      <c r="L219" s="341"/>
      <c r="M219" s="341"/>
      <c r="N219" s="342"/>
      <c r="P219" s="18">
        <f t="shared" si="3"/>
        <v>0</v>
      </c>
      <c r="Q219" s="338"/>
      <c r="R219" s="344"/>
      <c r="S219" s="344"/>
      <c r="T219" s="344"/>
      <c r="U219" s="475"/>
    </row>
    <row r="220" spans="2:21" ht="39.6" x14ac:dyDescent="0.25">
      <c r="B220" s="375"/>
      <c r="C220" s="351"/>
      <c r="D220" s="376"/>
      <c r="E220" s="134" t="str">
        <f>HLOOKUP(Deckblatt!$C$12,Language!$C$1:$D$730,313,FALSE)</f>
        <v xml:space="preserve">Leichte Verständlichkeit und Eindeutigkeit (Verwendung leichter
Sprache)
</v>
      </c>
      <c r="F220" s="363"/>
      <c r="G220" s="69"/>
      <c r="H220" s="18">
        <v>2</v>
      </c>
      <c r="I220" s="379"/>
      <c r="J220" s="340"/>
      <c r="K220" s="341"/>
      <c r="L220" s="341"/>
      <c r="M220" s="341"/>
      <c r="N220" s="342"/>
      <c r="P220" s="18">
        <f t="shared" si="3"/>
        <v>0</v>
      </c>
      <c r="Q220" s="338"/>
      <c r="R220" s="344"/>
      <c r="S220" s="344"/>
      <c r="T220" s="344"/>
      <c r="U220" s="475"/>
    </row>
    <row r="221" spans="2:21" ht="39.6" x14ac:dyDescent="0.25">
      <c r="B221" s="375"/>
      <c r="C221" s="351"/>
      <c r="D221" s="376"/>
      <c r="E221" s="134" t="str">
        <f>HLOOKUP(Deckblatt!$C$12,Language!$C$1:$D$730,314,FALSE)</f>
        <v xml:space="preserve">Semantische Gruppierung (Informationselemente mit verwandten Inhalten sollten zu Gruppen räumlich zusammengefasst werden)
</v>
      </c>
      <c r="F221" s="363"/>
      <c r="G221" s="69"/>
      <c r="H221" s="18">
        <v>2</v>
      </c>
      <c r="I221" s="379"/>
      <c r="J221" s="340"/>
      <c r="K221" s="341"/>
      <c r="L221" s="341"/>
      <c r="M221" s="341"/>
      <c r="N221" s="342"/>
      <c r="P221" s="18">
        <f t="shared" si="3"/>
        <v>0</v>
      </c>
      <c r="Q221" s="338"/>
      <c r="R221" s="344"/>
      <c r="S221" s="344"/>
      <c r="T221" s="344"/>
      <c r="U221" s="475"/>
    </row>
    <row r="222" spans="2:21" ht="39.6" x14ac:dyDescent="0.25">
      <c r="B222" s="375"/>
      <c r="C222" s="351"/>
      <c r="D222" s="376"/>
      <c r="E222" s="134" t="str">
        <f>HLOOKUP(Deckblatt!$C$12,Language!$C$1:$D$730,315,FALSE)</f>
        <v xml:space="preserve">Informationselemente, die einen Fortbewegungsprozess steuern und begleiten, sollen eine kontinuierliche Informationskette bilden
</v>
      </c>
      <c r="F222" s="363"/>
      <c r="G222" s="69"/>
      <c r="H222" s="18">
        <v>2</v>
      </c>
      <c r="I222" s="379"/>
      <c r="J222" s="340"/>
      <c r="K222" s="341"/>
      <c r="L222" s="341"/>
      <c r="M222" s="341"/>
      <c r="N222" s="342"/>
      <c r="P222" s="18">
        <f t="shared" si="3"/>
        <v>0</v>
      </c>
      <c r="Q222" s="338"/>
      <c r="R222" s="344"/>
      <c r="S222" s="344"/>
      <c r="T222" s="344"/>
      <c r="U222" s="475"/>
    </row>
    <row r="223" spans="2:21" ht="13.2" customHeight="1" x14ac:dyDescent="0.25">
      <c r="B223" s="375"/>
      <c r="C223" s="351" t="s">
        <v>154</v>
      </c>
      <c r="D223" s="352" t="str">
        <f>HLOOKUP(Deckblatt!$C$12,Language!$C$1:$D$730,316,FALSE)</f>
        <v>Bodenindikatoren im öffentlichen Raum</v>
      </c>
      <c r="E223" s="353"/>
      <c r="F223" s="363"/>
      <c r="G223" s="356"/>
      <c r="H223" s="21">
        <v>8</v>
      </c>
      <c r="I223" s="379"/>
      <c r="J223" s="340"/>
      <c r="K223" s="341"/>
      <c r="L223" s="341"/>
      <c r="M223" s="341"/>
      <c r="N223" s="342"/>
      <c r="P223" s="18">
        <f t="shared" si="3"/>
        <v>0</v>
      </c>
      <c r="Q223" s="338"/>
      <c r="R223" s="344"/>
      <c r="S223" s="344"/>
      <c r="T223" s="344"/>
      <c r="U223" s="475"/>
    </row>
    <row r="224" spans="2:21" x14ac:dyDescent="0.25">
      <c r="B224" s="375"/>
      <c r="C224" s="351"/>
      <c r="D224" s="376" t="s">
        <v>156</v>
      </c>
      <c r="E224" s="150" t="str">
        <f>HLOOKUP(Deckblatt!$C$12,Language!$C$1:$D$730,317,FALSE)</f>
        <v>Oberflächenschutzmaßnahmen</v>
      </c>
      <c r="F224" s="363"/>
      <c r="G224" s="356"/>
      <c r="H224" s="21">
        <v>8</v>
      </c>
      <c r="I224" s="379"/>
      <c r="J224" s="340"/>
      <c r="K224" s="341"/>
      <c r="L224" s="341"/>
      <c r="M224" s="341"/>
      <c r="N224" s="342"/>
      <c r="P224" s="18">
        <f t="shared" si="3"/>
        <v>0</v>
      </c>
      <c r="Q224" s="338"/>
      <c r="R224" s="344"/>
      <c r="S224" s="344"/>
      <c r="T224" s="344"/>
      <c r="U224" s="475"/>
    </row>
    <row r="225" spans="2:21" ht="26.4" x14ac:dyDescent="0.25">
      <c r="B225" s="375"/>
      <c r="C225" s="351"/>
      <c r="D225" s="376"/>
      <c r="E225" s="134" t="str">
        <f>HLOOKUP(Deckblatt!$C$12,Language!$C$1:$D$730,318,FALSE)</f>
        <v>Eine einheitliche Orientierung der Oberflächenstruktur z. B. an Querungsstellen</v>
      </c>
      <c r="F225" s="363"/>
      <c r="G225" s="69"/>
      <c r="H225" s="18">
        <v>2</v>
      </c>
      <c r="I225" s="379"/>
      <c r="J225" s="340"/>
      <c r="K225" s="341"/>
      <c r="L225" s="341"/>
      <c r="M225" s="341"/>
      <c r="N225" s="342"/>
      <c r="P225" s="18">
        <f t="shared" si="3"/>
        <v>0</v>
      </c>
      <c r="Q225" s="338"/>
      <c r="R225" s="344"/>
      <c r="S225" s="344"/>
      <c r="T225" s="344"/>
      <c r="U225" s="475"/>
    </row>
    <row r="226" spans="2:21" ht="26.4" x14ac:dyDescent="0.25">
      <c r="B226" s="375"/>
      <c r="C226" s="351"/>
      <c r="D226" s="376"/>
      <c r="E226" s="134" t="str">
        <f>HLOOKUP(Deckblatt!$C$12,Language!$C$1:$D$730,319,FALSE)</f>
        <v xml:space="preserve">Systematische Wiederkehrbarkeit
</v>
      </c>
      <c r="F226" s="363"/>
      <c r="G226" s="69"/>
      <c r="H226" s="18">
        <v>2</v>
      </c>
      <c r="I226" s="379"/>
      <c r="J226" s="340"/>
      <c r="K226" s="341"/>
      <c r="L226" s="341"/>
      <c r="M226" s="341"/>
      <c r="N226" s="342"/>
      <c r="P226" s="18">
        <f t="shared" si="3"/>
        <v>0</v>
      </c>
      <c r="Q226" s="338"/>
      <c r="R226" s="344"/>
      <c r="S226" s="344"/>
      <c r="T226" s="344"/>
      <c r="U226" s="475"/>
    </row>
    <row r="227" spans="2:21" ht="26.4" x14ac:dyDescent="0.25">
      <c r="B227" s="375"/>
      <c r="C227" s="351"/>
      <c r="D227" s="376"/>
      <c r="E227" s="134" t="str">
        <f>HLOOKUP(Deckblatt!$C$12,Language!$C$1:$D$730,320,FALSE)</f>
        <v xml:space="preserve">Rutschhemmende Eigenschaften
</v>
      </c>
      <c r="F227" s="363"/>
      <c r="G227" s="69"/>
      <c r="H227" s="18">
        <v>2</v>
      </c>
      <c r="I227" s="379"/>
      <c r="J227" s="340"/>
      <c r="K227" s="341"/>
      <c r="L227" s="341"/>
      <c r="M227" s="341"/>
      <c r="N227" s="342"/>
      <c r="P227" s="18">
        <f t="shared" si="3"/>
        <v>0</v>
      </c>
      <c r="Q227" s="338"/>
      <c r="R227" s="344"/>
      <c r="S227" s="344"/>
      <c r="T227" s="344"/>
      <c r="U227" s="475"/>
    </row>
    <row r="228" spans="2:21" ht="26.4" x14ac:dyDescent="0.25">
      <c r="B228" s="375"/>
      <c r="C228" s="351"/>
      <c r="D228" s="376"/>
      <c r="E228" s="134" t="str">
        <f>HLOOKUP(Deckblatt!$C$12,Language!$C$1:$D$730,321,FALSE)</f>
        <v xml:space="preserve">Kontrastierende Begleitstreifen mit Leuchtdichtekontrast (K&gt; 0,4)
</v>
      </c>
      <c r="F228" s="363"/>
      <c r="G228" s="69"/>
      <c r="H228" s="18">
        <v>2</v>
      </c>
      <c r="I228" s="379"/>
      <c r="J228" s="340"/>
      <c r="K228" s="341"/>
      <c r="L228" s="341"/>
      <c r="M228" s="341"/>
      <c r="N228" s="342"/>
      <c r="P228" s="18">
        <f t="shared" si="3"/>
        <v>0</v>
      </c>
      <c r="Q228" s="338"/>
      <c r="R228" s="344"/>
      <c r="S228" s="344"/>
      <c r="T228" s="344"/>
      <c r="U228" s="475"/>
    </row>
    <row r="229" spans="2:21" ht="26.4" x14ac:dyDescent="0.25">
      <c r="B229" s="375"/>
      <c r="C229" s="351"/>
      <c r="D229" s="376"/>
      <c r="E229" s="134" t="str">
        <f>HLOOKUP(Deckblatt!$C$12,Language!$C$1:$D$730,322,FALSE)</f>
        <v xml:space="preserve">Sicherheitsabstand zur Bordsteinkante
</v>
      </c>
      <c r="F229" s="363"/>
      <c r="G229" s="69"/>
      <c r="H229" s="18">
        <v>2</v>
      </c>
      <c r="I229" s="379"/>
      <c r="J229" s="340"/>
      <c r="K229" s="341"/>
      <c r="L229" s="341"/>
      <c r="M229" s="341"/>
      <c r="N229" s="342"/>
      <c r="P229" s="18">
        <f t="shared" si="3"/>
        <v>0</v>
      </c>
      <c r="Q229" s="338"/>
      <c r="R229" s="344"/>
      <c r="S229" s="344"/>
      <c r="T229" s="344"/>
      <c r="U229" s="475"/>
    </row>
    <row r="230" spans="2:21" ht="13.2" customHeight="1" x14ac:dyDescent="0.25">
      <c r="B230" s="375"/>
      <c r="C230" s="351" t="s">
        <v>157</v>
      </c>
      <c r="D230" s="352" t="str">
        <f>HLOOKUP(Deckblatt!$C$12,Language!$C$1:$D$730,323,FALSE)</f>
        <v>Zusatzeinrichtung für Blinde</v>
      </c>
      <c r="E230" s="353"/>
      <c r="F230" s="363"/>
      <c r="G230" s="356"/>
      <c r="H230" s="21">
        <v>4</v>
      </c>
      <c r="I230" s="379"/>
      <c r="J230" s="340"/>
      <c r="K230" s="341"/>
      <c r="L230" s="341"/>
      <c r="M230" s="341"/>
      <c r="N230" s="342"/>
      <c r="P230" s="18">
        <f t="shared" si="3"/>
        <v>0</v>
      </c>
      <c r="Q230" s="338"/>
      <c r="R230" s="344"/>
      <c r="S230" s="344"/>
      <c r="T230" s="344"/>
      <c r="U230" s="475"/>
    </row>
    <row r="231" spans="2:21" x14ac:dyDescent="0.25">
      <c r="B231" s="375"/>
      <c r="C231" s="351"/>
      <c r="D231" s="376" t="s">
        <v>159</v>
      </c>
      <c r="E231" s="150" t="str">
        <f>HLOOKUP(Deckblatt!$C$12,Language!$C$1:$D$730,324,FALSE)</f>
        <v>Signalanlagen im Straßenverkehr</v>
      </c>
      <c r="F231" s="363"/>
      <c r="G231" s="356"/>
      <c r="H231" s="21">
        <v>4</v>
      </c>
      <c r="I231" s="379"/>
      <c r="J231" s="340"/>
      <c r="K231" s="341"/>
      <c r="L231" s="341"/>
      <c r="M231" s="341"/>
      <c r="N231" s="342"/>
      <c r="P231" s="18">
        <f t="shared" si="3"/>
        <v>0</v>
      </c>
      <c r="Q231" s="338"/>
      <c r="R231" s="344"/>
      <c r="S231" s="344"/>
      <c r="T231" s="344"/>
      <c r="U231" s="475"/>
    </row>
    <row r="232" spans="2:21" ht="39.6" x14ac:dyDescent="0.25">
      <c r="B232" s="375"/>
      <c r="C232" s="351"/>
      <c r="D232" s="376"/>
      <c r="E232" s="134" t="str">
        <f>HLOOKUP(Deckblatt!$C$12,Language!$C$1:$D$730,325,FALSE)</f>
        <v xml:space="preserve">Erleichtertes Auffinden der Fußgängerfurt sowie des Signalgebermastes mittels Anforderungstaster und taktiler Zeichen
</v>
      </c>
      <c r="F232" s="363"/>
      <c r="G232" s="69"/>
      <c r="H232" s="18">
        <v>2</v>
      </c>
      <c r="I232" s="379"/>
      <c r="J232" s="340"/>
      <c r="K232" s="341"/>
      <c r="L232" s="341"/>
      <c r="M232" s="341"/>
      <c r="N232" s="342"/>
      <c r="P232" s="18">
        <f t="shared" si="3"/>
        <v>0</v>
      </c>
      <c r="Q232" s="338"/>
      <c r="R232" s="344"/>
      <c r="S232" s="344"/>
      <c r="T232" s="344"/>
      <c r="U232" s="475"/>
    </row>
    <row r="233" spans="2:21" ht="26.4" x14ac:dyDescent="0.25">
      <c r="B233" s="375"/>
      <c r="C233" s="351"/>
      <c r="D233" s="376"/>
      <c r="E233" s="134" t="str">
        <f>HLOOKUP(Deckblatt!$C$12,Language!$C$1:$D$730,326,FALSE)</f>
        <v xml:space="preserve">Erkennbarkeit des Freigabesignals für die Fußgängerfurt
</v>
      </c>
      <c r="F233" s="363"/>
      <c r="G233" s="69"/>
      <c r="H233" s="18">
        <v>2</v>
      </c>
      <c r="I233" s="379"/>
      <c r="J233" s="340"/>
      <c r="K233" s="341"/>
      <c r="L233" s="341"/>
      <c r="M233" s="341"/>
      <c r="N233" s="342"/>
      <c r="P233" s="18">
        <f t="shared" si="3"/>
        <v>0</v>
      </c>
      <c r="Q233" s="338"/>
      <c r="R233" s="344"/>
      <c r="S233" s="344"/>
      <c r="T233" s="344"/>
      <c r="U233" s="475"/>
    </row>
    <row r="234" spans="2:21" ht="26.4" x14ac:dyDescent="0.25">
      <c r="B234" s="375"/>
      <c r="C234" s="351"/>
      <c r="D234" s="376"/>
      <c r="E234" s="134" t="str">
        <f>HLOOKUP(Deckblatt!$C$12,Language!$C$1:$D$730,327,FALSE)</f>
        <v xml:space="preserve">Sicheres und gradliniges Überqueren der Straße möglich
</v>
      </c>
      <c r="F234" s="363"/>
      <c r="G234" s="69"/>
      <c r="H234" s="18">
        <v>2</v>
      </c>
      <c r="I234" s="379"/>
      <c r="J234" s="340"/>
      <c r="K234" s="341"/>
      <c r="L234" s="341"/>
      <c r="M234" s="341"/>
      <c r="N234" s="342"/>
      <c r="P234" s="18">
        <f t="shared" si="3"/>
        <v>0</v>
      </c>
      <c r="Q234" s="338"/>
      <c r="R234" s="344"/>
      <c r="S234" s="344"/>
      <c r="T234" s="344"/>
      <c r="U234" s="475"/>
    </row>
    <row r="235" spans="2:21" ht="13.2" customHeight="1" x14ac:dyDescent="0.25">
      <c r="B235" s="375"/>
      <c r="C235" s="351" t="s">
        <v>282</v>
      </c>
      <c r="D235" s="352" t="str">
        <f>HLOOKUP(Deckblatt!$C$12,Language!$C$1:$D$730,328,FALSE)</f>
        <v>Planungsgrundlagen</v>
      </c>
      <c r="E235" s="353"/>
      <c r="F235" s="363"/>
      <c r="G235" s="356"/>
      <c r="H235" s="21">
        <v>3</v>
      </c>
      <c r="I235" s="379"/>
      <c r="J235" s="340"/>
      <c r="K235" s="341"/>
      <c r="L235" s="341"/>
      <c r="M235" s="341"/>
      <c r="N235" s="342"/>
      <c r="P235" s="18">
        <f t="shared" si="3"/>
        <v>0</v>
      </c>
      <c r="Q235" s="338"/>
      <c r="R235" s="344"/>
      <c r="S235" s="344"/>
      <c r="T235" s="344"/>
      <c r="U235" s="475"/>
    </row>
    <row r="236" spans="2:21" x14ac:dyDescent="0.25">
      <c r="B236" s="375"/>
      <c r="C236" s="351"/>
      <c r="D236" s="376" t="s">
        <v>284</v>
      </c>
      <c r="E236" s="150" t="str">
        <f>HLOOKUP(Deckblatt!$C$12,Language!$C$1:$D$730,329,FALSE)</f>
        <v>Leuchtdichtekontrast &amp; Zwei-Sinne-Prinzip</v>
      </c>
      <c r="F236" s="363"/>
      <c r="G236" s="356"/>
      <c r="H236" s="21">
        <v>3</v>
      </c>
      <c r="I236" s="379"/>
      <c r="J236" s="340"/>
      <c r="K236" s="341"/>
      <c r="L236" s="341"/>
      <c r="M236" s="341"/>
      <c r="N236" s="342"/>
      <c r="P236" s="18">
        <f t="shared" si="3"/>
        <v>0</v>
      </c>
      <c r="Q236" s="338"/>
      <c r="R236" s="344"/>
      <c r="S236" s="344"/>
      <c r="T236" s="344"/>
      <c r="U236" s="475"/>
    </row>
    <row r="237" spans="2:21" ht="52.8" x14ac:dyDescent="0.25">
      <c r="B237" s="375"/>
      <c r="C237" s="351"/>
      <c r="D237" s="376"/>
      <c r="E237" s="134" t="str">
        <f>HLOOKUP(Deckblatt!$C$12,Language!$C$1:$D$730,330,FALSE)</f>
        <v xml:space="preserve">Leuchtdichtekontrast (relativer Leuchtdichteunterschied benachbarter Flächen; kann durch Farbgebung unterstützt werden) Systematische Wiederkehrbarkeit
</v>
      </c>
      <c r="F237" s="363"/>
      <c r="G237" s="69"/>
      <c r="H237" s="18">
        <v>1</v>
      </c>
      <c r="I237" s="379"/>
      <c r="J237" s="340"/>
      <c r="K237" s="341"/>
      <c r="L237" s="341"/>
      <c r="M237" s="341"/>
      <c r="N237" s="342"/>
      <c r="P237" s="18">
        <f t="shared" si="3"/>
        <v>0</v>
      </c>
      <c r="Q237" s="338"/>
      <c r="R237" s="344"/>
      <c r="S237" s="344"/>
      <c r="T237" s="344"/>
      <c r="U237" s="475"/>
    </row>
    <row r="238" spans="2:21" ht="39.6" x14ac:dyDescent="0.25">
      <c r="B238" s="375"/>
      <c r="C238" s="351"/>
      <c r="D238" s="376"/>
      <c r="E238" s="134" t="str">
        <f>HLOOKUP(Deckblatt!$C$12,Language!$C$1:$D$730,331,FALSE)</f>
        <v xml:space="preserve">Zwei-Sinne-Prinzip: gleichzeitige Vermittlung von Informationen für zwei Sinne (visuell, taktil und auditiv)
</v>
      </c>
      <c r="F238" s="363"/>
      <c r="G238" s="69"/>
      <c r="H238" s="18">
        <v>2</v>
      </c>
      <c r="I238" s="379"/>
      <c r="J238" s="340"/>
      <c r="K238" s="341"/>
      <c r="L238" s="341"/>
      <c r="M238" s="341"/>
      <c r="N238" s="342"/>
      <c r="P238" s="18">
        <f t="shared" si="3"/>
        <v>0</v>
      </c>
      <c r="Q238" s="338"/>
      <c r="R238" s="344"/>
      <c r="S238" s="344"/>
      <c r="T238" s="344"/>
      <c r="U238" s="475"/>
    </row>
    <row r="239" spans="2:21" ht="13.2" customHeight="1" x14ac:dyDescent="0.25">
      <c r="B239" s="375"/>
      <c r="C239" s="351">
        <v>8</v>
      </c>
      <c r="D239" s="352" t="str">
        <f>HLOOKUP(Deckblatt!$C$12,Language!$C$1:$D$730,332,FALSE)</f>
        <v>Behindertenplätze</v>
      </c>
      <c r="E239" s="353"/>
      <c r="F239" s="363"/>
      <c r="G239" s="129"/>
      <c r="H239" s="21">
        <v>10</v>
      </c>
      <c r="I239" s="379"/>
      <c r="J239" s="340"/>
      <c r="K239" s="341"/>
      <c r="L239" s="341"/>
      <c r="M239" s="341"/>
      <c r="N239" s="342"/>
      <c r="P239" s="18">
        <f t="shared" si="3"/>
        <v>0</v>
      </c>
      <c r="Q239" s="338"/>
      <c r="R239" s="344"/>
      <c r="S239" s="344"/>
      <c r="T239" s="344"/>
      <c r="U239" s="475"/>
    </row>
    <row r="240" spans="2:21" ht="19.2" customHeight="1" x14ac:dyDescent="0.25">
      <c r="B240" s="375"/>
      <c r="C240" s="351"/>
      <c r="D240" s="160" t="s">
        <v>287</v>
      </c>
      <c r="E240" s="150" t="str">
        <f>HLOOKUP(Deckblatt!$C$12,Language!$C$1:$D$730,333,FALSE)</f>
        <v xml:space="preserve">Leuchtdichtekontrast &amp; Zwei-Sinne-Prinzip
</v>
      </c>
      <c r="F240" s="363"/>
      <c r="G240" s="69"/>
      <c r="H240" s="21">
        <v>10</v>
      </c>
      <c r="I240" s="379"/>
      <c r="J240" s="340"/>
      <c r="K240" s="341"/>
      <c r="L240" s="341"/>
      <c r="M240" s="341"/>
      <c r="N240" s="342"/>
      <c r="P240" s="18">
        <f t="shared" si="3"/>
        <v>0</v>
      </c>
      <c r="Q240" s="338"/>
      <c r="R240" s="344"/>
      <c r="S240" s="344"/>
      <c r="T240" s="344"/>
      <c r="U240" s="475"/>
    </row>
    <row r="241" spans="2:21" x14ac:dyDescent="0.25">
      <c r="B241" s="55" t="s">
        <v>346</v>
      </c>
      <c r="C241" s="354" t="str">
        <f>HLOOKUP(Deckblatt!$C$12,Language!$C$1:$D$730,338,FALSE)</f>
        <v>Städtebau</v>
      </c>
      <c r="D241" s="354"/>
      <c r="E241" s="355"/>
      <c r="F241" s="66">
        <f>Q241</f>
        <v>0</v>
      </c>
      <c r="G241" s="372"/>
      <c r="H241" s="21">
        <v>100</v>
      </c>
      <c r="I241" s="176">
        <v>3</v>
      </c>
      <c r="J241" s="340"/>
      <c r="K241" s="341"/>
      <c r="L241" s="341"/>
      <c r="M241" s="341"/>
      <c r="N241" s="342"/>
      <c r="P241" s="18">
        <f t="shared" si="3"/>
        <v>0</v>
      </c>
      <c r="Q241" s="337">
        <f>SUM(SUM(P244:P259),IF(SUM(P261:P263)&gt;30,30,SUM(P261:P263)))</f>
        <v>0</v>
      </c>
      <c r="R241" s="343">
        <f>Q241/100</f>
        <v>0</v>
      </c>
      <c r="S241" s="344"/>
      <c r="T241" s="344"/>
      <c r="U241" s="475"/>
    </row>
    <row r="242" spans="2:21" ht="13.2" customHeight="1" x14ac:dyDescent="0.25">
      <c r="B242" s="375"/>
      <c r="C242" s="351" t="s">
        <v>54</v>
      </c>
      <c r="D242" s="352" t="str">
        <f>HLOOKUP(Deckblatt!$C$12,Language!$C$1:$D$730,339,FALSE)</f>
        <v>Städtebauliche Einbindung</v>
      </c>
      <c r="E242" s="353"/>
      <c r="F242" s="363"/>
      <c r="G242" s="373"/>
      <c r="H242" s="21">
        <v>50</v>
      </c>
      <c r="I242" s="379"/>
      <c r="J242" s="340"/>
      <c r="K242" s="341"/>
      <c r="L242" s="341"/>
      <c r="M242" s="341"/>
      <c r="N242" s="342"/>
      <c r="P242" s="18">
        <f t="shared" si="3"/>
        <v>0</v>
      </c>
      <c r="Q242" s="338"/>
      <c r="R242" s="344"/>
      <c r="S242" s="344"/>
      <c r="T242" s="344"/>
      <c r="U242" s="475"/>
    </row>
    <row r="243" spans="2:21" x14ac:dyDescent="0.25">
      <c r="B243" s="375"/>
      <c r="C243" s="351"/>
      <c r="D243" s="376" t="s">
        <v>58</v>
      </c>
      <c r="E243" s="150" t="str">
        <f>HLOOKUP(Deckblatt!$C$12,Language!$C$1:$D$730,340,FALSE)</f>
        <v>Einbindung in die Stadtgestalt und Stadtstruktur</v>
      </c>
      <c r="F243" s="363"/>
      <c r="G243" s="374"/>
      <c r="H243" s="21">
        <v>20</v>
      </c>
      <c r="I243" s="379"/>
      <c r="J243" s="340"/>
      <c r="K243" s="341"/>
      <c r="L243" s="341"/>
      <c r="M243" s="341"/>
      <c r="N243" s="342"/>
      <c r="P243" s="18">
        <f t="shared" si="3"/>
        <v>0</v>
      </c>
      <c r="Q243" s="338"/>
      <c r="R243" s="344"/>
      <c r="S243" s="344"/>
      <c r="T243" s="344"/>
      <c r="U243" s="475"/>
    </row>
    <row r="244" spans="2:21" ht="26.4" x14ac:dyDescent="0.25">
      <c r="B244" s="375"/>
      <c r="C244" s="351"/>
      <c r="D244" s="376"/>
      <c r="E244" s="134" t="str">
        <f>HLOOKUP(Deckblatt!$C$12,Language!$C$1:$D$730,341,FALSE)</f>
        <v xml:space="preserve">Es liegt eine Analyse/Bestandsuntersuchung vor.
</v>
      </c>
      <c r="F244" s="363"/>
      <c r="G244" s="69"/>
      <c r="H244" s="18">
        <v>10</v>
      </c>
      <c r="I244" s="379"/>
      <c r="J244" s="340"/>
      <c r="K244" s="341"/>
      <c r="L244" s="341"/>
      <c r="M244" s="341"/>
      <c r="N244" s="342"/>
      <c r="P244" s="18">
        <f t="shared" si="3"/>
        <v>0</v>
      </c>
      <c r="Q244" s="338"/>
      <c r="R244" s="344"/>
      <c r="S244" s="344"/>
      <c r="T244" s="344"/>
      <c r="U244" s="475"/>
    </row>
    <row r="245" spans="2:21" ht="52.8" x14ac:dyDescent="0.25">
      <c r="B245" s="375"/>
      <c r="C245" s="351"/>
      <c r="D245" s="376"/>
      <c r="E245" s="134" t="str">
        <f>HLOOKUP(Deckblatt!$C$12,Language!$C$1:$D$730,342,FALSE)</f>
        <v xml:space="preserve">Die Einbindung des Projekts in die Stadtgestalt und Stadtstruktur wird im städtebaulichen Konzept nachvollziehbar aus den Erkenntnissen der Analyse/Bestandsuntersuchung hergeleitet
</v>
      </c>
      <c r="F245" s="363"/>
      <c r="G245" s="69"/>
      <c r="H245" s="18">
        <v>10</v>
      </c>
      <c r="I245" s="379"/>
      <c r="J245" s="340"/>
      <c r="K245" s="341"/>
      <c r="L245" s="341"/>
      <c r="M245" s="341"/>
      <c r="N245" s="342"/>
      <c r="P245" s="18">
        <f t="shared" si="3"/>
        <v>0</v>
      </c>
      <c r="Q245" s="338"/>
      <c r="R245" s="344"/>
      <c r="S245" s="344"/>
      <c r="T245" s="344"/>
      <c r="U245" s="475"/>
    </row>
    <row r="246" spans="2:21" x14ac:dyDescent="0.25">
      <c r="B246" s="375"/>
      <c r="C246" s="351"/>
      <c r="D246" s="376" t="s">
        <v>181</v>
      </c>
      <c r="E246" s="150" t="str">
        <f>HLOOKUP(Deckblatt!$C$12,Language!$C$1:$D$730,343,FALSE)</f>
        <v>Einbindung in das Erschließungsnetz</v>
      </c>
      <c r="F246" s="363"/>
      <c r="G246" s="113"/>
      <c r="H246" s="21">
        <v>10</v>
      </c>
      <c r="I246" s="379"/>
      <c r="J246" s="340"/>
      <c r="K246" s="341"/>
      <c r="L246" s="341"/>
      <c r="M246" s="341"/>
      <c r="N246" s="342"/>
      <c r="P246" s="18">
        <f t="shared" si="3"/>
        <v>0</v>
      </c>
      <c r="Q246" s="338"/>
      <c r="R246" s="344"/>
      <c r="S246" s="344"/>
      <c r="T246" s="344"/>
      <c r="U246" s="475"/>
    </row>
    <row r="247" spans="2:21" ht="38.25" customHeight="1" x14ac:dyDescent="0.25">
      <c r="B247" s="375"/>
      <c r="C247" s="351"/>
      <c r="D247" s="376"/>
      <c r="E247" s="134" t="str">
        <f>HLOOKUP(Deckblatt!$C$12,Language!$C$1:$D$730,344,FALSE)</f>
        <v xml:space="preserve">Es liegt eine Analyse/Bestandsuntersuchung vor.
</v>
      </c>
      <c r="F247" s="363"/>
      <c r="G247" s="69"/>
      <c r="H247" s="18">
        <v>5</v>
      </c>
      <c r="I247" s="379"/>
      <c r="J247" s="340"/>
      <c r="K247" s="341"/>
      <c r="L247" s="341"/>
      <c r="M247" s="341"/>
      <c r="N247" s="342"/>
      <c r="P247" s="18">
        <f t="shared" si="3"/>
        <v>0</v>
      </c>
      <c r="Q247" s="338"/>
      <c r="R247" s="344"/>
      <c r="S247" s="344"/>
      <c r="T247" s="344"/>
      <c r="U247" s="475"/>
    </row>
    <row r="248" spans="2:21" ht="52.8" x14ac:dyDescent="0.25">
      <c r="B248" s="375"/>
      <c r="C248" s="351"/>
      <c r="D248" s="376"/>
      <c r="E248" s="134" t="str">
        <f>HLOOKUP(Deckblatt!$C$12,Language!$C$1:$D$730,345,FALSE)</f>
        <v xml:space="preserve">Die Einbindung des Projekts in das Erschließungsnetz wird im Verkehrskonzept nachvollziehbar aus den Erkenntnissen der Analyse/Bestandsuntersuchung hergeleitet (Erläuterung)
</v>
      </c>
      <c r="F248" s="363"/>
      <c r="G248" s="69"/>
      <c r="H248" s="18">
        <v>5</v>
      </c>
      <c r="I248" s="379"/>
      <c r="J248" s="340"/>
      <c r="K248" s="341"/>
      <c r="L248" s="341"/>
      <c r="M248" s="341"/>
      <c r="N248" s="342"/>
      <c r="P248" s="18">
        <f t="shared" si="3"/>
        <v>0</v>
      </c>
      <c r="Q248" s="338"/>
      <c r="R248" s="344"/>
      <c r="S248" s="344"/>
      <c r="T248" s="344"/>
      <c r="U248" s="475"/>
    </row>
    <row r="249" spans="2:21" ht="25.5" customHeight="1" x14ac:dyDescent="0.25">
      <c r="B249" s="375"/>
      <c r="C249" s="351"/>
      <c r="D249" s="376" t="s">
        <v>246</v>
      </c>
      <c r="E249" s="150" t="str">
        <f>HLOOKUP(Deckblatt!$C$12,Language!$C$1:$D$730,346,FALSE)</f>
        <v>Einbindung in die übergeordnete Planung/Werksrahmenplanung</v>
      </c>
      <c r="F249" s="363"/>
      <c r="G249" s="113"/>
      <c r="H249" s="21">
        <v>10</v>
      </c>
      <c r="I249" s="379"/>
      <c r="J249" s="340"/>
      <c r="K249" s="341"/>
      <c r="L249" s="341"/>
      <c r="M249" s="341"/>
      <c r="N249" s="342"/>
      <c r="P249" s="18">
        <f t="shared" si="3"/>
        <v>0</v>
      </c>
      <c r="Q249" s="338"/>
      <c r="R249" s="344"/>
      <c r="S249" s="344"/>
      <c r="T249" s="344"/>
      <c r="U249" s="475"/>
    </row>
    <row r="250" spans="2:21" ht="26.4" x14ac:dyDescent="0.25">
      <c r="B250" s="375"/>
      <c r="C250" s="351"/>
      <c r="D250" s="376"/>
      <c r="E250" s="134" t="str">
        <f>HLOOKUP(Deckblatt!$C$12,Language!$C$1:$D$730,347,FALSE)</f>
        <v xml:space="preserve">Es liegt eine Analyse/Bestandsuntersuchung vor.
</v>
      </c>
      <c r="F250" s="363"/>
      <c r="G250" s="69"/>
      <c r="H250" s="18">
        <v>5</v>
      </c>
      <c r="I250" s="379"/>
      <c r="J250" s="340"/>
      <c r="K250" s="341"/>
      <c r="L250" s="341"/>
      <c r="M250" s="341"/>
      <c r="N250" s="342"/>
      <c r="P250" s="18">
        <f t="shared" si="3"/>
        <v>0</v>
      </c>
      <c r="Q250" s="338"/>
      <c r="R250" s="344"/>
      <c r="S250" s="344"/>
      <c r="T250" s="344"/>
      <c r="U250" s="475"/>
    </row>
    <row r="251" spans="2:21" ht="63.75" customHeight="1" x14ac:dyDescent="0.25">
      <c r="B251" s="375"/>
      <c r="C251" s="351"/>
      <c r="D251" s="376"/>
      <c r="E251"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51" s="363"/>
      <c r="G251" s="69"/>
      <c r="H251" s="18">
        <v>5</v>
      </c>
      <c r="I251" s="379"/>
      <c r="J251" s="340"/>
      <c r="K251" s="341"/>
      <c r="L251" s="341"/>
      <c r="M251" s="341"/>
      <c r="N251" s="342"/>
      <c r="P251" s="18">
        <f t="shared" si="3"/>
        <v>0</v>
      </c>
      <c r="Q251" s="338"/>
      <c r="R251" s="344"/>
      <c r="S251" s="344"/>
      <c r="T251" s="344"/>
      <c r="U251" s="475"/>
    </row>
    <row r="252" spans="2:21" x14ac:dyDescent="0.25">
      <c r="B252" s="375"/>
      <c r="C252" s="351"/>
      <c r="D252" s="376" t="s">
        <v>250</v>
      </c>
      <c r="E252" s="150" t="str">
        <f>HLOOKUP(Deckblatt!$C$12,Language!$C$1:$D$730,349,FALSE)</f>
        <v>Einbindung von baulichen Bestand</v>
      </c>
      <c r="F252" s="363"/>
      <c r="G252" s="113"/>
      <c r="H252" s="21">
        <v>10</v>
      </c>
      <c r="I252" s="379"/>
      <c r="J252" s="340"/>
      <c r="K252" s="341"/>
      <c r="L252" s="341"/>
      <c r="M252" s="341"/>
      <c r="N252" s="342"/>
      <c r="P252" s="18">
        <f t="shared" si="3"/>
        <v>0</v>
      </c>
      <c r="Q252" s="338"/>
      <c r="R252" s="344"/>
      <c r="S252" s="344"/>
      <c r="T252" s="344"/>
      <c r="U252" s="475"/>
    </row>
    <row r="253" spans="2:21" ht="26.4" x14ac:dyDescent="0.25">
      <c r="B253" s="375"/>
      <c r="C253" s="351"/>
      <c r="D253" s="376"/>
      <c r="E253" s="134" t="str">
        <f>HLOOKUP(Deckblatt!$C$12,Language!$C$1:$D$730,350,FALSE)</f>
        <v xml:space="preserve">Es liegt eine Analyse/Bestandsuntersuchung vor.
</v>
      </c>
      <c r="F253" s="363"/>
      <c r="G253" s="69"/>
      <c r="H253" s="18">
        <v>5</v>
      </c>
      <c r="I253" s="379"/>
      <c r="J253" s="340"/>
      <c r="K253" s="341"/>
      <c r="L253" s="341"/>
      <c r="M253" s="341"/>
      <c r="N253" s="342"/>
      <c r="P253" s="18">
        <f t="shared" si="3"/>
        <v>0</v>
      </c>
      <c r="Q253" s="338"/>
      <c r="R253" s="344"/>
      <c r="S253" s="344"/>
      <c r="T253" s="344"/>
      <c r="U253" s="475"/>
    </row>
    <row r="254" spans="2:21" ht="52.8" x14ac:dyDescent="0.25">
      <c r="B254" s="375"/>
      <c r="C254" s="351"/>
      <c r="D254" s="376"/>
      <c r="E254" s="134" t="str">
        <f>HLOOKUP(Deckblatt!$C$12,Language!$C$1:$D$730,351,FALSE)</f>
        <v xml:space="preserve">Die Einbindung der bestehenden und identitätsstiftenden Gebäude wird im städtebaulichen Konzept nachvollziehbar aus den Erkenntnissen der Analyse/Bestandsuntersuchung hergeleitet (Erläuterung).
</v>
      </c>
      <c r="F254" s="363"/>
      <c r="G254" s="69"/>
      <c r="H254" s="18">
        <v>5</v>
      </c>
      <c r="I254" s="379"/>
      <c r="J254" s="340"/>
      <c r="K254" s="341"/>
      <c r="L254" s="341"/>
      <c r="M254" s="341"/>
      <c r="N254" s="342"/>
      <c r="P254" s="18">
        <f t="shared" si="3"/>
        <v>0</v>
      </c>
      <c r="Q254" s="338"/>
      <c r="R254" s="344"/>
      <c r="S254" s="344"/>
      <c r="T254" s="344"/>
      <c r="U254" s="475"/>
    </row>
    <row r="255" spans="2:21" ht="13.2" customHeight="1" x14ac:dyDescent="0.25">
      <c r="B255" s="375"/>
      <c r="C255" s="359" t="s">
        <v>61</v>
      </c>
      <c r="D255" s="352" t="str">
        <f>HLOOKUP(Deckblatt!$C$12,Language!$C$1:$D$730,352,FALSE)</f>
        <v>Städtebauliche Qualifizierung</v>
      </c>
      <c r="E255" s="353"/>
      <c r="F255" s="363"/>
      <c r="G255" s="113"/>
      <c r="H255" s="21">
        <v>20</v>
      </c>
      <c r="I255" s="379"/>
      <c r="J255" s="340"/>
      <c r="K255" s="341"/>
      <c r="L255" s="341"/>
      <c r="M255" s="341"/>
      <c r="N255" s="342"/>
      <c r="P255" s="18">
        <f t="shared" si="3"/>
        <v>0</v>
      </c>
      <c r="Q255" s="338"/>
      <c r="R255" s="344"/>
      <c r="S255" s="344"/>
      <c r="T255" s="344"/>
      <c r="U255" s="475"/>
    </row>
    <row r="256" spans="2:21" ht="26.4" x14ac:dyDescent="0.25">
      <c r="B256" s="375"/>
      <c r="C256" s="390"/>
      <c r="D256" s="160" t="s">
        <v>63</v>
      </c>
      <c r="E256" s="150" t="str">
        <f>HLOOKUP(Deckblatt!$C$12,Language!$C$1:$D$730,353,FALSE)</f>
        <v xml:space="preserve">Übergeordnetes Gestaltungskonzept
</v>
      </c>
      <c r="F256" s="363"/>
      <c r="G256" s="69"/>
      <c r="H256" s="18">
        <v>4</v>
      </c>
      <c r="I256" s="379"/>
      <c r="J256" s="340"/>
      <c r="K256" s="341"/>
      <c r="L256" s="341"/>
      <c r="M256" s="341"/>
      <c r="N256" s="342"/>
      <c r="P256" s="18">
        <f t="shared" si="3"/>
        <v>0</v>
      </c>
      <c r="Q256" s="338"/>
      <c r="R256" s="344"/>
      <c r="S256" s="344"/>
      <c r="T256" s="344"/>
      <c r="U256" s="475"/>
    </row>
    <row r="257" spans="2:21" ht="26.4" x14ac:dyDescent="0.25">
      <c r="B257" s="375"/>
      <c r="C257" s="390"/>
      <c r="D257" s="160" t="s">
        <v>186</v>
      </c>
      <c r="E257" s="150" t="str">
        <f>HLOOKUP(Deckblatt!$C$12,Language!$C$1:$D$730,354,FALSE)</f>
        <v xml:space="preserve">Regelwerk für die Charakteristika von Baukörpern
</v>
      </c>
      <c r="F257" s="363"/>
      <c r="G257" s="69"/>
      <c r="H257" s="18">
        <v>4</v>
      </c>
      <c r="I257" s="379"/>
      <c r="J257" s="340"/>
      <c r="K257" s="341"/>
      <c r="L257" s="341"/>
      <c r="M257" s="341"/>
      <c r="N257" s="342"/>
      <c r="P257" s="18">
        <f t="shared" si="3"/>
        <v>0</v>
      </c>
      <c r="Q257" s="338"/>
      <c r="R257" s="344"/>
      <c r="S257" s="344"/>
      <c r="T257" s="344"/>
      <c r="U257" s="475"/>
    </row>
    <row r="258" spans="2:21" ht="26.4" x14ac:dyDescent="0.25">
      <c r="B258" s="375"/>
      <c r="C258" s="390"/>
      <c r="D258" s="160" t="s">
        <v>255</v>
      </c>
      <c r="E258" s="150" t="str">
        <f>HLOOKUP(Deckblatt!$C$12,Language!$C$1:$D$730,355,FALSE)</f>
        <v xml:space="preserve">Material, Farbe, Textur
</v>
      </c>
      <c r="F258" s="363"/>
      <c r="G258" s="69"/>
      <c r="H258" s="18">
        <v>4</v>
      </c>
      <c r="I258" s="379"/>
      <c r="J258" s="340"/>
      <c r="K258" s="341"/>
      <c r="L258" s="341"/>
      <c r="M258" s="341"/>
      <c r="N258" s="342"/>
      <c r="P258" s="18">
        <f t="shared" si="3"/>
        <v>0</v>
      </c>
      <c r="Q258" s="338"/>
      <c r="R258" s="344"/>
      <c r="S258" s="344"/>
      <c r="T258" s="344"/>
      <c r="U258" s="475"/>
    </row>
    <row r="259" spans="2:21" ht="26.4" x14ac:dyDescent="0.25">
      <c r="B259" s="375"/>
      <c r="C259" s="390"/>
      <c r="D259" s="160" t="s">
        <v>256</v>
      </c>
      <c r="E259" s="150" t="str">
        <f>HLOOKUP(Deckblatt!$C$12,Language!$C$1:$D$730,356,FALSE)</f>
        <v xml:space="preserve">Gestaltung von städtebaulich prägnanten Gebäuden
</v>
      </c>
      <c r="F259" s="363"/>
      <c r="G259" s="69"/>
      <c r="H259" s="18">
        <v>8</v>
      </c>
      <c r="I259" s="379"/>
      <c r="J259" s="340"/>
      <c r="K259" s="341"/>
      <c r="L259" s="341"/>
      <c r="M259" s="341"/>
      <c r="N259" s="342"/>
      <c r="P259" s="18">
        <f t="shared" si="3"/>
        <v>0</v>
      </c>
      <c r="Q259" s="338"/>
      <c r="R259" s="344"/>
      <c r="S259" s="344"/>
      <c r="T259" s="344"/>
      <c r="U259" s="475"/>
    </row>
    <row r="260" spans="2:21" ht="13.2" customHeight="1" x14ac:dyDescent="0.25">
      <c r="B260" s="375"/>
      <c r="C260" s="390" t="s">
        <v>64</v>
      </c>
      <c r="D260" s="352" t="str">
        <f>HLOOKUP(Deckblatt!$C$12,Language!$C$1:$D$730,358,FALSE)</f>
        <v xml:space="preserve">Impuls / Attraktor </v>
      </c>
      <c r="E260" s="353"/>
      <c r="F260" s="363"/>
      <c r="G260" s="113"/>
      <c r="H260" s="21">
        <v>30</v>
      </c>
      <c r="I260" s="379"/>
      <c r="J260" s="340"/>
      <c r="K260" s="341"/>
      <c r="L260" s="341"/>
      <c r="M260" s="341"/>
      <c r="N260" s="342"/>
      <c r="P260" s="18">
        <f t="shared" si="3"/>
        <v>0</v>
      </c>
      <c r="Q260" s="338"/>
      <c r="R260" s="344"/>
      <c r="S260" s="344"/>
      <c r="T260" s="344"/>
      <c r="U260" s="475"/>
    </row>
    <row r="261" spans="2:21" x14ac:dyDescent="0.25">
      <c r="B261" s="375"/>
      <c r="C261" s="390"/>
      <c r="D261" s="19" t="s">
        <v>66</v>
      </c>
      <c r="E261" s="134" t="str">
        <f>HLOOKUP(Deckblatt!$C$12,Language!$C$1:$D$730,359,FALSE)</f>
        <v>Impuls durch die Nutzung</v>
      </c>
      <c r="F261" s="363"/>
      <c r="G261" s="69"/>
      <c r="H261" s="18">
        <v>15</v>
      </c>
      <c r="I261" s="379"/>
      <c r="J261" s="340"/>
      <c r="K261" s="341"/>
      <c r="L261" s="341"/>
      <c r="M261" s="341"/>
      <c r="N261" s="342"/>
      <c r="P261" s="18">
        <f t="shared" si="3"/>
        <v>0</v>
      </c>
      <c r="Q261" s="338"/>
      <c r="R261" s="344"/>
      <c r="S261" s="344"/>
      <c r="T261" s="344"/>
      <c r="U261" s="475"/>
    </row>
    <row r="262" spans="2:21" x14ac:dyDescent="0.25">
      <c r="B262" s="375"/>
      <c r="C262" s="390"/>
      <c r="D262" s="71" t="s">
        <v>188</v>
      </c>
      <c r="E262" s="134" t="str">
        <f>HLOOKUP(Deckblatt!$C$12,Language!$C$1:$D$730,360,FALSE)</f>
        <v>Impuls durch räumliche und gestalterische Aspekte</v>
      </c>
      <c r="F262" s="363"/>
      <c r="G262" s="69"/>
      <c r="H262" s="18">
        <v>15</v>
      </c>
      <c r="I262" s="379"/>
      <c r="J262" s="340"/>
      <c r="K262" s="341"/>
      <c r="L262" s="341"/>
      <c r="M262" s="341"/>
      <c r="N262" s="342"/>
      <c r="P262" s="18">
        <f t="shared" si="3"/>
        <v>0</v>
      </c>
      <c r="Q262" s="338"/>
      <c r="R262" s="344"/>
      <c r="S262" s="344"/>
      <c r="T262" s="344"/>
      <c r="U262" s="475"/>
    </row>
    <row r="263" spans="2:21" ht="69.75" customHeight="1" x14ac:dyDescent="0.25">
      <c r="B263" s="375"/>
      <c r="C263" s="360"/>
      <c r="D263" s="71" t="s">
        <v>755</v>
      </c>
      <c r="E263"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63" s="363"/>
      <c r="G263" s="69"/>
      <c r="H263" s="18">
        <v>30</v>
      </c>
      <c r="I263" s="379"/>
      <c r="J263" s="340"/>
      <c r="K263" s="341"/>
      <c r="L263" s="341"/>
      <c r="M263" s="341"/>
      <c r="N263" s="342"/>
      <c r="P263" s="18">
        <f t="shared" si="3"/>
        <v>0</v>
      </c>
      <c r="Q263" s="339"/>
      <c r="R263" s="365"/>
      <c r="S263" s="344"/>
      <c r="T263" s="344"/>
      <c r="U263" s="475"/>
    </row>
    <row r="264" spans="2:21" x14ac:dyDescent="0.25">
      <c r="B264" s="55" t="s">
        <v>362</v>
      </c>
      <c r="C264" s="354" t="str">
        <f>HLOOKUP(Deckblatt!$C$12,Language!$C$1:$D$730,362,FALSE)</f>
        <v>Soziale und Funktionale Mischung</v>
      </c>
      <c r="D264" s="354"/>
      <c r="E264" s="355"/>
      <c r="F264" s="66">
        <f>Q264</f>
        <v>0</v>
      </c>
      <c r="G264" s="372"/>
      <c r="H264" s="21">
        <v>100</v>
      </c>
      <c r="I264" s="176">
        <v>4</v>
      </c>
      <c r="J264" s="340"/>
      <c r="K264" s="341"/>
      <c r="L264" s="341"/>
      <c r="M264" s="341"/>
      <c r="N264" s="342"/>
      <c r="P264" s="18">
        <f t="shared" si="3"/>
        <v>0</v>
      </c>
      <c r="Q264" s="337">
        <f>SUM(P266:P274)</f>
        <v>0</v>
      </c>
      <c r="R264" s="343">
        <f>Q264/100</f>
        <v>0</v>
      </c>
      <c r="S264" s="344"/>
      <c r="T264" s="344"/>
      <c r="U264" s="475"/>
    </row>
    <row r="265" spans="2:21" ht="13.2" customHeight="1" x14ac:dyDescent="0.25">
      <c r="B265" s="375"/>
      <c r="C265" s="351" t="s">
        <v>54</v>
      </c>
      <c r="D265" s="352" t="str">
        <f>HLOOKUP(Deckblatt!$C$12,Language!$C$1:$D$730,363,FALSE)</f>
        <v>Soziale und funktionale Einbindung</v>
      </c>
      <c r="E265" s="353"/>
      <c r="F265" s="363"/>
      <c r="G265" s="374"/>
      <c r="H265" s="21">
        <v>20</v>
      </c>
      <c r="I265" s="379"/>
      <c r="J265" s="340"/>
      <c r="K265" s="341"/>
      <c r="L265" s="341"/>
      <c r="M265" s="341"/>
      <c r="N265" s="342"/>
      <c r="P265" s="18">
        <f t="shared" si="3"/>
        <v>0</v>
      </c>
      <c r="Q265" s="338"/>
      <c r="R265" s="344"/>
      <c r="S265" s="344"/>
      <c r="T265" s="344"/>
      <c r="U265" s="475"/>
    </row>
    <row r="266" spans="2:21" ht="26.4" x14ac:dyDescent="0.25">
      <c r="B266" s="375"/>
      <c r="C266" s="351"/>
      <c r="D266" s="160" t="s">
        <v>58</v>
      </c>
      <c r="E266" s="229" t="str">
        <f>HLOOKUP(Deckblatt!$C$12,Language!$C$1:$D$730,364,FALSE)</f>
        <v xml:space="preserve">Einbindung in den sozialen und funktionalen Kontext
</v>
      </c>
      <c r="F266" s="363"/>
      <c r="G266" s="69"/>
      <c r="H266" s="18">
        <v>10</v>
      </c>
      <c r="I266" s="379"/>
      <c r="J266" s="340"/>
      <c r="K266" s="341"/>
      <c r="L266" s="341"/>
      <c r="M266" s="341"/>
      <c r="N266" s="342"/>
      <c r="P266" s="18">
        <f t="shared" si="3"/>
        <v>0</v>
      </c>
      <c r="Q266" s="338"/>
      <c r="R266" s="344"/>
      <c r="S266" s="344"/>
      <c r="T266" s="344"/>
      <c r="U266" s="475"/>
    </row>
    <row r="267" spans="2:21" ht="39.6" x14ac:dyDescent="0.25">
      <c r="B267" s="375"/>
      <c r="C267" s="351"/>
      <c r="D267" s="160" t="s">
        <v>181</v>
      </c>
      <c r="E267" s="134" t="str">
        <f>HLOOKUP(Deckblatt!$C$12,Language!$C$1:$D$730,365,FALSE)</f>
        <v xml:space="preserve">Einbindung bestehender sozialer Strukturen oder Nutzungen
Schutz, Erhalt von vorher vorhandenen Strukturen. z. B. Kleingärtner
</v>
      </c>
      <c r="F267" s="363"/>
      <c r="G267" s="69"/>
      <c r="H267" s="18">
        <v>10</v>
      </c>
      <c r="I267" s="379"/>
      <c r="J267" s="340"/>
      <c r="K267" s="341"/>
      <c r="L267" s="341"/>
      <c r="M267" s="341"/>
      <c r="N267" s="342"/>
      <c r="P267" s="18">
        <f t="shared" ref="P267:P331" si="4">IF(G267&gt;H267,H267,G267)</f>
        <v>0</v>
      </c>
      <c r="Q267" s="338"/>
      <c r="R267" s="344"/>
      <c r="S267" s="344"/>
      <c r="T267" s="344"/>
      <c r="U267" s="475"/>
    </row>
    <row r="268" spans="2:21" ht="13.2" customHeight="1" x14ac:dyDescent="0.25">
      <c r="B268" s="375"/>
      <c r="C268" s="351" t="s">
        <v>61</v>
      </c>
      <c r="D268" s="352" t="str">
        <f>HLOOKUP(Deckblatt!$C$12,Language!$C$1:$D$730,366,FALSE)</f>
        <v>Qualifizierung der sozialen Mischung</v>
      </c>
      <c r="E268" s="353"/>
      <c r="F268" s="363"/>
      <c r="G268" s="113"/>
      <c r="H268" s="21">
        <v>65</v>
      </c>
      <c r="I268" s="379"/>
      <c r="J268" s="340"/>
      <c r="K268" s="341"/>
      <c r="L268" s="341"/>
      <c r="M268" s="341"/>
      <c r="N268" s="342"/>
      <c r="P268" s="18">
        <f t="shared" si="4"/>
        <v>0</v>
      </c>
      <c r="Q268" s="338"/>
      <c r="R268" s="344"/>
      <c r="S268" s="344"/>
      <c r="T268" s="344"/>
      <c r="U268" s="475"/>
    </row>
    <row r="269" spans="2:21" ht="26.4" x14ac:dyDescent="0.25">
      <c r="B269" s="375"/>
      <c r="C269" s="351"/>
      <c r="D269" s="160" t="s">
        <v>63</v>
      </c>
      <c r="E269" s="229" t="str">
        <f>HLOOKUP(Deckblatt!$C$12,Language!$C$1:$D$730,367,FALSE)</f>
        <v xml:space="preserve">Demographische Mischung
</v>
      </c>
      <c r="F269" s="363"/>
      <c r="G269" s="69"/>
      <c r="H269" s="18">
        <v>40</v>
      </c>
      <c r="I269" s="379"/>
      <c r="J269" s="340"/>
      <c r="K269" s="341"/>
      <c r="L269" s="341"/>
      <c r="M269" s="341"/>
      <c r="N269" s="342"/>
      <c r="P269" s="18">
        <f t="shared" si="4"/>
        <v>0</v>
      </c>
      <c r="Q269" s="338"/>
      <c r="R269" s="344"/>
      <c r="S269" s="344"/>
      <c r="T269" s="344"/>
      <c r="U269" s="475"/>
    </row>
    <row r="270" spans="2:21" ht="52.8" x14ac:dyDescent="0.25">
      <c r="B270" s="375"/>
      <c r="C270" s="351"/>
      <c r="D270" s="160" t="s">
        <v>366</v>
      </c>
      <c r="E270" s="134" t="str">
        <f>HLOOKUP(Deckblatt!$C$12,Language!$C$1:$D$730,374,FALSE)</f>
        <v xml:space="preserve">Differenzierte Branchenstruktur
Das Quartier besteht aus zwei oder mehreren Branchen (Beispiele siehe Methode), wovon jede mindestens 10 % der Gesamt-BGF 
</v>
      </c>
      <c r="F270" s="363"/>
      <c r="G270" s="69"/>
      <c r="H270" s="18">
        <v>25</v>
      </c>
      <c r="I270" s="379"/>
      <c r="J270" s="340"/>
      <c r="K270" s="341"/>
      <c r="L270" s="341"/>
      <c r="M270" s="341"/>
      <c r="N270" s="342"/>
      <c r="P270" s="18">
        <f t="shared" si="4"/>
        <v>0</v>
      </c>
      <c r="Q270" s="338"/>
      <c r="R270" s="344"/>
      <c r="S270" s="344"/>
      <c r="T270" s="344"/>
      <c r="U270" s="475"/>
    </row>
    <row r="271" spans="2:21" ht="13.2" customHeight="1" x14ac:dyDescent="0.25">
      <c r="B271" s="375"/>
      <c r="C271" s="351" t="s">
        <v>64</v>
      </c>
      <c r="D271" s="352" t="str">
        <f>HLOOKUP(Deckblatt!$C$12,Language!$C$1:$D$730,375,FALSE)</f>
        <v>Nutzungsanteil</v>
      </c>
      <c r="E271" s="353"/>
      <c r="F271" s="363"/>
      <c r="G271" s="113"/>
      <c r="H271" s="21">
        <v>15</v>
      </c>
      <c r="I271" s="379"/>
      <c r="J271" s="340"/>
      <c r="K271" s="341"/>
      <c r="L271" s="341"/>
      <c r="M271" s="341"/>
      <c r="N271" s="342"/>
      <c r="P271" s="18">
        <f t="shared" si="4"/>
        <v>0</v>
      </c>
      <c r="Q271" s="338"/>
      <c r="R271" s="344"/>
      <c r="S271" s="344"/>
      <c r="T271" s="344"/>
      <c r="U271" s="475"/>
    </row>
    <row r="272" spans="2:21" ht="26.4" x14ac:dyDescent="0.25">
      <c r="B272" s="375"/>
      <c r="C272" s="351"/>
      <c r="D272" s="376" t="s">
        <v>188</v>
      </c>
      <c r="E272" s="229" t="str">
        <f>HLOOKUP(Deckblatt!$C$12,Language!$C$1:$D$730,377,FALSE)</f>
        <v xml:space="preserve">Stärkung der lokalen Ökonomie
</v>
      </c>
      <c r="F272" s="363"/>
      <c r="G272" s="113"/>
      <c r="H272" s="21">
        <v>15</v>
      </c>
      <c r="I272" s="379"/>
      <c r="J272" s="340"/>
      <c r="K272" s="341"/>
      <c r="L272" s="341"/>
      <c r="M272" s="341"/>
      <c r="N272" s="342"/>
      <c r="P272" s="18">
        <f t="shared" si="4"/>
        <v>0</v>
      </c>
      <c r="Q272" s="338"/>
      <c r="R272" s="344"/>
      <c r="S272" s="344"/>
      <c r="T272" s="344"/>
      <c r="U272" s="475"/>
    </row>
    <row r="273" spans="2:22" ht="39.6" x14ac:dyDescent="0.25">
      <c r="B273" s="375"/>
      <c r="C273" s="351"/>
      <c r="D273" s="376"/>
      <c r="E273" s="134" t="str">
        <f>HLOOKUP(Deckblatt!$C$12,Language!$C$1:$D$730,378,FALSE)</f>
        <v xml:space="preserve">Es gibt ein übergreifendes Konzept, die lokale Ökonomie zu stärken – sowohl im Projektgebiet als auch im Umfeld.
</v>
      </c>
      <c r="F273" s="363"/>
      <c r="G273" s="69"/>
      <c r="H273" s="18">
        <v>5</v>
      </c>
      <c r="I273" s="379"/>
      <c r="J273" s="340"/>
      <c r="K273" s="341"/>
      <c r="L273" s="341"/>
      <c r="M273" s="341"/>
      <c r="N273" s="342"/>
      <c r="P273" s="18">
        <f t="shared" si="4"/>
        <v>0</v>
      </c>
      <c r="Q273" s="338"/>
      <c r="R273" s="344"/>
      <c r="S273" s="344"/>
      <c r="T273" s="344"/>
      <c r="U273" s="475"/>
    </row>
    <row r="274" spans="2:22" ht="26.4" x14ac:dyDescent="0.25">
      <c r="B274" s="375"/>
      <c r="C274" s="351"/>
      <c r="D274" s="376"/>
      <c r="E274" s="134" t="str">
        <f>HLOOKUP(Deckblatt!$C$12,Language!$C$1:$D$730,379,FALSE)</f>
        <v xml:space="preserve">Maßnahmen aus dem Konzept wurden umgesetzt.
</v>
      </c>
      <c r="F274" s="363"/>
      <c r="G274" s="69"/>
      <c r="H274" s="18">
        <v>10</v>
      </c>
      <c r="I274" s="379"/>
      <c r="J274" s="340"/>
      <c r="K274" s="341"/>
      <c r="L274" s="341"/>
      <c r="M274" s="341"/>
      <c r="N274" s="342"/>
      <c r="P274" s="18">
        <f t="shared" si="4"/>
        <v>0</v>
      </c>
      <c r="Q274" s="339"/>
      <c r="R274" s="365"/>
      <c r="S274" s="344"/>
      <c r="T274" s="344"/>
      <c r="U274" s="475"/>
    </row>
    <row r="275" spans="2:22" x14ac:dyDescent="0.25">
      <c r="B275" s="55" t="s">
        <v>372</v>
      </c>
      <c r="C275" s="354" t="str">
        <f>HLOOKUP(Deckblatt!$C$12,Language!$C$1:$D$730,380,FALSE)</f>
        <v>Soziale und Erwerbswirtschaftliche Infrastruktur</v>
      </c>
      <c r="D275" s="354"/>
      <c r="E275" s="355"/>
      <c r="F275" s="66">
        <f>Q275</f>
        <v>0</v>
      </c>
      <c r="G275" s="372"/>
      <c r="H275" s="21">
        <v>110</v>
      </c>
      <c r="I275" s="176">
        <v>3</v>
      </c>
      <c r="J275" s="340"/>
      <c r="K275" s="341"/>
      <c r="L275" s="341"/>
      <c r="M275" s="341"/>
      <c r="N275" s="342"/>
      <c r="P275" s="18">
        <f t="shared" si="4"/>
        <v>0</v>
      </c>
      <c r="Q275" s="337">
        <f>SUM(P277:P289)</f>
        <v>0</v>
      </c>
      <c r="R275" s="343">
        <f>Q275/100</f>
        <v>0</v>
      </c>
      <c r="S275" s="344"/>
      <c r="T275" s="344"/>
      <c r="U275" s="475"/>
    </row>
    <row r="276" spans="2:22" ht="13.2" customHeight="1" x14ac:dyDescent="0.25">
      <c r="B276" s="375"/>
      <c r="C276" s="351" t="s">
        <v>54</v>
      </c>
      <c r="D276" s="352" t="str">
        <f>HLOOKUP(Deckblatt!$C$12,Language!$C$1:$D$730,381,FALSE)</f>
        <v>Soziale Infrastruktur</v>
      </c>
      <c r="E276" s="353"/>
      <c r="F276" s="363"/>
      <c r="G276" s="374"/>
      <c r="H276" s="21">
        <v>25</v>
      </c>
      <c r="I276" s="379"/>
      <c r="J276" s="340"/>
      <c r="K276" s="341"/>
      <c r="L276" s="341"/>
      <c r="M276" s="341"/>
      <c r="N276" s="342"/>
      <c r="P276" s="18">
        <f t="shared" si="4"/>
        <v>0</v>
      </c>
      <c r="Q276" s="338"/>
      <c r="R276" s="344"/>
      <c r="S276" s="344"/>
      <c r="T276" s="344"/>
      <c r="U276" s="475"/>
    </row>
    <row r="277" spans="2:22" x14ac:dyDescent="0.25">
      <c r="B277" s="375"/>
      <c r="C277" s="351"/>
      <c r="D277" s="71" t="s">
        <v>58</v>
      </c>
      <c r="E277" s="134" t="str">
        <f>HLOOKUP(Deckblatt!$C$12,Language!$C$1:$D$730,382,FALSE)</f>
        <v>Bildung 1: Kinderbetreuung und Grundschule</v>
      </c>
      <c r="F277" s="363"/>
      <c r="G277" s="69"/>
      <c r="H277" s="18">
        <v>10</v>
      </c>
      <c r="I277" s="379"/>
      <c r="J277" s="340"/>
      <c r="K277" s="341"/>
      <c r="L277" s="341"/>
      <c r="M277" s="341"/>
      <c r="N277" s="342"/>
      <c r="P277" s="18">
        <f t="shared" si="4"/>
        <v>0</v>
      </c>
      <c r="Q277" s="338"/>
      <c r="R277" s="344"/>
      <c r="S277" s="344"/>
      <c r="T277" s="344"/>
      <c r="U277" s="475"/>
    </row>
    <row r="278" spans="2:22" ht="39.6" x14ac:dyDescent="0.25">
      <c r="B278" s="375"/>
      <c r="C278" s="351"/>
      <c r="D278" s="71" t="s">
        <v>181</v>
      </c>
      <c r="E278" s="134" t="str">
        <f>HLOOKUP(Deckblatt!$C$12,Language!$C$1:$D$730,383,FALSE)</f>
        <v xml:space="preserve">Bildung 2: Weiterführende oder Berufsbildende Schule (Max. Geh-/Fahrzeit mit ÖPNV 15 Min, Max. Entfernung Luftlinie 1300 m)
</v>
      </c>
      <c r="F278" s="363"/>
      <c r="G278" s="69"/>
      <c r="H278" s="18">
        <v>5</v>
      </c>
      <c r="I278" s="379"/>
      <c r="J278" s="340"/>
      <c r="K278" s="341"/>
      <c r="L278" s="341"/>
      <c r="M278" s="341"/>
      <c r="N278" s="342"/>
      <c r="P278" s="18">
        <f t="shared" si="4"/>
        <v>0</v>
      </c>
      <c r="Q278" s="338"/>
      <c r="R278" s="344"/>
      <c r="S278" s="344"/>
      <c r="T278" s="344"/>
      <c r="U278" s="475"/>
    </row>
    <row r="279" spans="2:22" ht="39.6" x14ac:dyDescent="0.25">
      <c r="B279" s="375"/>
      <c r="C279" s="351"/>
      <c r="D279" s="71" t="s">
        <v>246</v>
      </c>
      <c r="E279" s="134" t="str">
        <f>HLOOKUP(Deckblatt!$C$12,Language!$C$1:$D$730,384,FALSE)</f>
        <v xml:space="preserve">Freizeit: Kunst und Kultur (Kino, Theater, Galerien, (Werks-)Museen), Bücherei, Quartierszentrum, Bürgerhaus, Jugendraum, Seniorentreff etc. 
</v>
      </c>
      <c r="F279" s="363"/>
      <c r="G279" s="69"/>
      <c r="H279" s="18">
        <v>5</v>
      </c>
      <c r="I279" s="379"/>
      <c r="J279" s="340"/>
      <c r="K279" s="341"/>
      <c r="L279" s="341"/>
      <c r="M279" s="341"/>
      <c r="N279" s="342"/>
      <c r="P279" s="18">
        <f t="shared" si="4"/>
        <v>0</v>
      </c>
      <c r="Q279" s="338"/>
      <c r="R279" s="344"/>
      <c r="S279" s="344"/>
      <c r="T279" s="344"/>
      <c r="U279" s="475"/>
    </row>
    <row r="280" spans="2:22" ht="39.6" x14ac:dyDescent="0.25">
      <c r="B280" s="375"/>
      <c r="C280" s="351"/>
      <c r="D280" s="71" t="s">
        <v>121</v>
      </c>
      <c r="E280" s="134" t="str">
        <f>HLOOKUP(Deckblatt!$C$12,Language!$C$1:$D$730,386,FALSE)</f>
        <v xml:space="preserve">Sportstätten: Turn- und Sporthalle, Sportfreigelände/Sportplatz mit Leichtathletik, Hallen- oder Freibad, etc. 
</v>
      </c>
      <c r="F280" s="363"/>
      <c r="G280" s="69"/>
      <c r="H280" s="18">
        <v>5</v>
      </c>
      <c r="I280" s="379"/>
      <c r="J280" s="340"/>
      <c r="K280" s="341"/>
      <c r="L280" s="341"/>
      <c r="M280" s="341"/>
      <c r="N280" s="342"/>
      <c r="P280" s="18">
        <f t="shared" si="4"/>
        <v>0</v>
      </c>
      <c r="Q280" s="338"/>
      <c r="R280" s="344"/>
      <c r="S280" s="344"/>
      <c r="T280" s="344"/>
      <c r="U280" s="475"/>
    </row>
    <row r="281" spans="2:22" ht="13.2" customHeight="1" x14ac:dyDescent="0.25">
      <c r="B281" s="375"/>
      <c r="C281" s="359" t="s">
        <v>61</v>
      </c>
      <c r="D281" s="352" t="str">
        <f>HLOOKUP(Deckblatt!$C$12,Language!$C$1:$D$730,387,FALSE)</f>
        <v>Erwerbswirtschaftliche Infrastruktur</v>
      </c>
      <c r="E281" s="353"/>
      <c r="F281" s="363"/>
      <c r="G281" s="113"/>
      <c r="H281" s="21">
        <v>25</v>
      </c>
      <c r="I281" s="379"/>
      <c r="J281" s="340"/>
      <c r="K281" s="341"/>
      <c r="L281" s="341"/>
      <c r="M281" s="341"/>
      <c r="N281" s="342"/>
      <c r="P281" s="18">
        <f t="shared" si="4"/>
        <v>0</v>
      </c>
      <c r="Q281" s="338"/>
      <c r="R281" s="344"/>
      <c r="S281" s="344"/>
      <c r="T281" s="344"/>
      <c r="U281" s="475"/>
    </row>
    <row r="282" spans="2:22" ht="39.6" x14ac:dyDescent="0.25">
      <c r="B282" s="375"/>
      <c r="C282" s="390"/>
      <c r="D282" s="71" t="s">
        <v>63</v>
      </c>
      <c r="E282" s="134" t="str">
        <f>HLOOKUP(Deckblatt!$C$12,Language!$C$1:$D$730,388,FALSE)</f>
        <v xml:space="preserve">Es gibt ein Handels-/Zentrenkonzept in welches das Quartier/der Standort eingebunden ist
</v>
      </c>
      <c r="F282" s="363"/>
      <c r="G282" s="69"/>
      <c r="H282" s="18">
        <v>10</v>
      </c>
      <c r="I282" s="379"/>
      <c r="J282" s="340"/>
      <c r="K282" s="341"/>
      <c r="L282" s="341"/>
      <c r="M282" s="341"/>
      <c r="N282" s="342"/>
      <c r="P282" s="18">
        <f t="shared" si="4"/>
        <v>0</v>
      </c>
      <c r="Q282" s="338"/>
      <c r="R282" s="344"/>
      <c r="S282" s="344"/>
      <c r="T282" s="344"/>
      <c r="U282" s="475"/>
    </row>
    <row r="283" spans="2:22" ht="26.4" x14ac:dyDescent="0.25">
      <c r="B283" s="375"/>
      <c r="C283" s="390"/>
      <c r="D283" s="71" t="s">
        <v>186</v>
      </c>
      <c r="E283" s="134" t="str">
        <f>HLOOKUP(Deckblatt!$C$12,Language!$C$1:$D$730,389,FALSE)</f>
        <v>Nahversorgung 1: Angebot von Gütern des täglichen Bedarfs ist vor Ort vorhanden (ausgenommen Bestellungen von E-Commerce Plattformen).</v>
      </c>
      <c r="F283" s="363"/>
      <c r="G283" s="69"/>
      <c r="H283" s="18">
        <v>5</v>
      </c>
      <c r="I283" s="379"/>
      <c r="J283" s="340"/>
      <c r="K283" s="341"/>
      <c r="L283" s="341"/>
      <c r="M283" s="341"/>
      <c r="N283" s="342"/>
      <c r="P283" s="18">
        <f t="shared" si="4"/>
        <v>0</v>
      </c>
      <c r="Q283" s="338"/>
      <c r="R283" s="344"/>
      <c r="S283" s="344"/>
      <c r="T283" s="344"/>
      <c r="U283" s="475"/>
    </row>
    <row r="284" spans="2:22" ht="39.6" x14ac:dyDescent="0.25">
      <c r="B284" s="375"/>
      <c r="C284" s="390"/>
      <c r="D284" s="71" t="s">
        <v>256</v>
      </c>
      <c r="E284" s="134" t="str">
        <f>HLOOKUP(Deckblatt!$C$12,Language!$C$1:$D$730,391,FALSE)</f>
        <v xml:space="preserve">Nahversorgung 3: Wochenmarkt (Max. Geh-/Fahrzeit mit ÖPNV 10 Min), (Max. Entfernung Luftlinie 700 m)
</v>
      </c>
      <c r="F284" s="363"/>
      <c r="G284" s="69"/>
      <c r="H284" s="18">
        <v>5</v>
      </c>
      <c r="I284" s="379"/>
      <c r="J284" s="340"/>
      <c r="K284" s="341"/>
      <c r="L284" s="341"/>
      <c r="M284" s="341"/>
      <c r="N284" s="342"/>
      <c r="P284" s="18">
        <f t="shared" si="4"/>
        <v>0</v>
      </c>
      <c r="Q284" s="338"/>
      <c r="R284" s="344"/>
      <c r="S284" s="344"/>
      <c r="T284" s="344"/>
      <c r="U284" s="475"/>
    </row>
    <row r="285" spans="2:22" ht="26.4" x14ac:dyDescent="0.25">
      <c r="B285" s="375"/>
      <c r="C285" s="390"/>
      <c r="D285" s="71" t="s">
        <v>257</v>
      </c>
      <c r="E285" s="134" t="str">
        <f>HLOOKUP(Deckblatt!$C$12,Language!$C$1:$D$730,392,FALSE)</f>
        <v xml:space="preserve">Gastronomie: Restaurant, Café, Bäckerei, Kantine, Mensa, etc. 
</v>
      </c>
      <c r="F285" s="363"/>
      <c r="G285" s="69"/>
      <c r="H285" s="18">
        <v>5</v>
      </c>
      <c r="I285" s="379"/>
      <c r="J285" s="340"/>
      <c r="K285" s="341"/>
      <c r="L285" s="341"/>
      <c r="M285" s="341"/>
      <c r="N285" s="342"/>
      <c r="P285" s="18">
        <f t="shared" si="4"/>
        <v>0</v>
      </c>
      <c r="Q285" s="338"/>
      <c r="R285" s="344"/>
      <c r="S285" s="344"/>
      <c r="T285" s="344"/>
      <c r="U285" s="475"/>
    </row>
    <row r="286" spans="2:22" ht="13.2" customHeight="1" x14ac:dyDescent="0.25">
      <c r="B286" s="345"/>
      <c r="C286" s="369" t="s">
        <v>64</v>
      </c>
      <c r="D286" s="352" t="str">
        <f>HLOOKUP(Deckblatt!$C$12,Language!$C$1:$D$730,396,FALSE)</f>
        <v>Synergien und Angebote an die Öffentlichkeit</v>
      </c>
      <c r="E286" s="353"/>
      <c r="F286" s="357"/>
      <c r="G286" s="113"/>
      <c r="H286" s="21">
        <v>50</v>
      </c>
      <c r="I286" s="349"/>
      <c r="J286" s="340"/>
      <c r="K286" s="341"/>
      <c r="L286" s="341"/>
      <c r="M286" s="341"/>
      <c r="N286" s="342"/>
      <c r="P286" s="18">
        <f t="shared" si="4"/>
        <v>0</v>
      </c>
      <c r="Q286" s="338"/>
      <c r="R286" s="344"/>
      <c r="S286" s="344"/>
      <c r="T286" s="344"/>
      <c r="U286" s="475"/>
    </row>
    <row r="287" spans="2:22" ht="27" thickBot="1" x14ac:dyDescent="0.3">
      <c r="B287" s="345"/>
      <c r="C287" s="486"/>
      <c r="D287" s="71" t="s">
        <v>66</v>
      </c>
      <c r="E287" s="134" t="str">
        <f>HLOOKUP(Deckblatt!$C$12,Language!$C$1:$D$730,397,FALSE)</f>
        <v xml:space="preserve">Konzepte und Ideen
</v>
      </c>
      <c r="F287" s="357"/>
      <c r="G287" s="69"/>
      <c r="H287" s="18">
        <v>50</v>
      </c>
      <c r="I287" s="349"/>
      <c r="J287" s="340"/>
      <c r="K287" s="341"/>
      <c r="L287" s="341"/>
      <c r="M287" s="341"/>
      <c r="N287" s="342"/>
      <c r="P287" s="18">
        <f t="shared" si="4"/>
        <v>0</v>
      </c>
      <c r="Q287" s="338"/>
      <c r="R287" s="344"/>
      <c r="S287" s="344"/>
      <c r="T287" s="344"/>
      <c r="U287" s="475"/>
    </row>
    <row r="288" spans="2:22" s="76" customFormat="1" ht="27" customHeight="1" x14ac:dyDescent="0.25">
      <c r="B288" s="345"/>
      <c r="C288" s="369" t="s">
        <v>67</v>
      </c>
      <c r="D288" s="400" t="str">
        <f>HLOOKUP(Deckblatt!$C$12,Language!$C$1:$D$730,398,FALSE)</f>
        <v>CIRCULAR ECONOMY BONUS – ANGEBOTE FÜR DIE TÄGLICHE VERSORGUNG UND ZUM AUSTAUSCH</v>
      </c>
      <c r="E288" s="401"/>
      <c r="F288" s="347"/>
      <c r="G288" s="113"/>
      <c r="H288" s="75">
        <v>10</v>
      </c>
      <c r="I288" s="349"/>
      <c r="J288" s="340"/>
      <c r="K288" s="341"/>
      <c r="L288" s="341"/>
      <c r="M288" s="341"/>
      <c r="N288" s="342"/>
      <c r="P288" s="18">
        <f t="shared" si="4"/>
        <v>0</v>
      </c>
      <c r="Q288" s="338"/>
      <c r="R288" s="344"/>
      <c r="S288" s="344"/>
      <c r="T288" s="344"/>
      <c r="U288" s="475"/>
      <c r="V288" s="183"/>
    </row>
    <row r="289" spans="2:21" ht="79.8" thickBot="1" x14ac:dyDescent="0.3">
      <c r="B289" s="377"/>
      <c r="C289" s="486"/>
      <c r="D289" s="121" t="s">
        <v>69</v>
      </c>
      <c r="E289"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289" s="378"/>
      <c r="G289" s="70"/>
      <c r="H289" s="59">
        <v>10</v>
      </c>
      <c r="I289" s="380"/>
      <c r="J289" s="340"/>
      <c r="K289" s="341"/>
      <c r="L289" s="341"/>
      <c r="M289" s="341"/>
      <c r="N289" s="342"/>
      <c r="P289" s="18">
        <f t="shared" si="4"/>
        <v>0</v>
      </c>
      <c r="Q289" s="339"/>
      <c r="R289" s="365"/>
      <c r="S289" s="365"/>
      <c r="T289" s="365"/>
      <c r="U289" s="475"/>
    </row>
    <row r="290" spans="2:21" x14ac:dyDescent="0.25">
      <c r="B290" s="49" t="s">
        <v>378</v>
      </c>
      <c r="C290" s="395" t="str">
        <f>HLOOKUP(Deckblatt!$C$12,Language!$C$1:$D$730,400,FALSE)</f>
        <v>Energieinfrastruktur</v>
      </c>
      <c r="D290" s="396"/>
      <c r="E290" s="397"/>
      <c r="F290" s="62">
        <f>Q290</f>
        <v>0</v>
      </c>
      <c r="G290" s="487"/>
      <c r="H290" s="51">
        <v>120</v>
      </c>
      <c r="I290" s="178">
        <v>4</v>
      </c>
      <c r="J290" s="340"/>
      <c r="K290" s="341"/>
      <c r="L290" s="341"/>
      <c r="M290" s="341"/>
      <c r="N290" s="342"/>
      <c r="P290" s="18">
        <f t="shared" si="4"/>
        <v>0</v>
      </c>
      <c r="Q290" s="337">
        <f>SUM(P292:P296,P298,P300,P302,P304,P306,P309)</f>
        <v>0</v>
      </c>
      <c r="R290" s="343">
        <f>Q290/100</f>
        <v>0</v>
      </c>
      <c r="S290" s="474">
        <v>0.2</v>
      </c>
      <c r="T290" s="343">
        <f>IF((R290*I290+R310*I310+R335*I335+R348*I348+R375*I375)/(I290+I310+I335+I348+I375)&gt;1,1,(R290*I290+R310*I310+R335*I335+R348*I348+R375*I375)/(I290+I310+I335+I348+I375))</f>
        <v>0</v>
      </c>
      <c r="U290" s="475"/>
    </row>
    <row r="291" spans="2:21" ht="13.2" customHeight="1" x14ac:dyDescent="0.25">
      <c r="B291" s="345"/>
      <c r="C291" s="359" t="s">
        <v>54</v>
      </c>
      <c r="D291" s="352" t="str">
        <f>HLOOKUP(Deckblatt!$C$12,Language!$C$1:$D$730,401,FALSE)</f>
        <v>Integrales Energiekonzept</v>
      </c>
      <c r="E291" s="353"/>
      <c r="F291" s="347"/>
      <c r="G291" s="374"/>
      <c r="H291" s="21">
        <v>30</v>
      </c>
      <c r="I291" s="349"/>
      <c r="J291" s="340"/>
      <c r="K291" s="341"/>
      <c r="L291" s="341"/>
      <c r="M291" s="341"/>
      <c r="N291" s="342"/>
      <c r="P291" s="18">
        <f t="shared" si="4"/>
        <v>0</v>
      </c>
      <c r="Q291" s="338"/>
      <c r="R291" s="344"/>
      <c r="S291" s="474"/>
      <c r="T291" s="344"/>
      <c r="U291" s="475"/>
    </row>
    <row r="292" spans="2:21" ht="26.4" x14ac:dyDescent="0.25">
      <c r="B292" s="346"/>
      <c r="C292" s="390"/>
      <c r="D292" s="71" t="s">
        <v>58</v>
      </c>
      <c r="E292" s="229" t="str">
        <f>HLOOKUP(Deckblatt!$C$12,Language!$C$1:$D$730,402,FALSE)</f>
        <v xml:space="preserve">Energiebedarf
</v>
      </c>
      <c r="F292" s="348"/>
      <c r="G292" s="69"/>
      <c r="H292" s="18">
        <v>7</v>
      </c>
      <c r="I292" s="350"/>
      <c r="J292" s="340"/>
      <c r="K292" s="341"/>
      <c r="L292" s="341"/>
      <c r="M292" s="341"/>
      <c r="N292" s="342"/>
      <c r="P292" s="18">
        <f t="shared" si="4"/>
        <v>0</v>
      </c>
      <c r="Q292" s="338"/>
      <c r="R292" s="344"/>
      <c r="S292" s="474"/>
      <c r="T292" s="344"/>
      <c r="U292" s="475"/>
    </row>
    <row r="293" spans="2:21" x14ac:dyDescent="0.25">
      <c r="B293" s="346"/>
      <c r="C293" s="390"/>
      <c r="D293" s="71" t="s">
        <v>181</v>
      </c>
      <c r="E293" s="229" t="str">
        <f>HLOOKUP(Deckblatt!$C$12,Language!$C$1:$D$730,403,FALSE)</f>
        <v>Energiepotential</v>
      </c>
      <c r="F293" s="348"/>
      <c r="G293" s="69"/>
      <c r="H293" s="18">
        <v>7</v>
      </c>
      <c r="I293" s="350"/>
      <c r="J293" s="340"/>
      <c r="K293" s="341"/>
      <c r="L293" s="341"/>
      <c r="M293" s="341"/>
      <c r="N293" s="342"/>
      <c r="P293" s="18">
        <f t="shared" si="4"/>
        <v>0</v>
      </c>
      <c r="Q293" s="338"/>
      <c r="R293" s="344"/>
      <c r="S293" s="474"/>
      <c r="T293" s="344"/>
      <c r="U293" s="475"/>
    </row>
    <row r="294" spans="2:21" ht="26.4" x14ac:dyDescent="0.25">
      <c r="B294" s="346"/>
      <c r="C294" s="390"/>
      <c r="D294" s="71" t="s">
        <v>246</v>
      </c>
      <c r="E294" s="229" t="str">
        <f>HLOOKUP(Deckblatt!$C$12,Language!$C$1:$D$730,404,FALSE)</f>
        <v xml:space="preserve">Energiebilanz
</v>
      </c>
      <c r="F294" s="348"/>
      <c r="G294" s="69"/>
      <c r="H294" s="18">
        <v>4</v>
      </c>
      <c r="I294" s="350"/>
      <c r="J294" s="340"/>
      <c r="K294" s="341"/>
      <c r="L294" s="341"/>
      <c r="M294" s="341"/>
      <c r="N294" s="342"/>
      <c r="P294" s="18">
        <f t="shared" si="4"/>
        <v>0</v>
      </c>
      <c r="Q294" s="338"/>
      <c r="R294" s="344"/>
      <c r="S294" s="474"/>
      <c r="T294" s="344"/>
      <c r="U294" s="475"/>
    </row>
    <row r="295" spans="2:21" ht="26.4" x14ac:dyDescent="0.25">
      <c r="B295" s="346"/>
      <c r="C295" s="390"/>
      <c r="D295" s="71" t="s">
        <v>250</v>
      </c>
      <c r="E295" s="229" t="str">
        <f>HLOOKUP(Deckblatt!$C$12,Language!$C$1:$D$730,405,FALSE)</f>
        <v xml:space="preserve">Energieversorgungsvarianten
</v>
      </c>
      <c r="F295" s="348"/>
      <c r="G295" s="69"/>
      <c r="H295" s="18">
        <v>7</v>
      </c>
      <c r="I295" s="350"/>
      <c r="J295" s="340"/>
      <c r="K295" s="341"/>
      <c r="L295" s="341"/>
      <c r="M295" s="341"/>
      <c r="N295" s="342"/>
      <c r="P295" s="18">
        <f t="shared" si="4"/>
        <v>0</v>
      </c>
      <c r="Q295" s="338"/>
      <c r="R295" s="344"/>
      <c r="S295" s="474"/>
      <c r="T295" s="344"/>
      <c r="U295" s="475"/>
    </row>
    <row r="296" spans="2:21" ht="26.4" x14ac:dyDescent="0.25">
      <c r="B296" s="346"/>
      <c r="C296" s="360"/>
      <c r="D296" s="71" t="s">
        <v>121</v>
      </c>
      <c r="E296" s="229" t="str">
        <f>HLOOKUP(Deckblatt!$C$12,Language!$C$1:$D$730,406,FALSE)</f>
        <v xml:space="preserve">Investitionen und Betriebskosten
</v>
      </c>
      <c r="F296" s="348"/>
      <c r="G296" s="69"/>
      <c r="H296" s="18">
        <v>5</v>
      </c>
      <c r="I296" s="350"/>
      <c r="J296" s="340"/>
      <c r="K296" s="341"/>
      <c r="L296" s="341"/>
      <c r="M296" s="341"/>
      <c r="N296" s="342"/>
      <c r="P296" s="18">
        <f t="shared" si="4"/>
        <v>0</v>
      </c>
      <c r="Q296" s="338"/>
      <c r="R296" s="344"/>
      <c r="S296" s="474"/>
      <c r="T296" s="344"/>
      <c r="U296" s="475"/>
    </row>
    <row r="297" spans="2:21" ht="13.2" customHeight="1" x14ac:dyDescent="0.25">
      <c r="B297" s="346"/>
      <c r="C297" s="351" t="s">
        <v>61</v>
      </c>
      <c r="D297" s="352" t="str">
        <f>HLOOKUP(Deckblatt!$C$12,Language!$C$1:$D$730,407,FALSE)</f>
        <v>Kohärente Versorgungsstruktur</v>
      </c>
      <c r="E297" s="353"/>
      <c r="F297" s="348"/>
      <c r="G297" s="113"/>
      <c r="H297" s="21">
        <v>20</v>
      </c>
      <c r="I297" s="350"/>
      <c r="J297" s="340"/>
      <c r="K297" s="341"/>
      <c r="L297" s="341"/>
      <c r="M297" s="341"/>
      <c r="N297" s="342"/>
      <c r="P297" s="18">
        <f t="shared" si="4"/>
        <v>0</v>
      </c>
      <c r="Q297" s="338"/>
      <c r="R297" s="344"/>
      <c r="S297" s="474"/>
      <c r="T297" s="344"/>
      <c r="U297" s="475"/>
    </row>
    <row r="298" spans="2:21" ht="39.6" x14ac:dyDescent="0.25">
      <c r="B298" s="346"/>
      <c r="C298" s="351"/>
      <c r="D298" s="71" t="s">
        <v>63</v>
      </c>
      <c r="E298" s="229" t="str">
        <f>HLOOKUP(Deckblatt!$C$12,Language!$C$1:$D$730,408,FALSE)</f>
        <v xml:space="preserve">Wärme- und Kälteversorgungsstruktur
Eine kohärente Wärme- bzw. Kälteversorgungsstruktur ist gegeben.
</v>
      </c>
      <c r="F298" s="348"/>
      <c r="G298" s="69"/>
      <c r="H298" s="18">
        <v>20</v>
      </c>
      <c r="I298" s="350"/>
      <c r="J298" s="340"/>
      <c r="K298" s="341"/>
      <c r="L298" s="341"/>
      <c r="M298" s="341"/>
      <c r="N298" s="342"/>
      <c r="P298" s="18">
        <f t="shared" si="4"/>
        <v>0</v>
      </c>
      <c r="Q298" s="338"/>
      <c r="R298" s="344"/>
      <c r="S298" s="474"/>
      <c r="T298" s="344"/>
      <c r="U298" s="475"/>
    </row>
    <row r="299" spans="2:21" ht="13.2" customHeight="1" x14ac:dyDescent="0.25">
      <c r="B299" s="346"/>
      <c r="C299" s="351" t="s">
        <v>64</v>
      </c>
      <c r="D299" s="352" t="str">
        <f>HLOOKUP(Deckblatt!$C$12,Language!$C$1:$D$730,409,FALSE)</f>
        <v>Nutzung von Synergien</v>
      </c>
      <c r="E299" s="353"/>
      <c r="F299" s="348"/>
      <c r="G299" s="113"/>
      <c r="H299" s="21">
        <v>40</v>
      </c>
      <c r="I299" s="350"/>
      <c r="J299" s="340"/>
      <c r="K299" s="341"/>
      <c r="L299" s="341"/>
      <c r="M299" s="341"/>
      <c r="N299" s="342"/>
      <c r="P299" s="18">
        <f t="shared" si="4"/>
        <v>0</v>
      </c>
      <c r="Q299" s="338"/>
      <c r="R299" s="344"/>
      <c r="S299" s="474"/>
      <c r="T299" s="344"/>
      <c r="U299" s="475"/>
    </row>
    <row r="300" spans="2:21" ht="52.8" x14ac:dyDescent="0.25">
      <c r="B300" s="346"/>
      <c r="C300" s="351"/>
      <c r="D300" s="71" t="s">
        <v>66</v>
      </c>
      <c r="E300" s="134" t="str">
        <f>HLOOKUP(Deckblatt!$C$12,Language!$C$1:$D$730,410,FALSE)</f>
        <v xml:space="preserve">Synergien und Energiekreisläufe
Durch die gemeinsame Planung von Gebäuden und Anlagen werden integrale Energiekreisläufe für Strom,  Wärme und Kälte in signifikantem  Umfang geschaffen. </v>
      </c>
      <c r="F300" s="348"/>
      <c r="G300" s="69"/>
      <c r="H300" s="18">
        <v>30</v>
      </c>
      <c r="I300" s="350"/>
      <c r="J300" s="340"/>
      <c r="K300" s="341"/>
      <c r="L300" s="341"/>
      <c r="M300" s="341"/>
      <c r="N300" s="342"/>
      <c r="P300" s="18">
        <f t="shared" si="4"/>
        <v>0</v>
      </c>
      <c r="Q300" s="338"/>
      <c r="R300" s="344"/>
      <c r="S300" s="474"/>
      <c r="T300" s="344"/>
      <c r="U300" s="475"/>
    </row>
    <row r="301" spans="2:21" ht="26.4" x14ac:dyDescent="0.25">
      <c r="B301" s="346"/>
      <c r="C301" s="351"/>
      <c r="D301" s="398" t="s">
        <v>188</v>
      </c>
      <c r="E301" s="54" t="str">
        <f>HLOOKUP(Deckblatt!$C$12,Language!$C$1:$D$730,411,FALSE)</f>
        <v>AGENDA 2030 BONUS – NUTZUNG ERNEUERBARER ENERGIETRÄGER UND ENERGIEERZEUGUNG</v>
      </c>
      <c r="F301" s="348"/>
      <c r="G301" s="113"/>
      <c r="H301" s="21">
        <v>10</v>
      </c>
      <c r="I301" s="350"/>
      <c r="J301" s="340"/>
      <c r="K301" s="341"/>
      <c r="L301" s="341"/>
      <c r="M301" s="341"/>
      <c r="N301" s="342"/>
      <c r="P301" s="18">
        <f t="shared" si="4"/>
        <v>0</v>
      </c>
      <c r="Q301" s="338"/>
      <c r="R301" s="344"/>
      <c r="S301" s="474"/>
      <c r="T301" s="344"/>
      <c r="U301" s="475"/>
    </row>
    <row r="302" spans="2:21" ht="105.6" x14ac:dyDescent="0.25">
      <c r="B302" s="346"/>
      <c r="C302" s="351"/>
      <c r="D302" s="399"/>
      <c r="E302"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02" s="348"/>
      <c r="G302" s="69"/>
      <c r="H302" s="18">
        <v>10</v>
      </c>
      <c r="I302" s="350"/>
      <c r="J302" s="340"/>
      <c r="K302" s="341"/>
      <c r="L302" s="341"/>
      <c r="M302" s="341"/>
      <c r="N302" s="342"/>
      <c r="P302" s="18">
        <f t="shared" si="4"/>
        <v>0</v>
      </c>
      <c r="Q302" s="338"/>
      <c r="R302" s="344"/>
      <c r="S302" s="474"/>
      <c r="T302" s="344"/>
      <c r="U302" s="475"/>
    </row>
    <row r="303" spans="2:21" ht="13.2" customHeight="1" x14ac:dyDescent="0.25">
      <c r="B303" s="346"/>
      <c r="C303" s="369" t="s">
        <v>67</v>
      </c>
      <c r="D303" s="352" t="str">
        <f>HLOOKUP(Deckblatt!$C$12,Language!$C$1:$D$730,413,FALSE)</f>
        <v>Energiemanagement und Energieaudits</v>
      </c>
      <c r="E303" s="353"/>
      <c r="F303" s="348"/>
      <c r="G303" s="113"/>
      <c r="H303" s="21">
        <v>10</v>
      </c>
      <c r="I303" s="350"/>
      <c r="J303" s="340"/>
      <c r="K303" s="341"/>
      <c r="L303" s="341"/>
      <c r="M303" s="341"/>
      <c r="N303" s="342"/>
      <c r="P303" s="18">
        <f t="shared" si="4"/>
        <v>0</v>
      </c>
      <c r="Q303" s="338"/>
      <c r="R303" s="344"/>
      <c r="S303" s="474"/>
      <c r="T303" s="344"/>
      <c r="U303" s="475"/>
    </row>
    <row r="304" spans="2:21" ht="66" x14ac:dyDescent="0.25">
      <c r="B304" s="346"/>
      <c r="C304" s="479"/>
      <c r="D304" s="71" t="s">
        <v>69</v>
      </c>
      <c r="E304"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04" s="348"/>
      <c r="G304" s="69"/>
      <c r="H304" s="18">
        <v>10</v>
      </c>
      <c r="I304" s="350"/>
      <c r="J304" s="340"/>
      <c r="K304" s="341"/>
      <c r="L304" s="341"/>
      <c r="M304" s="341"/>
      <c r="N304" s="342"/>
      <c r="P304" s="18">
        <f t="shared" si="4"/>
        <v>0</v>
      </c>
      <c r="Q304" s="338"/>
      <c r="R304" s="344"/>
      <c r="S304" s="474"/>
      <c r="T304" s="344"/>
      <c r="U304" s="475"/>
    </row>
    <row r="305" spans="2:21" ht="13.2" customHeight="1" x14ac:dyDescent="0.25">
      <c r="B305" s="346"/>
      <c r="C305" s="369" t="s">
        <v>154</v>
      </c>
      <c r="D305" s="352" t="str">
        <f>HLOOKUP(Deckblatt!$C$12,Language!$C$1:$D$730,415,FALSE)</f>
        <v>Lastmanagement</v>
      </c>
      <c r="E305" s="353"/>
      <c r="F305" s="348"/>
      <c r="G305" s="113"/>
      <c r="H305" s="21">
        <v>10</v>
      </c>
      <c r="I305" s="350"/>
      <c r="J305" s="340"/>
      <c r="K305" s="341"/>
      <c r="L305" s="341"/>
      <c r="M305" s="341"/>
      <c r="N305" s="342"/>
      <c r="P305" s="18">
        <f t="shared" si="4"/>
        <v>0</v>
      </c>
      <c r="Q305" s="338"/>
      <c r="R305" s="344"/>
      <c r="S305" s="474"/>
      <c r="T305" s="344"/>
      <c r="U305" s="475"/>
    </row>
    <row r="306" spans="2:21" ht="52.8" x14ac:dyDescent="0.25">
      <c r="B306" s="346"/>
      <c r="C306" s="479"/>
      <c r="D306" s="71" t="s">
        <v>156</v>
      </c>
      <c r="E306" s="134" t="str">
        <f>HLOOKUP(Deckblatt!$C$12,Language!$C$1:$D$730,416,FALSE)</f>
        <v xml:space="preserve">Lastmanagement auf Quartierebene
Es wurde ein Lastmanagement auf Ebene des Quartiers bzw. für große Verbraucher eingeführt.
</v>
      </c>
      <c r="F306" s="348"/>
      <c r="G306" s="69"/>
      <c r="H306" s="18">
        <v>10</v>
      </c>
      <c r="I306" s="350"/>
      <c r="J306" s="340"/>
      <c r="K306" s="341"/>
      <c r="L306" s="341"/>
      <c r="M306" s="341"/>
      <c r="N306" s="342"/>
      <c r="P306" s="18">
        <f t="shared" si="4"/>
        <v>0</v>
      </c>
      <c r="Q306" s="338"/>
      <c r="R306" s="344"/>
      <c r="S306" s="474"/>
      <c r="T306" s="344"/>
      <c r="U306" s="475"/>
    </row>
    <row r="307" spans="2:21" ht="13.2" customHeight="1" x14ac:dyDescent="0.25">
      <c r="B307" s="346"/>
      <c r="C307" s="369" t="s">
        <v>157</v>
      </c>
      <c r="D307" s="352" t="str">
        <f>HLOOKUP(Deckblatt!$C$12,Language!$C$1:$D$730,417,FALSE)</f>
        <v>Energieerzeugung im Quartier</v>
      </c>
      <c r="E307" s="353"/>
      <c r="F307" s="348"/>
      <c r="G307" s="113"/>
      <c r="H307" s="21">
        <v>10</v>
      </c>
      <c r="I307" s="350"/>
      <c r="J307" s="340"/>
      <c r="K307" s="341"/>
      <c r="L307" s="341"/>
      <c r="M307" s="341"/>
      <c r="N307" s="342"/>
      <c r="P307" s="18">
        <f t="shared" si="4"/>
        <v>0</v>
      </c>
      <c r="Q307" s="338"/>
      <c r="R307" s="344"/>
      <c r="S307" s="474"/>
      <c r="T307" s="344"/>
      <c r="U307" s="475"/>
    </row>
    <row r="308" spans="2:21" ht="26.4" x14ac:dyDescent="0.25">
      <c r="B308" s="346"/>
      <c r="C308" s="480"/>
      <c r="D308" s="398" t="s">
        <v>160</v>
      </c>
      <c r="E308" s="54" t="str">
        <f>HLOOKUP(Deckblatt!$C$12,Language!$C$1:$D$730,419,FALSE)</f>
        <v>AGENDA 2030 BONUS – NUTZUNG DER FASSADENFLÄCHEN ZUR ENERGIEGEWINNUNG</v>
      </c>
      <c r="F308" s="348"/>
      <c r="G308" s="113"/>
      <c r="H308" s="21">
        <v>10</v>
      </c>
      <c r="I308" s="350"/>
      <c r="J308" s="340"/>
      <c r="K308" s="341"/>
      <c r="L308" s="341"/>
      <c r="M308" s="341"/>
      <c r="N308" s="342"/>
      <c r="P308" s="18">
        <f t="shared" si="4"/>
        <v>0</v>
      </c>
      <c r="Q308" s="338"/>
      <c r="R308" s="344"/>
      <c r="S308" s="474"/>
      <c r="T308" s="344"/>
      <c r="U308" s="475"/>
    </row>
    <row r="309" spans="2:21" ht="68.400000000000006" customHeight="1" x14ac:dyDescent="0.25">
      <c r="B309" s="370"/>
      <c r="C309" s="479"/>
      <c r="D309" s="399"/>
      <c r="E309"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09" s="371"/>
      <c r="G309" s="69"/>
      <c r="H309" s="18">
        <v>10</v>
      </c>
      <c r="I309" s="366"/>
      <c r="J309" s="340"/>
      <c r="K309" s="341"/>
      <c r="L309" s="341"/>
      <c r="M309" s="341"/>
      <c r="N309" s="342"/>
      <c r="P309" s="18">
        <f t="shared" si="4"/>
        <v>0</v>
      </c>
      <c r="Q309" s="339"/>
      <c r="R309" s="365"/>
      <c r="S309" s="474"/>
      <c r="T309" s="344"/>
      <c r="U309" s="475"/>
    </row>
    <row r="310" spans="2:21" x14ac:dyDescent="0.25">
      <c r="B310" s="55" t="s">
        <v>391</v>
      </c>
      <c r="C310" s="354" t="str">
        <f>HLOOKUP(Deckblatt!$C$12,Language!$C$1:$D$730,423,FALSE)</f>
        <v>Wertstoffmanagement</v>
      </c>
      <c r="D310" s="354"/>
      <c r="E310" s="355"/>
      <c r="F310" s="66">
        <f>Q310</f>
        <v>0</v>
      </c>
      <c r="G310" s="364"/>
      <c r="H310" s="21">
        <v>120</v>
      </c>
      <c r="I310" s="176">
        <v>2</v>
      </c>
      <c r="J310" s="340"/>
      <c r="K310" s="341"/>
      <c r="L310" s="341"/>
      <c r="M310" s="341"/>
      <c r="N310" s="342"/>
      <c r="P310" s="18">
        <f t="shared" si="4"/>
        <v>0</v>
      </c>
      <c r="Q310" s="337">
        <f>SUM(P312:P316,P318:P322,P324,P326,P328:P331,P333:P334)</f>
        <v>0</v>
      </c>
      <c r="R310" s="490">
        <f>Q310/100</f>
        <v>0</v>
      </c>
      <c r="S310" s="474"/>
      <c r="T310" s="344"/>
      <c r="U310" s="475"/>
    </row>
    <row r="311" spans="2:21" ht="13.2" customHeight="1" x14ac:dyDescent="0.25">
      <c r="B311" s="375"/>
      <c r="C311" s="359" t="s">
        <v>54</v>
      </c>
      <c r="D311" s="352" t="str">
        <f>HLOOKUP(Deckblatt!$C$12,Language!$C$1:$D$730,424,FALSE)</f>
        <v>Konzept für Wertstoffnutzung</v>
      </c>
      <c r="E311" s="353"/>
      <c r="F311" s="363"/>
      <c r="G311" s="364"/>
      <c r="H311" s="21">
        <v>16</v>
      </c>
      <c r="I311" s="379"/>
      <c r="J311" s="340"/>
      <c r="K311" s="341"/>
      <c r="L311" s="341"/>
      <c r="M311" s="341"/>
      <c r="N311" s="342"/>
      <c r="P311" s="18">
        <f t="shared" si="4"/>
        <v>0</v>
      </c>
      <c r="Q311" s="338"/>
      <c r="R311" s="491"/>
      <c r="S311" s="474"/>
      <c r="T311" s="344"/>
      <c r="U311" s="475"/>
    </row>
    <row r="312" spans="2:21" ht="26.4" x14ac:dyDescent="0.25">
      <c r="B312" s="375"/>
      <c r="C312" s="390"/>
      <c r="D312" s="71" t="s">
        <v>58</v>
      </c>
      <c r="E312" s="134" t="str">
        <f>HLOOKUP(Deckblatt!$C$12,Language!$C$1:$D$730,425,FALSE)</f>
        <v xml:space="preserve">Konzept Wertstoffnutzung
</v>
      </c>
      <c r="F312" s="363"/>
      <c r="G312" s="69"/>
      <c r="H312" s="18">
        <v>10</v>
      </c>
      <c r="I312" s="379"/>
      <c r="J312" s="340"/>
      <c r="K312" s="341"/>
      <c r="L312" s="341"/>
      <c r="M312" s="341"/>
      <c r="N312" s="342"/>
      <c r="P312" s="18">
        <f t="shared" si="4"/>
        <v>0</v>
      </c>
      <c r="Q312" s="338"/>
      <c r="R312" s="491"/>
      <c r="S312" s="474"/>
      <c r="T312" s="344"/>
      <c r="U312" s="475"/>
    </row>
    <row r="313" spans="2:21" ht="26.4" x14ac:dyDescent="0.25">
      <c r="B313" s="375"/>
      <c r="C313" s="390"/>
      <c r="D313" s="71" t="s">
        <v>181</v>
      </c>
      <c r="E313" s="134" t="str">
        <f>HLOOKUP(Deckblatt!$C$12,Language!$C$1:$D$730,426,FALSE)</f>
        <v xml:space="preserve">Abfallvermeidung und Abfallverwertung
</v>
      </c>
      <c r="F313" s="363"/>
      <c r="G313" s="69"/>
      <c r="H313" s="18">
        <v>4</v>
      </c>
      <c r="I313" s="379"/>
      <c r="J313" s="340"/>
      <c r="K313" s="341"/>
      <c r="L313" s="341"/>
      <c r="M313" s="341"/>
      <c r="N313" s="342"/>
      <c r="P313" s="18">
        <f t="shared" si="4"/>
        <v>0</v>
      </c>
      <c r="Q313" s="338"/>
      <c r="R313" s="491"/>
      <c r="S313" s="474"/>
      <c r="T313" s="344"/>
      <c r="U313" s="475"/>
    </row>
    <row r="314" spans="2:21" ht="26.4" x14ac:dyDescent="0.25">
      <c r="B314" s="375"/>
      <c r="C314" s="360"/>
      <c r="D314" s="71" t="s">
        <v>246</v>
      </c>
      <c r="E314" s="134" t="str">
        <f>HLOOKUP(Deckblatt!$C$12,Language!$C$1:$D$730,427,FALSE)</f>
        <v xml:space="preserve">Methoden, Anlagen und Einrichtungen
</v>
      </c>
      <c r="F314" s="363"/>
      <c r="G314" s="69"/>
      <c r="H314" s="18">
        <v>2</v>
      </c>
      <c r="I314" s="379"/>
      <c r="J314" s="340"/>
      <c r="K314" s="341"/>
      <c r="L314" s="341"/>
      <c r="M314" s="341"/>
      <c r="N314" s="342"/>
      <c r="P314" s="18">
        <f t="shared" si="4"/>
        <v>0</v>
      </c>
      <c r="Q314" s="338"/>
      <c r="R314" s="491"/>
      <c r="S314" s="474"/>
      <c r="T314" s="344"/>
      <c r="U314" s="475"/>
    </row>
    <row r="315" spans="2:21" ht="13.2" customHeight="1" x14ac:dyDescent="0.25">
      <c r="B315" s="375"/>
      <c r="C315" s="369" t="s">
        <v>61</v>
      </c>
      <c r="D315" s="352" t="str">
        <f>HLOOKUP(Deckblatt!$C$12,Language!$C$1:$D$730,431,FALSE)</f>
        <v>Abfallmanagement</v>
      </c>
      <c r="E315" s="353"/>
      <c r="F315" s="363"/>
      <c r="G315" s="113"/>
      <c r="H315" s="21">
        <v>10</v>
      </c>
      <c r="I315" s="379"/>
      <c r="J315" s="340"/>
      <c r="K315" s="341"/>
      <c r="L315" s="341"/>
      <c r="M315" s="341"/>
      <c r="N315" s="342"/>
      <c r="P315" s="18">
        <f t="shared" si="4"/>
        <v>0</v>
      </c>
      <c r="Q315" s="338"/>
      <c r="R315" s="491"/>
      <c r="S315" s="474"/>
      <c r="T315" s="344"/>
      <c r="U315" s="475"/>
    </row>
    <row r="316" spans="2:21" ht="39.6" x14ac:dyDescent="0.25">
      <c r="B316" s="375"/>
      <c r="C316" s="360"/>
      <c r="D316" s="71" t="s">
        <v>63</v>
      </c>
      <c r="E316" s="134" t="str">
        <f>HLOOKUP(Deckblatt!$C$12,Language!$C$1:$D$730,432,FALSE)</f>
        <v xml:space="preserve">Zentrales Abfallmanagement
Es gibt ein quartiersbezogenes zentrales Abfallmanagement.
</v>
      </c>
      <c r="F316" s="363"/>
      <c r="G316" s="69"/>
      <c r="H316" s="18">
        <v>10</v>
      </c>
      <c r="I316" s="379"/>
      <c r="J316" s="340"/>
      <c r="K316" s="341"/>
      <c r="L316" s="341"/>
      <c r="M316" s="341"/>
      <c r="N316" s="342"/>
      <c r="P316" s="18">
        <f t="shared" si="4"/>
        <v>0</v>
      </c>
      <c r="Q316" s="338"/>
      <c r="R316" s="491"/>
      <c r="S316" s="474"/>
      <c r="T316" s="344"/>
      <c r="U316" s="475"/>
    </row>
    <row r="317" spans="2:21" ht="13.2" customHeight="1" x14ac:dyDescent="0.25">
      <c r="B317" s="375"/>
      <c r="C317" s="351" t="s">
        <v>64</v>
      </c>
      <c r="D317" s="352" t="str">
        <f>HLOOKUP(Deckblatt!$C$12,Language!$C$1:$D$730,433,FALSE)</f>
        <v>Abfallvermeidung</v>
      </c>
      <c r="E317" s="353"/>
      <c r="F317" s="363"/>
      <c r="G317" s="113"/>
      <c r="H317" s="21">
        <v>35</v>
      </c>
      <c r="I317" s="379"/>
      <c r="J317" s="340"/>
      <c r="K317" s="341"/>
      <c r="L317" s="341"/>
      <c r="M317" s="341"/>
      <c r="N317" s="342"/>
      <c r="P317" s="18">
        <f t="shared" si="4"/>
        <v>0</v>
      </c>
      <c r="Q317" s="338"/>
      <c r="R317" s="491"/>
      <c r="S317" s="474"/>
      <c r="T317" s="344"/>
      <c r="U317" s="475"/>
    </row>
    <row r="318" spans="2:21" ht="26.4" x14ac:dyDescent="0.25">
      <c r="B318" s="375"/>
      <c r="C318" s="351"/>
      <c r="D318" s="71" t="s">
        <v>188</v>
      </c>
      <c r="E318" s="134" t="str">
        <f>HLOOKUP(Deckblatt!$C$12,Language!$C$1:$D$730,435,FALSE)</f>
        <v xml:space="preserve">Quartiersbezogenes Wertstofferfassungssystem
</v>
      </c>
      <c r="F318" s="363"/>
      <c r="G318" s="69"/>
      <c r="H318" s="18">
        <v>10</v>
      </c>
      <c r="I318" s="379"/>
      <c r="J318" s="340"/>
      <c r="K318" s="341"/>
      <c r="L318" s="341"/>
      <c r="M318" s="341"/>
      <c r="N318" s="342"/>
      <c r="P318" s="18">
        <f t="shared" si="4"/>
        <v>0</v>
      </c>
      <c r="Q318" s="338"/>
      <c r="R318" s="491"/>
      <c r="S318" s="474"/>
      <c r="T318" s="344"/>
      <c r="U318" s="475"/>
    </row>
    <row r="319" spans="2:21" ht="26.4" x14ac:dyDescent="0.25">
      <c r="B319" s="375"/>
      <c r="C319" s="351"/>
      <c r="D319" s="71" t="s">
        <v>150</v>
      </c>
      <c r="E319" s="134" t="str">
        <f>HLOOKUP(Deckblatt!$C$12,Language!$C$1:$D$730,436,FALSE)</f>
        <v xml:space="preserve">Maßnahmen zur Verringerung von Verpackungsmüll
</v>
      </c>
      <c r="F319" s="363"/>
      <c r="G319" s="69"/>
      <c r="H319" s="18">
        <v>10</v>
      </c>
      <c r="I319" s="379"/>
      <c r="J319" s="340"/>
      <c r="K319" s="341"/>
      <c r="L319" s="341"/>
      <c r="M319" s="341"/>
      <c r="N319" s="342"/>
      <c r="P319" s="18">
        <f t="shared" si="4"/>
        <v>0</v>
      </c>
      <c r="Q319" s="338"/>
      <c r="R319" s="491"/>
      <c r="S319" s="474"/>
      <c r="T319" s="344"/>
      <c r="U319" s="475"/>
    </row>
    <row r="320" spans="2:21" ht="26.4" x14ac:dyDescent="0.25">
      <c r="B320" s="375"/>
      <c r="C320" s="351"/>
      <c r="D320" s="71" t="s">
        <v>377</v>
      </c>
      <c r="E320" s="134" t="str">
        <f>HLOOKUP(Deckblatt!$C$12,Language!$C$1:$D$730,437,FALSE)</f>
        <v xml:space="preserve">Abfallvermeidung für Mieter/Gewerbetreibende
</v>
      </c>
      <c r="F320" s="363"/>
      <c r="G320" s="69"/>
      <c r="H320" s="18">
        <v>5</v>
      </c>
      <c r="I320" s="379"/>
      <c r="J320" s="340"/>
      <c r="K320" s="341"/>
      <c r="L320" s="341"/>
      <c r="M320" s="341"/>
      <c r="N320" s="342"/>
      <c r="P320" s="18">
        <f t="shared" si="4"/>
        <v>0</v>
      </c>
      <c r="Q320" s="338"/>
      <c r="R320" s="491"/>
      <c r="S320" s="474"/>
      <c r="T320" s="344"/>
      <c r="U320" s="475"/>
    </row>
    <row r="321" spans="2:21" ht="25.2" customHeight="1" x14ac:dyDescent="0.25">
      <c r="B321" s="375"/>
      <c r="C321" s="351"/>
      <c r="D321" s="71" t="s">
        <v>189</v>
      </c>
      <c r="E321" s="134" t="str">
        <f>HLOOKUP(Deckblatt!$C$12,Language!$C$1:$D$730,438,FALSE)</f>
        <v xml:space="preserve">Besucher Informationskampagne
</v>
      </c>
      <c r="F321" s="363"/>
      <c r="G321" s="69"/>
      <c r="H321" s="18">
        <v>5</v>
      </c>
      <c r="I321" s="379"/>
      <c r="J321" s="340"/>
      <c r="K321" s="341"/>
      <c r="L321" s="341"/>
      <c r="M321" s="341"/>
      <c r="N321" s="342"/>
      <c r="P321" s="18">
        <f t="shared" si="4"/>
        <v>0</v>
      </c>
      <c r="Q321" s="338"/>
      <c r="R321" s="491"/>
      <c r="S321" s="474"/>
      <c r="T321" s="344"/>
      <c r="U321" s="475"/>
    </row>
    <row r="322" spans="2:21" ht="26.4" x14ac:dyDescent="0.25">
      <c r="B322" s="375"/>
      <c r="C322" s="351"/>
      <c r="D322" s="71" t="s">
        <v>190</v>
      </c>
      <c r="E322" s="134" t="str">
        <f>HLOOKUP(Deckblatt!$C$12,Language!$C$1:$D$730,439,FALSE)</f>
        <v xml:space="preserve">Schulung der Mitarbeiter
</v>
      </c>
      <c r="F322" s="363"/>
      <c r="G322" s="69"/>
      <c r="H322" s="18">
        <v>5</v>
      </c>
      <c r="I322" s="379"/>
      <c r="J322" s="340"/>
      <c r="K322" s="341"/>
      <c r="L322" s="341"/>
      <c r="M322" s="341"/>
      <c r="N322" s="342"/>
      <c r="P322" s="18">
        <f t="shared" si="4"/>
        <v>0</v>
      </c>
      <c r="Q322" s="338"/>
      <c r="R322" s="491"/>
      <c r="S322" s="474"/>
      <c r="T322" s="344"/>
      <c r="U322" s="475"/>
    </row>
    <row r="323" spans="2:21" ht="13.2" customHeight="1" x14ac:dyDescent="0.25">
      <c r="B323" s="375"/>
      <c r="C323" s="351" t="s">
        <v>67</v>
      </c>
      <c r="D323" s="352" t="str">
        <f>HLOOKUP(Deckblatt!$C$12,Language!$C$1:$D$730,441,FALSE)</f>
        <v>Wiederverwendung</v>
      </c>
      <c r="E323" s="353"/>
      <c r="F323" s="363"/>
      <c r="G323" s="113"/>
      <c r="H323" s="21">
        <v>10</v>
      </c>
      <c r="I323" s="379"/>
      <c r="J323" s="340"/>
      <c r="K323" s="341"/>
      <c r="L323" s="341"/>
      <c r="M323" s="341"/>
      <c r="N323" s="342"/>
      <c r="P323" s="18">
        <f t="shared" si="4"/>
        <v>0</v>
      </c>
      <c r="Q323" s="338"/>
      <c r="R323" s="491"/>
      <c r="S323" s="474"/>
      <c r="T323" s="344"/>
      <c r="U323" s="475"/>
    </row>
    <row r="324" spans="2:21" ht="69.599999999999994" customHeight="1" x14ac:dyDescent="0.25">
      <c r="B324" s="375"/>
      <c r="C324" s="351"/>
      <c r="D324" s="71" t="s">
        <v>78</v>
      </c>
      <c r="E324"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24" s="363"/>
      <c r="G324" s="69"/>
      <c r="H324" s="18">
        <v>10</v>
      </c>
      <c r="I324" s="379"/>
      <c r="J324" s="340"/>
      <c r="K324" s="341"/>
      <c r="L324" s="341"/>
      <c r="M324" s="341"/>
      <c r="N324" s="342"/>
      <c r="P324" s="18">
        <f t="shared" si="4"/>
        <v>0</v>
      </c>
      <c r="Q324" s="338"/>
      <c r="R324" s="491"/>
      <c r="S324" s="474"/>
      <c r="T324" s="344"/>
      <c r="U324" s="475"/>
    </row>
    <row r="325" spans="2:21" ht="13.2" customHeight="1" x14ac:dyDescent="0.25">
      <c r="B325" s="375"/>
      <c r="C325" s="351" t="s">
        <v>154</v>
      </c>
      <c r="D325" s="352" t="str">
        <f>HLOOKUP(Deckblatt!$C$12,Language!$C$1:$D$730,444,FALSE)</f>
        <v>Wertstoffrecycling</v>
      </c>
      <c r="E325" s="353"/>
      <c r="F325" s="363"/>
      <c r="G325" s="113"/>
      <c r="H325" s="21">
        <v>29</v>
      </c>
      <c r="I325" s="379"/>
      <c r="J325" s="340"/>
      <c r="K325" s="341"/>
      <c r="L325" s="341"/>
      <c r="M325" s="341"/>
      <c r="N325" s="342"/>
      <c r="P325" s="18">
        <f t="shared" si="4"/>
        <v>0</v>
      </c>
      <c r="Q325" s="338"/>
      <c r="R325" s="491"/>
      <c r="S325" s="474"/>
      <c r="T325" s="344"/>
      <c r="U325" s="475"/>
    </row>
    <row r="326" spans="2:21" x14ac:dyDescent="0.25">
      <c r="B326" s="375"/>
      <c r="C326" s="351"/>
      <c r="D326" s="71" t="s">
        <v>156</v>
      </c>
      <c r="E326" s="134" t="str">
        <f>HLOOKUP(Deckblatt!$C$12,Language!$C$1:$D$730,445,FALSE)</f>
        <v>Abfallrecyclingsystem</v>
      </c>
      <c r="F326" s="363"/>
      <c r="G326" s="69"/>
      <c r="H326" s="18">
        <v>10</v>
      </c>
      <c r="I326" s="379"/>
      <c r="J326" s="340"/>
      <c r="K326" s="341"/>
      <c r="L326" s="341"/>
      <c r="M326" s="341"/>
      <c r="N326" s="342"/>
      <c r="P326" s="18">
        <f t="shared" si="4"/>
        <v>0</v>
      </c>
      <c r="Q326" s="338"/>
      <c r="R326" s="491"/>
      <c r="S326" s="474"/>
      <c r="T326" s="344"/>
      <c r="U326" s="475"/>
    </row>
    <row r="327" spans="2:21" x14ac:dyDescent="0.25">
      <c r="B327" s="375"/>
      <c r="C327" s="351"/>
      <c r="D327" s="361" t="s">
        <v>218</v>
      </c>
      <c r="E327" s="68" t="str">
        <f>HLOOKUP(Deckblatt!$C$12,Language!$C$1:$D$730,446,FALSE)</f>
        <v>CIRCULAR ECONOMY BONUS – URBAN MINING</v>
      </c>
      <c r="F327" s="363"/>
      <c r="G327" s="113"/>
      <c r="H327" s="21">
        <v>10</v>
      </c>
      <c r="I327" s="379"/>
      <c r="J327" s="340"/>
      <c r="K327" s="341"/>
      <c r="L327" s="341"/>
      <c r="M327" s="341"/>
      <c r="N327" s="342"/>
      <c r="P327" s="18">
        <f t="shared" si="4"/>
        <v>0</v>
      </c>
      <c r="Q327" s="338"/>
      <c r="R327" s="491"/>
      <c r="S327" s="474"/>
      <c r="T327" s="344"/>
      <c r="U327" s="475"/>
    </row>
    <row r="328" spans="2:21" ht="26.4" x14ac:dyDescent="0.25">
      <c r="B328" s="375"/>
      <c r="C328" s="351"/>
      <c r="D328" s="361"/>
      <c r="E328" s="134" t="str">
        <f>HLOOKUP(Deckblatt!$C$12,Language!$C$1:$D$730,447,FALSE)</f>
        <v xml:space="preserve">Es gibt ein Urban Mining Konzept für das Quartier
</v>
      </c>
      <c r="F328" s="363"/>
      <c r="G328" s="69"/>
      <c r="H328" s="18">
        <v>5</v>
      </c>
      <c r="I328" s="379"/>
      <c r="J328" s="340"/>
      <c r="K328" s="341"/>
      <c r="L328" s="341"/>
      <c r="M328" s="341"/>
      <c r="N328" s="342"/>
      <c r="P328" s="18">
        <f t="shared" si="4"/>
        <v>0</v>
      </c>
      <c r="Q328" s="338"/>
      <c r="R328" s="491"/>
      <c r="S328" s="474"/>
      <c r="T328" s="344"/>
      <c r="U328" s="475"/>
    </row>
    <row r="329" spans="2:21" ht="52.8" x14ac:dyDescent="0.25">
      <c r="B329" s="375"/>
      <c r="C329" s="351"/>
      <c r="D329" s="361"/>
      <c r="E329" s="134" t="str">
        <f>HLOOKUP(Deckblatt!$C$12,Language!$C$1:$D$730,448,FALSE)</f>
        <v xml:space="preserve">Es gibt ein Urban Mining Kataster/BIM Model in dem einige der verbauten Rohstoffe im Quartier erfasst sind (Teile der Gebäudemassen und der Freiräume)
</v>
      </c>
      <c r="F329" s="363"/>
      <c r="G329" s="69"/>
      <c r="H329" s="18">
        <v>5</v>
      </c>
      <c r="I329" s="379"/>
      <c r="J329" s="340"/>
      <c r="K329" s="341"/>
      <c r="L329" s="341"/>
      <c r="M329" s="341"/>
      <c r="N329" s="342"/>
      <c r="P329" s="18">
        <f t="shared" si="4"/>
        <v>0</v>
      </c>
      <c r="Q329" s="338"/>
      <c r="R329" s="491"/>
      <c r="S329" s="474"/>
      <c r="T329" s="344"/>
      <c r="U329" s="475"/>
    </row>
    <row r="330" spans="2:21" ht="52.8" x14ac:dyDescent="0.25">
      <c r="B330" s="375"/>
      <c r="C330" s="351"/>
      <c r="D330" s="71" t="s">
        <v>219</v>
      </c>
      <c r="E330" s="134" t="str">
        <f>HLOOKUP(Deckblatt!$C$12,Language!$C$1:$D$730,449,FALSE)</f>
        <v xml:space="preserve">Recyclingfähige Gewerbeabfälle
Alle recyclingfähigen Gewerbeabfälle (oder mind. 85 %) werden nachweislich recycelt.
</v>
      </c>
      <c r="F330" s="363"/>
      <c r="G330" s="69"/>
      <c r="H330" s="18">
        <v>5</v>
      </c>
      <c r="I330" s="379"/>
      <c r="J330" s="340"/>
      <c r="K330" s="341"/>
      <c r="L330" s="341"/>
      <c r="M330" s="341"/>
      <c r="N330" s="342"/>
      <c r="P330" s="18">
        <f t="shared" si="4"/>
        <v>0</v>
      </c>
      <c r="Q330" s="338"/>
      <c r="R330" s="491"/>
      <c r="S330" s="474"/>
      <c r="T330" s="344"/>
      <c r="U330" s="475"/>
    </row>
    <row r="331" spans="2:21" ht="51.6" customHeight="1" x14ac:dyDescent="0.25">
      <c r="B331" s="375"/>
      <c r="C331" s="351"/>
      <c r="D331" s="71" t="s">
        <v>220</v>
      </c>
      <c r="E331" s="134" t="str">
        <f>HLOOKUP(Deckblatt!$C$12,Language!$C$1:$D$730,450,FALSE)</f>
        <v xml:space="preserve">Kompostierung
Es findet nachweislich keine Deponierung von Gewerbe- oder Haushaltsabfällen statt.
</v>
      </c>
      <c r="F331" s="363"/>
      <c r="G331" s="69"/>
      <c r="H331" s="18">
        <v>4</v>
      </c>
      <c r="I331" s="379"/>
      <c r="J331" s="340"/>
      <c r="K331" s="341"/>
      <c r="L331" s="341"/>
      <c r="M331" s="341"/>
      <c r="N331" s="342"/>
      <c r="P331" s="18">
        <f t="shared" si="4"/>
        <v>0</v>
      </c>
      <c r="Q331" s="338"/>
      <c r="R331" s="491"/>
      <c r="S331" s="474"/>
      <c r="T331" s="344"/>
      <c r="U331" s="475"/>
    </row>
    <row r="332" spans="2:21" ht="13.2" customHeight="1" x14ac:dyDescent="0.25">
      <c r="B332" s="375"/>
      <c r="C332" s="351" t="s">
        <v>157</v>
      </c>
      <c r="D332" s="352" t="str">
        <f>HLOOKUP(Deckblatt!$C$12,Language!$C$1:$D$730,454,FALSE)</f>
        <v>Technik und Logistik</v>
      </c>
      <c r="E332" s="353"/>
      <c r="F332" s="363"/>
      <c r="G332" s="113"/>
      <c r="H332" s="21">
        <v>20</v>
      </c>
      <c r="I332" s="379"/>
      <c r="J332" s="340"/>
      <c r="K332" s="341"/>
      <c r="L332" s="341"/>
      <c r="M332" s="341"/>
      <c r="N332" s="342"/>
      <c r="P332" s="18">
        <f t="shared" ref="P332:P395" si="5">IF(G332&gt;H332,H332,G332)</f>
        <v>0</v>
      </c>
      <c r="Q332" s="338"/>
      <c r="R332" s="491"/>
      <c r="S332" s="474"/>
      <c r="T332" s="344"/>
      <c r="U332" s="475"/>
    </row>
    <row r="333" spans="2:21" ht="66" x14ac:dyDescent="0.25">
      <c r="B333" s="375"/>
      <c r="C333" s="351"/>
      <c r="D333" s="71" t="s">
        <v>159</v>
      </c>
      <c r="E333" s="134" t="str">
        <f>HLOOKUP(Deckblatt!$C$12,Language!$C$1:$D$730,455,FALSE)</f>
        <v xml:space="preserve">Abfalllogistik
Innovative Abfalllogistikkonzepte im Quartier
- Es ist ein Abfalllogistikkonzept erstellt worden (5 Punkte)
- Das Abfalllogistikkonzept wurde umgesetzt (5 Punkte)
</v>
      </c>
      <c r="F333" s="363"/>
      <c r="G333" s="69"/>
      <c r="H333" s="18">
        <v>10</v>
      </c>
      <c r="I333" s="379"/>
      <c r="J333" s="340"/>
      <c r="K333" s="341"/>
      <c r="L333" s="341"/>
      <c r="M333" s="341"/>
      <c r="N333" s="342"/>
      <c r="P333" s="18">
        <f t="shared" si="5"/>
        <v>0</v>
      </c>
      <c r="Q333" s="338"/>
      <c r="R333" s="491"/>
      <c r="S333" s="474"/>
      <c r="T333" s="344"/>
      <c r="U333" s="475"/>
    </row>
    <row r="334" spans="2:21" ht="79.2" x14ac:dyDescent="0.25">
      <c r="B334" s="375"/>
      <c r="C334" s="351"/>
      <c r="D334" s="71" t="s">
        <v>160</v>
      </c>
      <c r="E334"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34" s="363"/>
      <c r="G334" s="69"/>
      <c r="H334" s="18">
        <v>10</v>
      </c>
      <c r="I334" s="379"/>
      <c r="J334" s="340"/>
      <c r="K334" s="341"/>
      <c r="L334" s="341"/>
      <c r="M334" s="341"/>
      <c r="N334" s="342"/>
      <c r="P334" s="18">
        <f t="shared" si="5"/>
        <v>0</v>
      </c>
      <c r="Q334" s="339"/>
      <c r="R334" s="492"/>
      <c r="S334" s="474"/>
      <c r="T334" s="344"/>
      <c r="U334" s="475"/>
    </row>
    <row r="335" spans="2:21" x14ac:dyDescent="0.25">
      <c r="B335" s="55" t="s">
        <v>411</v>
      </c>
      <c r="C335" s="354" t="str">
        <f>HLOOKUP(Deckblatt!$C$12,Language!$C$1:$D$730,457,FALSE)</f>
        <v>Smart Infrastructure</v>
      </c>
      <c r="D335" s="354"/>
      <c r="E335" s="355"/>
      <c r="F335" s="66">
        <f>Q335</f>
        <v>0</v>
      </c>
      <c r="G335" s="372"/>
      <c r="H335" s="21">
        <v>100</v>
      </c>
      <c r="I335" s="176">
        <v>2</v>
      </c>
      <c r="J335" s="340"/>
      <c r="K335" s="341"/>
      <c r="L335" s="341"/>
      <c r="M335" s="341"/>
      <c r="N335" s="342"/>
      <c r="P335" s="18">
        <f t="shared" si="5"/>
        <v>0</v>
      </c>
      <c r="Q335" s="337">
        <f>SUM(P337,IF(SUM(P340:P342)&gt;30,30,SUM(P340:P342)),P344,P346:P347)</f>
        <v>0</v>
      </c>
      <c r="R335" s="343">
        <f>Q335/100</f>
        <v>0</v>
      </c>
      <c r="S335" s="474"/>
      <c r="T335" s="344"/>
      <c r="U335" s="475"/>
    </row>
    <row r="336" spans="2:21" ht="13.2" customHeight="1" x14ac:dyDescent="0.25">
      <c r="B336" s="345"/>
      <c r="C336" s="351" t="s">
        <v>54</v>
      </c>
      <c r="D336" s="352" t="str">
        <f>HLOOKUP(Deckblatt!$C$12,Language!$C$1:$D$730,458,FALSE)</f>
        <v>Integration des Themas Digitalisierung in die Quartiersplanung</v>
      </c>
      <c r="E336" s="353"/>
      <c r="F336" s="347"/>
      <c r="G336" s="374"/>
      <c r="H336" s="21">
        <v>30</v>
      </c>
      <c r="I336" s="349"/>
      <c r="J336" s="340"/>
      <c r="K336" s="341"/>
      <c r="L336" s="341"/>
      <c r="M336" s="341"/>
      <c r="N336" s="342"/>
      <c r="P336" s="18">
        <f t="shared" si="5"/>
        <v>0</v>
      </c>
      <c r="Q336" s="338"/>
      <c r="R336" s="344"/>
      <c r="S336" s="474"/>
      <c r="T336" s="344"/>
      <c r="U336" s="475"/>
    </row>
    <row r="337" spans="2:21" ht="52.8" x14ac:dyDescent="0.25">
      <c r="B337" s="346"/>
      <c r="C337" s="351"/>
      <c r="D337" s="57" t="s">
        <v>58</v>
      </c>
      <c r="E337" s="134" t="str">
        <f>HLOOKUP(Deckblatt!$C$12,Language!$C$1:$D$730,459,FALSE)</f>
        <v xml:space="preserve">Integration der Digitalisierung in die Quartiersplanung
- Pro adressiertem Handlungsfeld in der Digital Agenda / Digitalstrategie / Analyse können 6 Punkte angerechnet werden
</v>
      </c>
      <c r="F337" s="348"/>
      <c r="G337" s="69"/>
      <c r="H337" s="18">
        <v>30</v>
      </c>
      <c r="I337" s="350"/>
      <c r="J337" s="340"/>
      <c r="K337" s="341"/>
      <c r="L337" s="341"/>
      <c r="M337" s="341"/>
      <c r="N337" s="342"/>
      <c r="P337" s="18">
        <f t="shared" si="5"/>
        <v>0</v>
      </c>
      <c r="Q337" s="338"/>
      <c r="R337" s="344"/>
      <c r="S337" s="474"/>
      <c r="T337" s="344"/>
      <c r="U337" s="475"/>
    </row>
    <row r="338" spans="2:21" ht="13.2" customHeight="1" x14ac:dyDescent="0.25">
      <c r="B338" s="346"/>
      <c r="C338" s="351" t="s">
        <v>61</v>
      </c>
      <c r="D338" s="352" t="str">
        <f>HLOOKUP(Deckblatt!$C$12,Language!$C$1:$D$730,460,FALSE)</f>
        <v>Telekommunikationsinfrastruktur</v>
      </c>
      <c r="E338" s="353"/>
      <c r="F338" s="348"/>
      <c r="G338" s="488"/>
      <c r="H338" s="21">
        <v>30</v>
      </c>
      <c r="I338" s="350"/>
      <c r="J338" s="340"/>
      <c r="K338" s="341"/>
      <c r="L338" s="341"/>
      <c r="M338" s="341"/>
      <c r="N338" s="342"/>
      <c r="P338" s="18">
        <f t="shared" si="5"/>
        <v>0</v>
      </c>
      <c r="Q338" s="338"/>
      <c r="R338" s="344"/>
      <c r="S338" s="474"/>
      <c r="T338" s="344"/>
      <c r="U338" s="475"/>
    </row>
    <row r="339" spans="2:21" x14ac:dyDescent="0.25">
      <c r="B339" s="346"/>
      <c r="C339" s="351"/>
      <c r="D339" s="361" t="s">
        <v>63</v>
      </c>
      <c r="E339" s="134" t="str">
        <f>HLOOKUP(Deckblatt!$C$12,Language!$C$1:$D$730,461,FALSE)</f>
        <v>Breitband-Internetzugang</v>
      </c>
      <c r="F339" s="348"/>
      <c r="G339" s="489"/>
      <c r="H339" s="21">
        <v>25</v>
      </c>
      <c r="I339" s="350"/>
      <c r="J339" s="340"/>
      <c r="K339" s="341"/>
      <c r="L339" s="341"/>
      <c r="M339" s="341"/>
      <c r="N339" s="342"/>
      <c r="P339" s="18">
        <f t="shared" si="5"/>
        <v>0</v>
      </c>
      <c r="Q339" s="338"/>
      <c r="R339" s="344"/>
      <c r="S339" s="474"/>
      <c r="T339" s="344"/>
      <c r="U339" s="475"/>
    </row>
    <row r="340" spans="2:21" ht="79.2" x14ac:dyDescent="0.25">
      <c r="B340" s="346"/>
      <c r="C340" s="351"/>
      <c r="D340" s="361"/>
      <c r="E340" s="134" t="str">
        <f>HLOOKUP(Deckblatt!$C$12,Language!$C$1:$D$730,462,FALSE)</f>
        <v xml:space="preserve">Es gibt ein leistungsfähiges Breitbandnetz mit einer Downloadgeschwindigkeit von:
  &gt; 50 Mbit/s
  &gt; 100 Mbit/s
  &gt; 300 Mbit/s
</v>
      </c>
      <c r="F340" s="348"/>
      <c r="G340" s="69"/>
      <c r="H340" s="18">
        <v>25</v>
      </c>
      <c r="I340" s="350"/>
      <c r="J340" s="340"/>
      <c r="K340" s="341"/>
      <c r="L340" s="341"/>
      <c r="M340" s="341"/>
      <c r="N340" s="342"/>
      <c r="P340" s="18">
        <f t="shared" si="5"/>
        <v>0</v>
      </c>
      <c r="Q340" s="338"/>
      <c r="R340" s="344"/>
      <c r="S340" s="474"/>
      <c r="T340" s="344"/>
      <c r="U340" s="475"/>
    </row>
    <row r="341" spans="2:21" ht="66" x14ac:dyDescent="0.25">
      <c r="B341" s="346"/>
      <c r="C341" s="351"/>
      <c r="D341" s="71" t="s">
        <v>186</v>
      </c>
      <c r="E341"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41" s="348"/>
      <c r="G341" s="69"/>
      <c r="H341" s="18">
        <f>IF(G340=25,0,10)</f>
        <v>10</v>
      </c>
      <c r="I341" s="350"/>
      <c r="J341" s="340"/>
      <c r="K341" s="341"/>
      <c r="L341" s="341"/>
      <c r="M341" s="341"/>
      <c r="N341" s="342"/>
      <c r="P341" s="18">
        <f t="shared" si="5"/>
        <v>0</v>
      </c>
      <c r="Q341" s="338"/>
      <c r="R341" s="344"/>
      <c r="S341" s="474"/>
      <c r="T341" s="344"/>
      <c r="U341" s="475"/>
    </row>
    <row r="342" spans="2:21" ht="26.4" x14ac:dyDescent="0.25">
      <c r="B342" s="346"/>
      <c r="C342" s="351"/>
      <c r="D342" s="71" t="s">
        <v>255</v>
      </c>
      <c r="E342" s="134" t="str">
        <f>HLOOKUP(Deckblatt!$C$12,Language!$C$1:$D$730,464,FALSE)</f>
        <v xml:space="preserve">Freies WLAN im öffentlichen Raum
</v>
      </c>
      <c r="F342" s="348"/>
      <c r="G342" s="69"/>
      <c r="H342" s="18">
        <v>5</v>
      </c>
      <c r="I342" s="350"/>
      <c r="J342" s="340"/>
      <c r="K342" s="341"/>
      <c r="L342" s="341"/>
      <c r="M342" s="341"/>
      <c r="N342" s="342"/>
      <c r="P342" s="18">
        <f t="shared" si="5"/>
        <v>0</v>
      </c>
      <c r="Q342" s="338"/>
      <c r="R342" s="344"/>
      <c r="S342" s="474"/>
      <c r="T342" s="344"/>
      <c r="U342" s="475"/>
    </row>
    <row r="343" spans="2:21" ht="13.2" customHeight="1" x14ac:dyDescent="0.25">
      <c r="B343" s="346"/>
      <c r="C343" s="351" t="s">
        <v>64</v>
      </c>
      <c r="D343" s="352" t="str">
        <f>HLOOKUP(Deckblatt!$C$12,Language!$C$1:$D$730,465,FALSE)</f>
        <v>Datenauswertung</v>
      </c>
      <c r="E343" s="353"/>
      <c r="F343" s="348"/>
      <c r="G343" s="113"/>
      <c r="H343" s="21">
        <v>30</v>
      </c>
      <c r="I343" s="350"/>
      <c r="J343" s="340"/>
      <c r="K343" s="341"/>
      <c r="L343" s="341"/>
      <c r="M343" s="341"/>
      <c r="N343" s="342"/>
      <c r="P343" s="18">
        <f t="shared" si="5"/>
        <v>0</v>
      </c>
      <c r="Q343" s="338"/>
      <c r="R343" s="344"/>
      <c r="S343" s="474"/>
      <c r="T343" s="344"/>
      <c r="U343" s="475"/>
    </row>
    <row r="344" spans="2:21" ht="92.4" x14ac:dyDescent="0.25">
      <c r="B344" s="346"/>
      <c r="C344" s="351"/>
      <c r="D344" s="71" t="s">
        <v>66</v>
      </c>
      <c r="E344"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44" s="348"/>
      <c r="G344" s="69"/>
      <c r="H344" s="18">
        <v>30</v>
      </c>
      <c r="I344" s="350"/>
      <c r="J344" s="340"/>
      <c r="K344" s="341"/>
      <c r="L344" s="341"/>
      <c r="M344" s="341"/>
      <c r="N344" s="342"/>
      <c r="P344" s="18">
        <f t="shared" si="5"/>
        <v>0</v>
      </c>
      <c r="Q344" s="338"/>
      <c r="R344" s="344"/>
      <c r="S344" s="474"/>
      <c r="T344" s="344"/>
      <c r="U344" s="475"/>
    </row>
    <row r="345" spans="2:21" ht="13.2" customHeight="1" x14ac:dyDescent="0.25">
      <c r="B345" s="346"/>
      <c r="C345" s="351" t="s">
        <v>67</v>
      </c>
      <c r="D345" s="352" t="str">
        <f>HLOOKUP(Deckblatt!$C$12,Language!$C$1:$D$730,467,FALSE)</f>
        <v>Quartiersbezogene digitale Angebote</v>
      </c>
      <c r="E345" s="353"/>
      <c r="F345" s="348"/>
      <c r="G345" s="113"/>
      <c r="H345" s="21">
        <v>10</v>
      </c>
      <c r="I345" s="350"/>
      <c r="J345" s="340"/>
      <c r="K345" s="341"/>
      <c r="L345" s="341"/>
      <c r="M345" s="341"/>
      <c r="N345" s="342"/>
      <c r="P345" s="18">
        <f t="shared" si="5"/>
        <v>0</v>
      </c>
      <c r="Q345" s="338"/>
      <c r="R345" s="344"/>
      <c r="S345" s="474"/>
      <c r="T345" s="344"/>
      <c r="U345" s="475"/>
    </row>
    <row r="346" spans="2:21" ht="52.8" x14ac:dyDescent="0.25">
      <c r="B346" s="346"/>
      <c r="C346" s="351"/>
      <c r="D346" s="71" t="s">
        <v>69</v>
      </c>
      <c r="E346" s="134" t="str">
        <f>HLOOKUP(Deckblatt!$C$12,Language!$C$1:$D$730,468,FALSE)</f>
        <v xml:space="preserve">Information zu quartiersbezogenen digitalen Angeboten
Bei Einzug und bei Änderungen des Angebotes werden die Bewohner/Nutzer des Quartiers über die digitalen Angebote informiert 
</v>
      </c>
      <c r="F346" s="348"/>
      <c r="G346" s="69"/>
      <c r="H346" s="18">
        <v>2</v>
      </c>
      <c r="I346" s="350"/>
      <c r="J346" s="340"/>
      <c r="K346" s="341"/>
      <c r="L346" s="341"/>
      <c r="M346" s="341"/>
      <c r="N346" s="342"/>
      <c r="P346" s="18">
        <f t="shared" si="5"/>
        <v>0</v>
      </c>
      <c r="Q346" s="338"/>
      <c r="R346" s="344"/>
      <c r="S346" s="474"/>
      <c r="T346" s="344"/>
      <c r="U346" s="475"/>
    </row>
    <row r="347" spans="2:21" ht="79.2" x14ac:dyDescent="0.25">
      <c r="B347" s="346"/>
      <c r="C347" s="351"/>
      <c r="D347" s="71" t="s">
        <v>78</v>
      </c>
      <c r="E347"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47" s="348"/>
      <c r="G347" s="69"/>
      <c r="H347" s="18">
        <v>8</v>
      </c>
      <c r="I347" s="350"/>
      <c r="J347" s="340"/>
      <c r="K347" s="341"/>
      <c r="L347" s="341"/>
      <c r="M347" s="341"/>
      <c r="N347" s="342"/>
      <c r="P347" s="18">
        <f t="shared" si="5"/>
        <v>0</v>
      </c>
      <c r="Q347" s="338"/>
      <c r="R347" s="344"/>
      <c r="S347" s="474"/>
      <c r="T347" s="344"/>
      <c r="U347" s="475"/>
    </row>
    <row r="348" spans="2:21" x14ac:dyDescent="0.25">
      <c r="B348" s="55" t="s">
        <v>421</v>
      </c>
      <c r="C348" s="354" t="str">
        <f>HLOOKUP(Deckblatt!$C$12,Language!$C$1:$D$730,470,FALSE)</f>
        <v>Mobilitätsinfrastruktur– Motorisierter Verkehr</v>
      </c>
      <c r="D348" s="354"/>
      <c r="E348" s="355"/>
      <c r="F348" s="66">
        <f>Q348</f>
        <v>0</v>
      </c>
      <c r="G348" s="364"/>
      <c r="H348" s="21">
        <v>120</v>
      </c>
      <c r="I348" s="176">
        <v>5</v>
      </c>
      <c r="J348" s="340"/>
      <c r="K348" s="341"/>
      <c r="L348" s="341"/>
      <c r="M348" s="341"/>
      <c r="N348" s="342"/>
      <c r="P348" s="18">
        <f t="shared" si="5"/>
        <v>0</v>
      </c>
      <c r="Q348" s="337">
        <f>IF(SUM(P350,IF(P352+P353&gt;20,20,P352+P353),P356,P359,IF(SUM(P361:P362)&gt;9,9,SUM(P361:P362)),P364,P366,P368,P370:P371,P373)&gt;100,100+P357+P374,SUM(P350,IF(P352+P353&gt;20,20,P352+P353),P356,P359,IF(SUM(P361:P362)&gt;9,9,SUM(P361:P362)),P364,P366,P368,P370:P371,P373)+P357+P374)</f>
        <v>0</v>
      </c>
      <c r="R348" s="343">
        <f>Q348/100</f>
        <v>0</v>
      </c>
      <c r="S348" s="474"/>
      <c r="T348" s="344"/>
      <c r="U348" s="475"/>
    </row>
    <row r="349" spans="2:21" ht="13.2" customHeight="1" x14ac:dyDescent="0.25">
      <c r="B349" s="375"/>
      <c r="C349" s="351" t="s">
        <v>54</v>
      </c>
      <c r="D349" s="352" t="str">
        <f>HLOOKUP(Deckblatt!$C$12,Language!$C$1:$D$730,471,FALSE)</f>
        <v>Verkehrsmodell</v>
      </c>
      <c r="E349" s="353"/>
      <c r="F349" s="363"/>
      <c r="G349" s="364"/>
      <c r="H349" s="21">
        <v>5</v>
      </c>
      <c r="I349" s="379"/>
      <c r="J349" s="340"/>
      <c r="K349" s="341"/>
      <c r="L349" s="341"/>
      <c r="M349" s="341"/>
      <c r="N349" s="342"/>
      <c r="P349" s="18">
        <f t="shared" si="5"/>
        <v>0</v>
      </c>
      <c r="Q349" s="338"/>
      <c r="R349" s="344"/>
      <c r="S349" s="474"/>
      <c r="T349" s="344"/>
      <c r="U349" s="475"/>
    </row>
    <row r="350" spans="2:21" ht="26.4" x14ac:dyDescent="0.25">
      <c r="B350" s="375"/>
      <c r="C350" s="351"/>
      <c r="D350" s="71" t="s">
        <v>58</v>
      </c>
      <c r="E350" s="134" t="str">
        <f>HLOOKUP(Deckblatt!$C$12,Language!$C$1:$D$730,472,FALSE)</f>
        <v xml:space="preserve">Aktualität Verkehrsmodell
</v>
      </c>
      <c r="F350" s="363"/>
      <c r="G350" s="69"/>
      <c r="H350" s="18">
        <v>5</v>
      </c>
      <c r="I350" s="379"/>
      <c r="J350" s="340"/>
      <c r="K350" s="341"/>
      <c r="L350" s="341"/>
      <c r="M350" s="341"/>
      <c r="N350" s="342"/>
      <c r="P350" s="18">
        <f t="shared" si="5"/>
        <v>0</v>
      </c>
      <c r="Q350" s="338"/>
      <c r="R350" s="344"/>
      <c r="S350" s="474"/>
      <c r="T350" s="344"/>
      <c r="U350" s="475"/>
    </row>
    <row r="351" spans="2:21" ht="13.2" customHeight="1" x14ac:dyDescent="0.25">
      <c r="B351" s="375"/>
      <c r="C351" s="351" t="s">
        <v>61</v>
      </c>
      <c r="D351" s="352" t="str">
        <f>HLOOKUP(Deckblatt!$C$12,Language!$C$1:$D$730,473,FALSE)</f>
        <v>Modal Split</v>
      </c>
      <c r="E351" s="353"/>
      <c r="F351" s="363"/>
      <c r="G351" s="113"/>
      <c r="H351" s="21">
        <v>20</v>
      </c>
      <c r="I351" s="379"/>
      <c r="J351" s="340"/>
      <c r="K351" s="341"/>
      <c r="L351" s="341"/>
      <c r="M351" s="341"/>
      <c r="N351" s="342"/>
      <c r="P351" s="18">
        <f t="shared" si="5"/>
        <v>0</v>
      </c>
      <c r="Q351" s="338"/>
      <c r="R351" s="344"/>
      <c r="S351" s="474"/>
      <c r="T351" s="344"/>
      <c r="U351" s="475"/>
    </row>
    <row r="352" spans="2:21" ht="39.6" x14ac:dyDescent="0.25">
      <c r="B352" s="375"/>
      <c r="C352" s="351"/>
      <c r="D352" s="71" t="s">
        <v>63</v>
      </c>
      <c r="E352" s="134" t="str">
        <f>HLOOKUP(Deckblatt!$C$12,Language!$C$1:$D$730,474,FALSE)</f>
        <v xml:space="preserve">Umweltverbund
Anteil am Umweltverbund 
</v>
      </c>
      <c r="F352" s="363"/>
      <c r="G352" s="69"/>
      <c r="H352" s="18">
        <v>20</v>
      </c>
      <c r="I352" s="379"/>
      <c r="J352" s="340"/>
      <c r="K352" s="341"/>
      <c r="L352" s="341"/>
      <c r="M352" s="341"/>
      <c r="N352" s="342"/>
      <c r="P352" s="18">
        <f t="shared" si="5"/>
        <v>0</v>
      </c>
      <c r="Q352" s="338"/>
      <c r="R352" s="344"/>
      <c r="S352" s="474"/>
      <c r="T352" s="344"/>
      <c r="U352" s="475"/>
    </row>
    <row r="353" spans="2:21" ht="158.4" x14ac:dyDescent="0.25">
      <c r="B353" s="375"/>
      <c r="C353" s="351"/>
      <c r="D353" s="71" t="s">
        <v>437</v>
      </c>
      <c r="E353"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53" s="363"/>
      <c r="G353" s="69"/>
      <c r="H353" s="18">
        <v>10</v>
      </c>
      <c r="I353" s="379"/>
      <c r="J353" s="340"/>
      <c r="K353" s="341"/>
      <c r="L353" s="341"/>
      <c r="M353" s="341"/>
      <c r="N353" s="342"/>
      <c r="P353" s="18">
        <f t="shared" si="5"/>
        <v>0</v>
      </c>
      <c r="Q353" s="338"/>
      <c r="R353" s="344"/>
      <c r="S353" s="474"/>
      <c r="T353" s="344"/>
      <c r="U353" s="475"/>
    </row>
    <row r="354" spans="2:21" ht="13.2" customHeight="1" x14ac:dyDescent="0.25">
      <c r="B354" s="375"/>
      <c r="C354" s="351" t="s">
        <v>64</v>
      </c>
      <c r="D354" s="352" t="str">
        <f>HLOOKUP(Deckblatt!$C$12,Language!$C$1:$D$730,476,FALSE)</f>
        <v>Infrastruktur für alternative Antriebstechnologien</v>
      </c>
      <c r="E354" s="353"/>
      <c r="F354" s="363"/>
      <c r="G354" s="356"/>
      <c r="H354" s="21">
        <v>30</v>
      </c>
      <c r="I354" s="379"/>
      <c r="J354" s="340"/>
      <c r="K354" s="341"/>
      <c r="L354" s="341"/>
      <c r="M354" s="341"/>
      <c r="N354" s="342"/>
      <c r="P354" s="18">
        <f t="shared" si="5"/>
        <v>0</v>
      </c>
      <c r="Q354" s="338"/>
      <c r="R354" s="344"/>
      <c r="S354" s="474"/>
      <c r="T354" s="344"/>
      <c r="U354" s="475"/>
    </row>
    <row r="355" spans="2:21" x14ac:dyDescent="0.25">
      <c r="B355" s="375"/>
      <c r="C355" s="351"/>
      <c r="D355" s="361" t="s">
        <v>66</v>
      </c>
      <c r="E355" s="134" t="str">
        <f>HLOOKUP(Deckblatt!$C$12,Language!$C$1:$D$730,477,FALSE)</f>
        <v>Motorisierter Individualverkehr (MIV)</v>
      </c>
      <c r="F355" s="363"/>
      <c r="G355" s="356"/>
      <c r="H355" s="21">
        <v>20</v>
      </c>
      <c r="I355" s="379"/>
      <c r="J355" s="340"/>
      <c r="K355" s="341"/>
      <c r="L355" s="341"/>
      <c r="M355" s="341"/>
      <c r="N355" s="342"/>
      <c r="P355" s="18">
        <f t="shared" si="5"/>
        <v>0</v>
      </c>
      <c r="Q355" s="338"/>
      <c r="R355" s="344"/>
      <c r="S355" s="474"/>
      <c r="T355" s="344"/>
      <c r="U355" s="475"/>
    </row>
    <row r="356" spans="2:21" ht="52.8" x14ac:dyDescent="0.25">
      <c r="B356" s="375"/>
      <c r="C356" s="351"/>
      <c r="D356" s="361"/>
      <c r="E356" s="134" t="str">
        <f>HLOOKUP(Deckblatt!$C$12,Language!$C$1:$D$730,478,FALSE)</f>
        <v xml:space="preserve">Mobilitätsmanagement-Strategie – Ladeinfrastruktur (Variante A) 
Mobilitätsmanagement-Strategie – Keine Pkw-Stellplätze (Variante B) 
</v>
      </c>
      <c r="F356" s="363"/>
      <c r="G356" s="69"/>
      <c r="H356" s="18">
        <v>20</v>
      </c>
      <c r="I356" s="379"/>
      <c r="J356" s="340"/>
      <c r="K356" s="341"/>
      <c r="L356" s="341"/>
      <c r="M356" s="341"/>
      <c r="N356" s="342"/>
      <c r="P356" s="18">
        <f t="shared" si="5"/>
        <v>0</v>
      </c>
      <c r="Q356" s="338"/>
      <c r="R356" s="344"/>
      <c r="S356" s="474"/>
      <c r="T356" s="344"/>
      <c r="U356" s="475"/>
    </row>
    <row r="357" spans="2:21" ht="66" x14ac:dyDescent="0.25">
      <c r="B357" s="375"/>
      <c r="C357" s="351"/>
      <c r="D357" s="71" t="s">
        <v>188</v>
      </c>
      <c r="E357" s="54" t="str">
        <f>HLOOKUP(Deckblatt!$C$12,Language!$C$1:$D$730,479,FALSE)</f>
        <v xml:space="preserve">AGENDA 2030 BONUS – KLIMASCHUTZZIELE
Keine PKW-Stellplätze 
Eine Mobilitätsmanagement-Strategie nach Variante B wurde vollständig umgesetzt.
</v>
      </c>
      <c r="F357" s="363"/>
      <c r="G357" s="69"/>
      <c r="H357" s="18">
        <v>10</v>
      </c>
      <c r="I357" s="379"/>
      <c r="J357" s="340"/>
      <c r="K357" s="341"/>
      <c r="L357" s="341"/>
      <c r="M357" s="341"/>
      <c r="N357" s="342"/>
      <c r="P357" s="18">
        <f t="shared" si="5"/>
        <v>0</v>
      </c>
      <c r="Q357" s="338"/>
      <c r="R357" s="344"/>
      <c r="S357" s="474"/>
      <c r="T357" s="344"/>
      <c r="U357" s="475"/>
    </row>
    <row r="358" spans="2:21" ht="13.2" customHeight="1" x14ac:dyDescent="0.25">
      <c r="B358" s="375"/>
      <c r="C358" s="351" t="s">
        <v>67</v>
      </c>
      <c r="D358" s="352" t="str">
        <f>HLOOKUP(Deckblatt!$C$12,Language!$C$1:$D$730,480,FALSE)</f>
        <v>Fahrzeugsharing</v>
      </c>
      <c r="E358" s="353"/>
      <c r="F358" s="363"/>
      <c r="G358" s="113"/>
      <c r="H358" s="21">
        <v>10</v>
      </c>
      <c r="I358" s="379"/>
      <c r="J358" s="340"/>
      <c r="K358" s="341"/>
      <c r="L358" s="341"/>
      <c r="M358" s="341"/>
      <c r="N358" s="342"/>
      <c r="P358" s="18">
        <f t="shared" si="5"/>
        <v>0</v>
      </c>
      <c r="Q358" s="338"/>
      <c r="R358" s="344"/>
      <c r="S358" s="474"/>
      <c r="T358" s="344"/>
      <c r="U358" s="475"/>
    </row>
    <row r="359" spans="2:21" ht="79.2" x14ac:dyDescent="0.25">
      <c r="B359" s="375"/>
      <c r="C359" s="351"/>
      <c r="D359" s="71" t="s">
        <v>69</v>
      </c>
      <c r="E359" s="134" t="str">
        <f>HLOOKUP(Deckblatt!$C$12,Language!$C$1:$D$730,481,FALSE)</f>
        <v xml:space="preserve">Fahrzeugsharing Angebote
Es gibt ein Sharing-Angebot für motorisierte Fahrzeuge (Kommerzielles/Privates Sharing, Werksfahrzeuge, etc.) im Quartier/am Standort oder im direkten Umfeld (max. 5 Gehminuten). 
</v>
      </c>
      <c r="F359" s="363"/>
      <c r="G359" s="69"/>
      <c r="H359" s="18">
        <v>10</v>
      </c>
      <c r="I359" s="379"/>
      <c r="J359" s="340"/>
      <c r="K359" s="341"/>
      <c r="L359" s="341"/>
      <c r="M359" s="341"/>
      <c r="N359" s="342"/>
      <c r="P359" s="18">
        <f t="shared" si="5"/>
        <v>0</v>
      </c>
      <c r="Q359" s="338"/>
      <c r="R359" s="344"/>
      <c r="S359" s="474"/>
      <c r="T359" s="344"/>
      <c r="U359" s="475"/>
    </row>
    <row r="360" spans="2:21" ht="13.2" customHeight="1" x14ac:dyDescent="0.25">
      <c r="B360" s="375"/>
      <c r="C360" s="351" t="s">
        <v>154</v>
      </c>
      <c r="D360" s="352" t="str">
        <f>HLOOKUP(Deckblatt!$C$12,Language!$C$1:$D$730,482,FALSE)</f>
        <v>ÖPNV-Erschließungsqualität</v>
      </c>
      <c r="E360" s="353"/>
      <c r="F360" s="363"/>
      <c r="G360" s="113"/>
      <c r="H360" s="21">
        <v>9</v>
      </c>
      <c r="I360" s="379"/>
      <c r="J360" s="340"/>
      <c r="K360" s="341"/>
      <c r="L360" s="341"/>
      <c r="M360" s="341"/>
      <c r="N360" s="342"/>
      <c r="P360" s="18">
        <f t="shared" si="5"/>
        <v>0</v>
      </c>
      <c r="Q360" s="338"/>
      <c r="R360" s="344"/>
      <c r="S360" s="474"/>
      <c r="T360" s="344"/>
      <c r="U360" s="475"/>
    </row>
    <row r="361" spans="2:21" ht="52.8" x14ac:dyDescent="0.25">
      <c r="B361" s="375"/>
      <c r="C361" s="351"/>
      <c r="D361" s="71" t="s">
        <v>156</v>
      </c>
      <c r="E361" s="134" t="str">
        <f>HLOOKUP(Deckblatt!$C$12,Language!$C$1:$D$730,483,FALSE)</f>
        <v xml:space="preserve">ÖPNV-Erschließungsqualität
Prozentualer Anteil der Gebäude (Gemessen an BGF) die innerhalb von 350 m Luftlinie eine ÖPNV-Haltestelle erreichen können (Bus, S-Bahn, Tram)
</v>
      </c>
      <c r="F361" s="363"/>
      <c r="G361" s="69"/>
      <c r="H361" s="18">
        <v>9</v>
      </c>
      <c r="I361" s="379"/>
      <c r="J361" s="340"/>
      <c r="K361" s="341"/>
      <c r="L361" s="341"/>
      <c r="M361" s="341"/>
      <c r="N361" s="342"/>
      <c r="P361" s="18">
        <f t="shared" si="5"/>
        <v>0</v>
      </c>
      <c r="Q361" s="338"/>
      <c r="R361" s="344"/>
      <c r="S361" s="474"/>
      <c r="T361" s="344"/>
      <c r="U361" s="475"/>
    </row>
    <row r="362" spans="2:21" ht="26.4" x14ac:dyDescent="0.25">
      <c r="B362" s="375"/>
      <c r="C362" s="351"/>
      <c r="D362" s="71" t="s">
        <v>218</v>
      </c>
      <c r="E362" s="134" t="str">
        <f>HLOOKUP(Deckblatt!$C$12,Language!$C$1:$D$730,484,FALSE)</f>
        <v xml:space="preserve">Alternative zu 5.1: Angebot Bus- und Bahnlinien
</v>
      </c>
      <c r="F362" s="363"/>
      <c r="G362" s="69"/>
      <c r="H362" s="18">
        <v>9</v>
      </c>
      <c r="I362" s="379"/>
      <c r="J362" s="340"/>
      <c r="K362" s="341"/>
      <c r="L362" s="341"/>
      <c r="M362" s="341"/>
      <c r="N362" s="342"/>
      <c r="P362" s="18">
        <f t="shared" si="5"/>
        <v>0</v>
      </c>
      <c r="Q362" s="338"/>
      <c r="R362" s="344"/>
      <c r="S362" s="474"/>
      <c r="T362" s="344"/>
      <c r="U362" s="475"/>
    </row>
    <row r="363" spans="2:21" ht="13.2" customHeight="1" x14ac:dyDescent="0.25">
      <c r="B363" s="375"/>
      <c r="C363" s="351" t="s">
        <v>157</v>
      </c>
      <c r="D363" s="352" t="str">
        <f>HLOOKUP(Deckblatt!$C$12,Language!$C$1:$D$730,485,FALSE)</f>
        <v>Intermodale Plattformen</v>
      </c>
      <c r="E363" s="353"/>
      <c r="F363" s="363"/>
      <c r="G363" s="113"/>
      <c r="H363" s="21">
        <v>10</v>
      </c>
      <c r="I363" s="379"/>
      <c r="J363" s="340"/>
      <c r="K363" s="341"/>
      <c r="L363" s="341"/>
      <c r="M363" s="341"/>
      <c r="N363" s="342"/>
      <c r="P363" s="18">
        <f t="shared" si="5"/>
        <v>0</v>
      </c>
      <c r="Q363" s="338"/>
      <c r="R363" s="344"/>
      <c r="S363" s="474"/>
      <c r="T363" s="344"/>
      <c r="U363" s="475"/>
    </row>
    <row r="364" spans="2:21" ht="79.2" x14ac:dyDescent="0.25">
      <c r="B364" s="375"/>
      <c r="C364" s="351"/>
      <c r="D364" s="71" t="s">
        <v>159</v>
      </c>
      <c r="E364"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64" s="363"/>
      <c r="G364" s="69"/>
      <c r="H364" s="18">
        <v>10</v>
      </c>
      <c r="I364" s="379"/>
      <c r="J364" s="340"/>
      <c r="K364" s="341"/>
      <c r="L364" s="341"/>
      <c r="M364" s="341"/>
      <c r="N364" s="342"/>
      <c r="P364" s="18">
        <f t="shared" si="5"/>
        <v>0</v>
      </c>
      <c r="Q364" s="338"/>
      <c r="R364" s="344"/>
      <c r="S364" s="474"/>
      <c r="T364" s="344"/>
      <c r="U364" s="475"/>
    </row>
    <row r="365" spans="2:21" ht="13.2" customHeight="1" x14ac:dyDescent="0.25">
      <c r="B365" s="375"/>
      <c r="C365" s="351" t="s">
        <v>282</v>
      </c>
      <c r="D365" s="352" t="str">
        <f>HLOOKUP(Deckblatt!$C$12,Language!$C$1:$D$730,487,FALSE)</f>
        <v>Zugang zum nächstgelegenen Bahnhof</v>
      </c>
      <c r="E365" s="353"/>
      <c r="F365" s="363"/>
      <c r="G365" s="113"/>
      <c r="H365" s="21">
        <v>5</v>
      </c>
      <c r="I365" s="379"/>
      <c r="J365" s="340"/>
      <c r="K365" s="341"/>
      <c r="L365" s="341"/>
      <c r="M365" s="341"/>
      <c r="N365" s="342"/>
      <c r="P365" s="18">
        <f t="shared" si="5"/>
        <v>0</v>
      </c>
      <c r="Q365" s="338"/>
      <c r="R365" s="344"/>
      <c r="S365" s="474"/>
      <c r="T365" s="344"/>
      <c r="U365" s="475"/>
    </row>
    <row r="366" spans="2:21" ht="52.8" x14ac:dyDescent="0.25">
      <c r="B366" s="375"/>
      <c r="C366" s="351"/>
      <c r="D366" s="71" t="s">
        <v>284</v>
      </c>
      <c r="E366" s="134" t="str">
        <f>HLOOKUP(Deckblatt!$C$12,Language!$C$1:$D$730,488,FALSE)</f>
        <v xml:space="preserve">Öffentliche Verkehrsmittel
Zugang zum nächstgelegenen Bahnhof (S-Bahn, Regional-und/oder Fernverkehr) mit öffentlichen Verkehrsmitteln, mit dem Fahrrad oder zu Fuß.
</v>
      </c>
      <c r="F366" s="363"/>
      <c r="G366" s="69"/>
      <c r="H366" s="18">
        <v>5</v>
      </c>
      <c r="I366" s="379"/>
      <c r="J366" s="340"/>
      <c r="K366" s="341"/>
      <c r="L366" s="341"/>
      <c r="M366" s="341"/>
      <c r="N366" s="342"/>
      <c r="P366" s="18">
        <f t="shared" si="5"/>
        <v>0</v>
      </c>
      <c r="Q366" s="338"/>
      <c r="R366" s="344"/>
      <c r="S366" s="474"/>
      <c r="T366" s="344"/>
      <c r="U366" s="475"/>
    </row>
    <row r="367" spans="2:21" ht="13.2" customHeight="1" x14ac:dyDescent="0.25">
      <c r="B367" s="375"/>
      <c r="C367" s="351" t="s">
        <v>285</v>
      </c>
      <c r="D367" s="352" t="str">
        <f>HLOOKUP(Deckblatt!$C$12,Language!$C$1:$D$730,489,FALSE)</f>
        <v>Takt des ÖPNV</v>
      </c>
      <c r="E367" s="353"/>
      <c r="F367" s="363"/>
      <c r="G367" s="113"/>
      <c r="H367" s="21">
        <v>10</v>
      </c>
      <c r="I367" s="379"/>
      <c r="J367" s="340"/>
      <c r="K367" s="341"/>
      <c r="L367" s="341"/>
      <c r="M367" s="341"/>
      <c r="N367" s="342"/>
      <c r="P367" s="18">
        <f t="shared" si="5"/>
        <v>0</v>
      </c>
      <c r="Q367" s="338"/>
      <c r="R367" s="344"/>
      <c r="S367" s="474"/>
      <c r="T367" s="344"/>
      <c r="U367" s="475"/>
    </row>
    <row r="368" spans="2:21" ht="52.8" x14ac:dyDescent="0.25">
      <c r="B368" s="375"/>
      <c r="C368" s="351"/>
      <c r="D368" s="71" t="s">
        <v>287</v>
      </c>
      <c r="E368" s="134" t="str">
        <f>HLOOKUP(Deckblatt!$C$12,Language!$C$1:$D$730,490,FALSE)</f>
        <v xml:space="preserve">Takt ÖPNV
Durchschnittlicher Takt aller ÖPNV-Linien werktags zwischen 6 und 19 Uhr. Beziehungsweise an die Schichtwechsel angepasste ÖPNV Taktung.
</v>
      </c>
      <c r="F368" s="363"/>
      <c r="G368" s="69"/>
      <c r="H368" s="18">
        <v>10</v>
      </c>
      <c r="I368" s="379"/>
      <c r="J368" s="340"/>
      <c r="K368" s="341"/>
      <c r="L368" s="341"/>
      <c r="M368" s="341"/>
      <c r="N368" s="342"/>
      <c r="P368" s="18">
        <f t="shared" si="5"/>
        <v>0</v>
      </c>
      <c r="Q368" s="338"/>
      <c r="R368" s="344"/>
      <c r="S368" s="474"/>
      <c r="T368" s="344"/>
      <c r="U368" s="475"/>
    </row>
    <row r="369" spans="2:21" ht="13.2" customHeight="1" x14ac:dyDescent="0.25">
      <c r="B369" s="375"/>
      <c r="C369" s="351" t="s">
        <v>292</v>
      </c>
      <c r="D369" s="352" t="str">
        <f>HLOOKUP(Deckblatt!$C$12,Language!$C$1:$D$730,491,FALSE)</f>
        <v>Besondere Maßnahmen zur Förderung des ÖPNV</v>
      </c>
      <c r="E369" s="353"/>
      <c r="F369" s="363"/>
      <c r="G369" s="113"/>
      <c r="H369" s="21">
        <v>16</v>
      </c>
      <c r="I369" s="379"/>
      <c r="J369" s="340"/>
      <c r="K369" s="341"/>
      <c r="L369" s="341"/>
      <c r="M369" s="341"/>
      <c r="N369" s="342"/>
      <c r="P369" s="18">
        <f t="shared" si="5"/>
        <v>0</v>
      </c>
      <c r="Q369" s="338"/>
      <c r="R369" s="344"/>
      <c r="S369" s="474"/>
      <c r="T369" s="344"/>
      <c r="U369" s="475"/>
    </row>
    <row r="370" spans="2:21" ht="26.4" x14ac:dyDescent="0.25">
      <c r="B370" s="375"/>
      <c r="C370" s="351"/>
      <c r="D370" s="71" t="s">
        <v>293</v>
      </c>
      <c r="E370" s="134" t="str">
        <f>HLOOKUP(Deckblatt!$C$12,Language!$C$1:$D$730,492,FALSE)</f>
        <v xml:space="preserve">Bauliche oder Betriebliche Maßnahmen
</v>
      </c>
      <c r="F370" s="363"/>
      <c r="G370" s="69"/>
      <c r="H370" s="18">
        <v>8</v>
      </c>
      <c r="I370" s="379"/>
      <c r="J370" s="340"/>
      <c r="K370" s="341"/>
      <c r="L370" s="341"/>
      <c r="M370" s="341"/>
      <c r="N370" s="342"/>
      <c r="P370" s="18">
        <f t="shared" si="5"/>
        <v>0</v>
      </c>
      <c r="Q370" s="338"/>
      <c r="R370" s="344"/>
      <c r="S370" s="474"/>
      <c r="T370" s="344"/>
      <c r="U370" s="475"/>
    </row>
    <row r="371" spans="2:21" ht="92.4" x14ac:dyDescent="0.25">
      <c r="B371" s="375"/>
      <c r="C371" s="351"/>
      <c r="D371" s="19" t="s">
        <v>460</v>
      </c>
      <c r="E371"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371" s="363"/>
      <c r="G371" s="69"/>
      <c r="H371" s="18">
        <v>8</v>
      </c>
      <c r="I371" s="379"/>
      <c r="J371" s="340"/>
      <c r="K371" s="341"/>
      <c r="L371" s="341"/>
      <c r="M371" s="341"/>
      <c r="N371" s="342"/>
      <c r="P371" s="18">
        <f t="shared" si="5"/>
        <v>0</v>
      </c>
      <c r="Q371" s="338"/>
      <c r="R371" s="344"/>
      <c r="S371" s="474"/>
      <c r="T371" s="344"/>
      <c r="U371" s="475"/>
    </row>
    <row r="372" spans="2:21" ht="13.2" customHeight="1" x14ac:dyDescent="0.25">
      <c r="B372" s="375"/>
      <c r="C372" s="351" t="s">
        <v>448</v>
      </c>
      <c r="D372" s="352" t="str">
        <f>HLOOKUP(Deckblatt!$C$12,Language!$C$1:$D$730,494,FALSE)</f>
        <v>Konzept Wirtschaftsverkehr</v>
      </c>
      <c r="E372" s="353"/>
      <c r="F372" s="363"/>
      <c r="G372" s="113"/>
      <c r="H372" s="21">
        <v>20</v>
      </c>
      <c r="I372" s="379"/>
      <c r="J372" s="340"/>
      <c r="K372" s="341"/>
      <c r="L372" s="341"/>
      <c r="M372" s="341"/>
      <c r="N372" s="342"/>
      <c r="P372" s="18">
        <f t="shared" si="5"/>
        <v>0</v>
      </c>
      <c r="Q372" s="338"/>
      <c r="R372" s="344"/>
      <c r="S372" s="474"/>
      <c r="T372" s="344"/>
      <c r="U372" s="475"/>
    </row>
    <row r="373" spans="2:21" ht="26.4" x14ac:dyDescent="0.25">
      <c r="B373" s="375"/>
      <c r="C373" s="351"/>
      <c r="D373" s="19" t="s">
        <v>459</v>
      </c>
      <c r="E373" s="134" t="str">
        <f>HLOOKUP(Deckblatt!$C$12,Language!$C$1:$D$730,495,FALSE)</f>
        <v xml:space="preserve">Konzept Wirtschaftsverkehr
</v>
      </c>
      <c r="F373" s="363"/>
      <c r="G373" s="69"/>
      <c r="H373" s="18">
        <v>10</v>
      </c>
      <c r="I373" s="379"/>
      <c r="J373" s="340"/>
      <c r="K373" s="341"/>
      <c r="L373" s="341"/>
      <c r="M373" s="341"/>
      <c r="N373" s="342"/>
      <c r="P373" s="18">
        <f t="shared" si="5"/>
        <v>0</v>
      </c>
      <c r="Q373" s="338"/>
      <c r="R373" s="344"/>
      <c r="S373" s="474"/>
      <c r="T373" s="344"/>
      <c r="U373" s="475"/>
    </row>
    <row r="374" spans="2:21" ht="52.8" x14ac:dyDescent="0.25">
      <c r="B374" s="375"/>
      <c r="C374" s="351"/>
      <c r="D374" s="71" t="s">
        <v>458</v>
      </c>
      <c r="E374" s="54" t="str">
        <f>HLOOKUP(Deckblatt!$C$12,Language!$C$1:$D$730,496,FALSE)</f>
        <v xml:space="preserve">AGENDA 2030 BONUS – KLIMASCHUTZZIELE
Ambition zum Erreichen klimaneutraler  Logistik
</v>
      </c>
      <c r="F374" s="363"/>
      <c r="G374" s="69"/>
      <c r="H374" s="18">
        <v>10</v>
      </c>
      <c r="I374" s="379"/>
      <c r="J374" s="340"/>
      <c r="K374" s="341"/>
      <c r="L374" s="341"/>
      <c r="M374" s="341"/>
      <c r="N374" s="342"/>
      <c r="P374" s="18">
        <f t="shared" si="5"/>
        <v>0</v>
      </c>
      <c r="Q374" s="338"/>
      <c r="R374" s="344"/>
      <c r="S374" s="474"/>
      <c r="T374" s="344"/>
      <c r="U374" s="475"/>
    </row>
    <row r="375" spans="2:21" x14ac:dyDescent="0.25">
      <c r="B375" s="55" t="s">
        <v>454</v>
      </c>
      <c r="C375" s="354" t="str">
        <f>HLOOKUP(Deckblatt!$C$12,Language!$C$1:$D$730,497,FALSE)</f>
        <v>Mobilitätsinfrastruktur– Nicht Motorisierter Verkehr</v>
      </c>
      <c r="D375" s="354"/>
      <c r="E375" s="355"/>
      <c r="F375" s="66">
        <f>Q375</f>
        <v>0</v>
      </c>
      <c r="G375" s="364"/>
      <c r="H375" s="21">
        <v>100</v>
      </c>
      <c r="I375" s="176">
        <v>4</v>
      </c>
      <c r="J375" s="340"/>
      <c r="K375" s="341"/>
      <c r="L375" s="341"/>
      <c r="M375" s="341"/>
      <c r="N375" s="342"/>
      <c r="P375" s="18">
        <f t="shared" si="5"/>
        <v>0</v>
      </c>
      <c r="Q375" s="337">
        <f>IF(SUM(P377:P391)&gt;100,100,SUM(P377:P391))</f>
        <v>0</v>
      </c>
      <c r="R375" s="343">
        <f>Q375/100</f>
        <v>0</v>
      </c>
      <c r="S375" s="474"/>
      <c r="T375" s="344"/>
      <c r="U375" s="475"/>
    </row>
    <row r="376" spans="2:21" ht="13.2" customHeight="1" x14ac:dyDescent="0.25">
      <c r="B376" s="375"/>
      <c r="C376" s="351" t="s">
        <v>54</v>
      </c>
      <c r="D376" s="352" t="str">
        <f>HLOOKUP(Deckblatt!$C$12,Language!$C$1:$D$730,498,FALSE)</f>
        <v>Mobilitätselemente für Rad- und Fußgänger/innen</v>
      </c>
      <c r="E376" s="353"/>
      <c r="F376" s="363"/>
      <c r="G376" s="364"/>
      <c r="H376" s="21">
        <v>30</v>
      </c>
      <c r="I376" s="379"/>
      <c r="J376" s="340"/>
      <c r="K376" s="341"/>
      <c r="L376" s="341"/>
      <c r="M376" s="341"/>
      <c r="N376" s="342"/>
      <c r="P376" s="18">
        <f t="shared" si="5"/>
        <v>0</v>
      </c>
      <c r="Q376" s="338"/>
      <c r="R376" s="344"/>
      <c r="S376" s="474"/>
      <c r="T376" s="344"/>
      <c r="U376" s="475"/>
    </row>
    <row r="377" spans="2:21" ht="52.8" x14ac:dyDescent="0.25">
      <c r="B377" s="375"/>
      <c r="C377" s="351"/>
      <c r="D377" s="71" t="s">
        <v>58</v>
      </c>
      <c r="E377" s="134" t="str">
        <f>HLOOKUP(Deckblatt!$C$12,Language!$C$1:$D$730,499,FALSE)</f>
        <v xml:space="preserve">Rad-/Fußgängerverkehr fördernde Mobilitätselemente
Pro (innovativem) Mobilitätselement können 10 Punkte angerechnet werden. Beispiele sind unter Methode Indikator 1 aufgeführt.
</v>
      </c>
      <c r="F377" s="363"/>
      <c r="G377" s="69"/>
      <c r="H377" s="18">
        <v>30</v>
      </c>
      <c r="I377" s="379"/>
      <c r="J377" s="340"/>
      <c r="K377" s="341"/>
      <c r="L377" s="341"/>
      <c r="M377" s="341"/>
      <c r="N377" s="342"/>
      <c r="P377" s="18">
        <f t="shared" si="5"/>
        <v>0</v>
      </c>
      <c r="Q377" s="338"/>
      <c r="R377" s="344"/>
      <c r="S377" s="474"/>
      <c r="T377" s="344"/>
      <c r="U377" s="475"/>
    </row>
    <row r="378" spans="2:21" ht="13.2" customHeight="1" x14ac:dyDescent="0.25">
      <c r="B378" s="375"/>
      <c r="C378" s="359" t="s">
        <v>61</v>
      </c>
      <c r="D378" s="352" t="str">
        <f>HLOOKUP(Deckblatt!$C$12,Language!$C$1:$D$730,500,FALSE)</f>
        <v>Mobilitätsinfrastruktur für den Radverkehr</v>
      </c>
      <c r="E378" s="353"/>
      <c r="F378" s="363"/>
      <c r="G378" s="113"/>
      <c r="H378" s="21">
        <v>19</v>
      </c>
      <c r="I378" s="379"/>
      <c r="J378" s="340"/>
      <c r="K378" s="341"/>
      <c r="L378" s="341"/>
      <c r="M378" s="341"/>
      <c r="N378" s="342"/>
      <c r="P378" s="18">
        <f t="shared" si="5"/>
        <v>0</v>
      </c>
      <c r="Q378" s="338"/>
      <c r="R378" s="344"/>
      <c r="S378" s="474"/>
      <c r="T378" s="344"/>
      <c r="U378" s="475"/>
    </row>
    <row r="379" spans="2:21" ht="26.4" x14ac:dyDescent="0.25">
      <c r="B379" s="375"/>
      <c r="C379" s="390"/>
      <c r="D379" s="71" t="s">
        <v>63</v>
      </c>
      <c r="E379" s="229" t="str">
        <f>HLOOKUP(Deckblatt!$C$12,Language!$C$1:$D$730,501,FALSE)</f>
        <v xml:space="preserve">Priorisierung des Radverkehrs im Quartier 
</v>
      </c>
      <c r="F379" s="363"/>
      <c r="G379" s="69"/>
      <c r="H379" s="18">
        <v>19</v>
      </c>
      <c r="I379" s="379"/>
      <c r="J379" s="340"/>
      <c r="K379" s="341"/>
      <c r="L379" s="341"/>
      <c r="M379" s="341"/>
      <c r="N379" s="342"/>
      <c r="P379" s="18">
        <f t="shared" si="5"/>
        <v>0</v>
      </c>
      <c r="Q379" s="338"/>
      <c r="R379" s="344"/>
      <c r="S379" s="474"/>
      <c r="T379" s="344"/>
      <c r="U379" s="475"/>
    </row>
    <row r="380" spans="2:21" ht="13.2" customHeight="1" x14ac:dyDescent="0.25">
      <c r="B380" s="375"/>
      <c r="C380" s="351" t="s">
        <v>64</v>
      </c>
      <c r="D380" s="352" t="str">
        <f>HLOOKUP(Deckblatt!$C$12,Language!$C$1:$D$730,504,FALSE)</f>
        <v>Qualität der Abstellanlagen für Fahrräder</v>
      </c>
      <c r="E380" s="353"/>
      <c r="F380" s="363"/>
      <c r="G380" s="113"/>
      <c r="H380" s="21">
        <v>20</v>
      </c>
      <c r="I380" s="379"/>
      <c r="J380" s="340"/>
      <c r="K380" s="341"/>
      <c r="L380" s="341"/>
      <c r="M380" s="341"/>
      <c r="N380" s="342"/>
      <c r="P380" s="18">
        <f t="shared" si="5"/>
        <v>0</v>
      </c>
      <c r="Q380" s="338"/>
      <c r="R380" s="344"/>
      <c r="S380" s="474"/>
      <c r="T380" s="344"/>
      <c r="U380" s="475"/>
    </row>
    <row r="381" spans="2:21" ht="26.4" x14ac:dyDescent="0.25">
      <c r="B381" s="375"/>
      <c r="C381" s="351"/>
      <c r="D381" s="71" t="s">
        <v>66</v>
      </c>
      <c r="E381" s="229" t="str">
        <f>HLOOKUP(Deckblatt!$C$12,Language!$C$1:$D$730,505,FALSE)</f>
        <v xml:space="preserve">Qualität der Abstellanlagen
</v>
      </c>
      <c r="F381" s="363"/>
      <c r="G381" s="69"/>
      <c r="H381" s="18">
        <v>20</v>
      </c>
      <c r="I381" s="379"/>
      <c r="J381" s="340"/>
      <c r="K381" s="341"/>
      <c r="L381" s="341"/>
      <c r="M381" s="341"/>
      <c r="N381" s="342"/>
      <c r="P381" s="18">
        <f t="shared" si="5"/>
        <v>0</v>
      </c>
      <c r="Q381" s="338"/>
      <c r="R381" s="344"/>
      <c r="S381" s="474"/>
      <c r="T381" s="344"/>
      <c r="U381" s="475"/>
    </row>
    <row r="382" spans="2:21" ht="13.2" customHeight="1" x14ac:dyDescent="0.25">
      <c r="B382" s="375"/>
      <c r="C382" s="351" t="s">
        <v>67</v>
      </c>
      <c r="D382" s="352" t="str">
        <f>HLOOKUP(Deckblatt!$C$12,Language!$C$1:$D$730,506,FALSE)</f>
        <v>Wegweisungssysteme für Radverkehr</v>
      </c>
      <c r="E382" s="353"/>
      <c r="F382" s="363"/>
      <c r="G382" s="113"/>
      <c r="H382" s="21">
        <v>10</v>
      </c>
      <c r="I382" s="379"/>
      <c r="J382" s="340"/>
      <c r="K382" s="341"/>
      <c r="L382" s="341"/>
      <c r="M382" s="341"/>
      <c r="N382" s="342"/>
      <c r="P382" s="18">
        <f t="shared" si="5"/>
        <v>0</v>
      </c>
      <c r="Q382" s="338"/>
      <c r="R382" s="344"/>
      <c r="S382" s="474"/>
      <c r="T382" s="344"/>
      <c r="U382" s="475"/>
    </row>
    <row r="383" spans="2:21" ht="26.4" x14ac:dyDescent="0.25">
      <c r="B383" s="375"/>
      <c r="C383" s="351"/>
      <c r="D383" s="71" t="s">
        <v>69</v>
      </c>
      <c r="E383" s="229" t="str">
        <f>HLOOKUP(Deckblatt!$C$12,Language!$C$1:$D$730,507,FALSE)</f>
        <v xml:space="preserve">Wegweisungssysteme
</v>
      </c>
      <c r="F383" s="363"/>
      <c r="G383" s="69"/>
      <c r="H383" s="18">
        <v>10</v>
      </c>
      <c r="I383" s="379"/>
      <c r="J383" s="340"/>
      <c r="K383" s="341"/>
      <c r="L383" s="341"/>
      <c r="M383" s="341"/>
      <c r="N383" s="342"/>
      <c r="P383" s="18">
        <f t="shared" si="5"/>
        <v>0</v>
      </c>
      <c r="Q383" s="338"/>
      <c r="R383" s="344"/>
      <c r="S383" s="474"/>
      <c r="T383" s="344"/>
      <c r="U383" s="475"/>
    </row>
    <row r="384" spans="2:21" ht="13.2" customHeight="1" x14ac:dyDescent="0.25">
      <c r="B384" s="375"/>
      <c r="C384" s="351" t="s">
        <v>154</v>
      </c>
      <c r="D384" s="352" t="str">
        <f>HLOOKUP(Deckblatt!$C$12,Language!$C$1:$D$730,508,FALSE)</f>
        <v>Fußwegenetz</v>
      </c>
      <c r="E384" s="353"/>
      <c r="F384" s="363"/>
      <c r="G384" s="113"/>
      <c r="H384" s="21">
        <v>15</v>
      </c>
      <c r="I384" s="379"/>
      <c r="J384" s="340"/>
      <c r="K384" s="341"/>
      <c r="L384" s="341"/>
      <c r="M384" s="341"/>
      <c r="N384" s="342"/>
      <c r="P384" s="18">
        <f t="shared" si="5"/>
        <v>0</v>
      </c>
      <c r="Q384" s="338"/>
      <c r="R384" s="344"/>
      <c r="S384" s="474"/>
      <c r="T384" s="344"/>
      <c r="U384" s="475"/>
    </row>
    <row r="385" spans="2:21" ht="26.4" x14ac:dyDescent="0.25">
      <c r="B385" s="375"/>
      <c r="C385" s="351"/>
      <c r="D385" s="71" t="s">
        <v>156</v>
      </c>
      <c r="E385" s="229" t="str">
        <f>HLOOKUP(Deckblatt!$C$12,Language!$C$1:$D$730,509,FALSE)</f>
        <v xml:space="preserve">Fußgängerinfrastruktur
</v>
      </c>
      <c r="F385" s="363"/>
      <c r="G385" s="69"/>
      <c r="H385" s="18">
        <v>15</v>
      </c>
      <c r="I385" s="379"/>
      <c r="J385" s="340"/>
      <c r="K385" s="341"/>
      <c r="L385" s="341"/>
      <c r="M385" s="341"/>
      <c r="N385" s="342"/>
      <c r="P385" s="18">
        <f t="shared" si="5"/>
        <v>0</v>
      </c>
      <c r="Q385" s="338"/>
      <c r="R385" s="344"/>
      <c r="S385" s="474"/>
      <c r="T385" s="344"/>
      <c r="U385" s="475"/>
    </row>
    <row r="386" spans="2:21" ht="13.2" customHeight="1" x14ac:dyDescent="0.25">
      <c r="B386" s="375"/>
      <c r="C386" s="392" t="s">
        <v>157</v>
      </c>
      <c r="D386" s="352" t="str">
        <f>HLOOKUP(Deckblatt!$C$12,Language!$C$1:$D$730,510,FALSE)</f>
        <v>Lage der Querungsmöglichkeiten für Fußgänger/-innen</v>
      </c>
      <c r="E386" s="353"/>
      <c r="F386" s="363"/>
      <c r="G386" s="113"/>
      <c r="H386" s="21">
        <v>15</v>
      </c>
      <c r="I386" s="379"/>
      <c r="J386" s="340"/>
      <c r="K386" s="341"/>
      <c r="L386" s="341"/>
      <c r="M386" s="341"/>
      <c r="N386" s="342"/>
      <c r="P386" s="18">
        <f t="shared" si="5"/>
        <v>0</v>
      </c>
      <c r="Q386" s="338"/>
      <c r="R386" s="344"/>
      <c r="S386" s="474"/>
      <c r="T386" s="344"/>
      <c r="U386" s="475"/>
    </row>
    <row r="387" spans="2:21" ht="26.4" x14ac:dyDescent="0.25">
      <c r="B387" s="375"/>
      <c r="C387" s="351"/>
      <c r="D387" s="71" t="s">
        <v>159</v>
      </c>
      <c r="E387" s="229" t="str">
        <f>HLOOKUP(Deckblatt!$C$12,Language!$C$1:$D$730,511,FALSE)</f>
        <v xml:space="preserve">Kreuzen der Wege
</v>
      </c>
      <c r="F387" s="363"/>
      <c r="G387" s="69"/>
      <c r="H387" s="18">
        <v>15</v>
      </c>
      <c r="I387" s="379"/>
      <c r="J387" s="340"/>
      <c r="K387" s="341"/>
      <c r="L387" s="341"/>
      <c r="M387" s="341"/>
      <c r="N387" s="342"/>
      <c r="P387" s="18">
        <f t="shared" si="5"/>
        <v>0</v>
      </c>
      <c r="Q387" s="338"/>
      <c r="R387" s="344"/>
      <c r="S387" s="474"/>
      <c r="T387" s="344"/>
      <c r="U387" s="475"/>
    </row>
    <row r="388" spans="2:21" ht="13.2" customHeight="1" x14ac:dyDescent="0.25">
      <c r="B388" s="375"/>
      <c r="C388" s="351" t="s">
        <v>282</v>
      </c>
      <c r="D388" s="352" t="str">
        <f>HLOOKUP(Deckblatt!$C$12,Language!$C$1:$D$730,512,FALSE)</f>
        <v>Wegweisungssysteme für Fußgänger/-innen</v>
      </c>
      <c r="E388" s="353"/>
      <c r="F388" s="363"/>
      <c r="G388" s="356"/>
      <c r="H388" s="21">
        <v>10</v>
      </c>
      <c r="I388" s="379"/>
      <c r="J388" s="340"/>
      <c r="K388" s="341"/>
      <c r="L388" s="341"/>
      <c r="M388" s="341"/>
      <c r="N388" s="342"/>
      <c r="P388" s="18">
        <f t="shared" si="5"/>
        <v>0</v>
      </c>
      <c r="Q388" s="338"/>
      <c r="R388" s="344"/>
      <c r="S388" s="474"/>
      <c r="T388" s="344"/>
      <c r="U388" s="475"/>
    </row>
    <row r="389" spans="2:21" x14ac:dyDescent="0.25">
      <c r="B389" s="375"/>
      <c r="C389" s="351"/>
      <c r="D389" s="361" t="s">
        <v>284</v>
      </c>
      <c r="E389" s="229" t="str">
        <f>HLOOKUP(Deckblatt!$C$12,Language!$C$1:$D$730,513,FALSE)</f>
        <v>Wegweisungssysteme</v>
      </c>
      <c r="F389" s="363"/>
      <c r="G389" s="356"/>
      <c r="H389" s="21">
        <v>10</v>
      </c>
      <c r="I389" s="379"/>
      <c r="J389" s="340"/>
      <c r="K389" s="341"/>
      <c r="L389" s="341"/>
      <c r="M389" s="341"/>
      <c r="N389" s="342"/>
      <c r="P389" s="18">
        <f t="shared" si="5"/>
        <v>0</v>
      </c>
      <c r="Q389" s="338"/>
      <c r="R389" s="344"/>
      <c r="S389" s="474"/>
      <c r="T389" s="344"/>
      <c r="U389" s="475"/>
    </row>
    <row r="390" spans="2:21" ht="39.6" x14ac:dyDescent="0.25">
      <c r="B390" s="375"/>
      <c r="C390" s="351"/>
      <c r="D390" s="361"/>
      <c r="E390" s="134" t="str">
        <f>HLOOKUP(Deckblatt!$C$12,Language!$C$1:$D$730,514,FALSE)</f>
        <v xml:space="preserve">Flächendeckende Beschilderung (Ziele, Entfernungen, ggf. Gehminuten) ist vorhanden, die wichtigsten Ziele sind ausgeschildert.≤ 30 Minuten
</v>
      </c>
      <c r="F390" s="363"/>
      <c r="G390" s="69"/>
      <c r="H390" s="18">
        <v>5</v>
      </c>
      <c r="I390" s="379"/>
      <c r="J390" s="340"/>
      <c r="K390" s="341"/>
      <c r="L390" s="341"/>
      <c r="M390" s="341"/>
      <c r="N390" s="342"/>
      <c r="P390" s="18">
        <f t="shared" si="5"/>
        <v>0</v>
      </c>
      <c r="Q390" s="338"/>
      <c r="R390" s="344"/>
      <c r="S390" s="474"/>
      <c r="T390" s="344"/>
      <c r="U390" s="475"/>
    </row>
    <row r="391" spans="2:21" ht="40.200000000000003" thickBot="1" x14ac:dyDescent="0.3">
      <c r="B391" s="377"/>
      <c r="C391" s="351"/>
      <c r="D391" s="361"/>
      <c r="E391" s="134" t="str">
        <f>HLOOKUP(Deckblatt!$C$12,Language!$C$1:$D$730,515,FALSE)</f>
        <v xml:space="preserve">Flächendeckende Orientierungspläne (z. B. an zentralen Einrichtungen, Plätzen etc.) unterstützen die Orientierung und erhöhen die Sicherheit.
</v>
      </c>
      <c r="F391" s="378"/>
      <c r="G391" s="70"/>
      <c r="H391" s="59">
        <v>5</v>
      </c>
      <c r="I391" s="380"/>
      <c r="J391" s="340"/>
      <c r="K391" s="341"/>
      <c r="L391" s="341"/>
      <c r="M391" s="341"/>
      <c r="N391" s="342"/>
      <c r="P391" s="18">
        <f t="shared" si="5"/>
        <v>0</v>
      </c>
      <c r="Q391" s="339"/>
      <c r="R391" s="365"/>
      <c r="S391" s="474"/>
      <c r="T391" s="365"/>
      <c r="U391" s="475"/>
    </row>
    <row r="392" spans="2:21" x14ac:dyDescent="0.25">
      <c r="B392" s="49" t="s">
        <v>474</v>
      </c>
      <c r="C392" s="354" t="str">
        <f>HLOOKUP(Deckblatt!$C$12,Language!$C$1:$D$730,516,FALSE)</f>
        <v>Integrale Planung</v>
      </c>
      <c r="D392" s="354"/>
      <c r="E392" s="355"/>
      <c r="F392" s="62">
        <f>Q392</f>
        <v>0</v>
      </c>
      <c r="G392" s="391"/>
      <c r="H392" s="51">
        <v>100</v>
      </c>
      <c r="I392" s="178">
        <v>3</v>
      </c>
      <c r="J392" s="340"/>
      <c r="K392" s="341"/>
      <c r="L392" s="341"/>
      <c r="M392" s="341"/>
      <c r="N392" s="342"/>
      <c r="P392" s="18">
        <f t="shared" si="5"/>
        <v>0</v>
      </c>
      <c r="Q392" s="337">
        <f>SUM(P395:P411)</f>
        <v>0</v>
      </c>
      <c r="R392" s="343">
        <f>Q392/100</f>
        <v>0</v>
      </c>
      <c r="S392" s="474">
        <v>0.2</v>
      </c>
      <c r="T392" s="343">
        <f>IF((R392*I392+R412*I412+R431*I431+R454*I454+R485*I485+R500*I500)/(I392+I412+I431+I454+I485+I500)&gt;1,1,(R392*I392+R412*I412+R431*I431+R454*I454+R485*I485+R500*I500)/(I392+I412+I431+I454+I485+I500))</f>
        <v>0</v>
      </c>
      <c r="U392" s="475"/>
    </row>
    <row r="393" spans="2:21" ht="13.2" customHeight="1" x14ac:dyDescent="0.25">
      <c r="B393" s="375"/>
      <c r="C393" s="351" t="s">
        <v>54</v>
      </c>
      <c r="D393" s="352" t="str">
        <f>HLOOKUP(Deckblatt!$C$12,Language!$C$1:$D$730,517,FALSE)</f>
        <v>Integrales Planungsteam</v>
      </c>
      <c r="E393" s="353"/>
      <c r="F393" s="363"/>
      <c r="G393" s="364"/>
      <c r="H393" s="21">
        <v>36</v>
      </c>
      <c r="I393" s="379"/>
      <c r="J393" s="340"/>
      <c r="K393" s="341"/>
      <c r="L393" s="341"/>
      <c r="M393" s="341"/>
      <c r="N393" s="342"/>
      <c r="P393" s="18">
        <f t="shared" si="5"/>
        <v>0</v>
      </c>
      <c r="Q393" s="338"/>
      <c r="R393" s="344"/>
      <c r="S393" s="474"/>
      <c r="T393" s="344"/>
      <c r="U393" s="475"/>
    </row>
    <row r="394" spans="2:21" x14ac:dyDescent="0.25">
      <c r="B394" s="375"/>
      <c r="C394" s="351"/>
      <c r="D394" s="361" t="s">
        <v>58</v>
      </c>
      <c r="E394" s="229" t="str">
        <f>HLOOKUP(Deckblatt!$C$12,Language!$C$1:$D$730,518,FALSE)</f>
        <v>Kernplanungsteam</v>
      </c>
      <c r="F394" s="363"/>
      <c r="G394" s="364"/>
      <c r="H394" s="21">
        <v>36</v>
      </c>
      <c r="I394" s="379"/>
      <c r="J394" s="340"/>
      <c r="K394" s="341"/>
      <c r="L394" s="341"/>
      <c r="M394" s="341"/>
      <c r="N394" s="342"/>
      <c r="P394" s="18">
        <f t="shared" si="5"/>
        <v>0</v>
      </c>
      <c r="Q394" s="338"/>
      <c r="R394" s="344"/>
      <c r="S394" s="474"/>
      <c r="T394" s="344"/>
      <c r="U394" s="475"/>
    </row>
    <row r="395" spans="2:21" ht="26.4" x14ac:dyDescent="0.25">
      <c r="B395" s="375"/>
      <c r="C395" s="351"/>
      <c r="D395" s="361"/>
      <c r="E395" s="134" t="str">
        <f>HLOOKUP(Deckblatt!$C$12,Language!$C$1:$D$730,519,FALSE)</f>
        <v xml:space="preserve">Für jede Disziplin des Kern- Planungsteams (max. 4 Disziplinen / max. 24 PUNKTE) </v>
      </c>
      <c r="F395" s="363"/>
      <c r="G395" s="69"/>
      <c r="H395" s="18">
        <v>24</v>
      </c>
      <c r="I395" s="379"/>
      <c r="J395" s="340"/>
      <c r="K395" s="341"/>
      <c r="L395" s="341"/>
      <c r="M395" s="341"/>
      <c r="N395" s="342"/>
      <c r="P395" s="18">
        <f t="shared" si="5"/>
        <v>0</v>
      </c>
      <c r="Q395" s="338"/>
      <c r="R395" s="344"/>
      <c r="S395" s="474"/>
      <c r="T395" s="344"/>
      <c r="U395" s="475"/>
    </row>
    <row r="396" spans="2:21" ht="39.6" x14ac:dyDescent="0.25">
      <c r="B396" s="375"/>
      <c r="C396" s="351"/>
      <c r="D396" s="361"/>
      <c r="E396" s="134" t="str">
        <f>HLOOKUP(Deckblatt!$C$12,Language!$C$1:$D$730,520,FALSE)</f>
        <v xml:space="preserve">Für jede Disziplin der zusätzlich wünschenswerten Disziplinen (max. 4 Disziplinen / max. 12 PUNKTE) 
</v>
      </c>
      <c r="F396" s="363"/>
      <c r="G396" s="69"/>
      <c r="H396" s="18">
        <v>12</v>
      </c>
      <c r="I396" s="379"/>
      <c r="J396" s="340"/>
      <c r="K396" s="341"/>
      <c r="L396" s="341"/>
      <c r="M396" s="341"/>
      <c r="N396" s="342"/>
      <c r="P396" s="18">
        <f t="shared" ref="P396:P459" si="6">IF(G396&gt;H396,H396,G396)</f>
        <v>0</v>
      </c>
      <c r="Q396" s="338"/>
      <c r="R396" s="344"/>
      <c r="S396" s="474"/>
      <c r="T396" s="344"/>
      <c r="U396" s="475"/>
    </row>
    <row r="397" spans="2:21" ht="13.2" customHeight="1" x14ac:dyDescent="0.25">
      <c r="B397" s="375"/>
      <c r="C397" s="351" t="s">
        <v>61</v>
      </c>
      <c r="D397" s="352" t="str">
        <f>HLOOKUP(Deckblatt!$C$12,Language!$C$1:$D$730,521,FALSE)</f>
        <v>Integraler Planungsprozess</v>
      </c>
      <c r="E397" s="353"/>
      <c r="F397" s="363"/>
      <c r="G397" s="113"/>
      <c r="H397" s="21">
        <v>34</v>
      </c>
      <c r="I397" s="379"/>
      <c r="J397" s="340"/>
      <c r="K397" s="341"/>
      <c r="L397" s="341"/>
      <c r="M397" s="341"/>
      <c r="N397" s="342"/>
      <c r="P397" s="18">
        <f t="shared" si="6"/>
        <v>0</v>
      </c>
      <c r="Q397" s="338"/>
      <c r="R397" s="344"/>
      <c r="S397" s="474"/>
      <c r="T397" s="344"/>
      <c r="U397" s="475"/>
    </row>
    <row r="398" spans="2:21" ht="39.6" x14ac:dyDescent="0.25">
      <c r="B398" s="375"/>
      <c r="C398" s="351"/>
      <c r="D398" s="71" t="s">
        <v>63</v>
      </c>
      <c r="E398" s="229" t="str">
        <f>HLOOKUP(Deckblatt!$C$12,Language!$C$1:$D$730,522,FALSE)</f>
        <v xml:space="preserve">Zeitpunkt der Integration von DGNB Zertifizierungskriterien in den Planungsprozess
</v>
      </c>
      <c r="F398" s="363"/>
      <c r="G398" s="69"/>
      <c r="H398" s="18">
        <v>14</v>
      </c>
      <c r="I398" s="379"/>
      <c r="J398" s="340"/>
      <c r="K398" s="341"/>
      <c r="L398" s="341"/>
      <c r="M398" s="341"/>
      <c r="N398" s="342"/>
      <c r="P398" s="18">
        <f t="shared" si="6"/>
        <v>0</v>
      </c>
      <c r="Q398" s="338"/>
      <c r="R398" s="344"/>
      <c r="S398" s="474"/>
      <c r="T398" s="344"/>
      <c r="U398" s="475"/>
    </row>
    <row r="399" spans="2:21" ht="26.4" x14ac:dyDescent="0.25">
      <c r="B399" s="375"/>
      <c r="C399" s="351"/>
      <c r="D399" s="71" t="s">
        <v>186</v>
      </c>
      <c r="E399" s="229" t="str">
        <f>HLOOKUP(Deckblatt!$C$12,Language!$C$1:$D$730,523,FALSE)</f>
        <v xml:space="preserve">Zusammenarbeit des Planungsteam
</v>
      </c>
      <c r="F399" s="363"/>
      <c r="G399" s="69"/>
      <c r="H399" s="18">
        <v>11</v>
      </c>
      <c r="I399" s="379"/>
      <c r="J399" s="340"/>
      <c r="K399" s="341"/>
      <c r="L399" s="341"/>
      <c r="M399" s="341"/>
      <c r="N399" s="342"/>
      <c r="P399" s="18">
        <f t="shared" si="6"/>
        <v>0</v>
      </c>
      <c r="Q399" s="338"/>
      <c r="R399" s="344"/>
      <c r="S399" s="474"/>
      <c r="T399" s="344"/>
      <c r="U399" s="475"/>
    </row>
    <row r="400" spans="2:21" x14ac:dyDescent="0.25">
      <c r="B400" s="375"/>
      <c r="C400" s="351"/>
      <c r="D400" s="361" t="s">
        <v>255</v>
      </c>
      <c r="E400" s="229" t="str">
        <f>HLOOKUP(Deckblatt!$C$12,Language!$C$1:$D$730,524,FALSE)</f>
        <v>Bausteine des integralen Planungsprozesses</v>
      </c>
      <c r="F400" s="363"/>
      <c r="G400" s="113"/>
      <c r="H400" s="21">
        <v>9</v>
      </c>
      <c r="I400" s="379"/>
      <c r="J400" s="340"/>
      <c r="K400" s="341"/>
      <c r="L400" s="341"/>
      <c r="M400" s="341"/>
      <c r="N400" s="342"/>
      <c r="P400" s="18">
        <f t="shared" si="6"/>
        <v>0</v>
      </c>
      <c r="Q400" s="338"/>
      <c r="R400" s="344"/>
      <c r="S400" s="474"/>
      <c r="T400" s="344"/>
      <c r="U400" s="475"/>
    </row>
    <row r="401" spans="2:21" ht="66" x14ac:dyDescent="0.25">
      <c r="B401" s="375"/>
      <c r="C401" s="351"/>
      <c r="D401" s="361"/>
      <c r="E401"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01" s="363"/>
      <c r="G401" s="69"/>
      <c r="H401" s="18">
        <v>3</v>
      </c>
      <c r="I401" s="379"/>
      <c r="J401" s="340"/>
      <c r="K401" s="341"/>
      <c r="L401" s="341"/>
      <c r="M401" s="341"/>
      <c r="N401" s="342"/>
      <c r="P401" s="18">
        <f t="shared" si="6"/>
        <v>0</v>
      </c>
      <c r="Q401" s="338"/>
      <c r="R401" s="344"/>
      <c r="S401" s="474"/>
      <c r="T401" s="344"/>
      <c r="U401" s="475"/>
    </row>
    <row r="402" spans="2:21" ht="52.8" x14ac:dyDescent="0.25">
      <c r="B402" s="375"/>
      <c r="C402" s="351"/>
      <c r="D402" s="361"/>
      <c r="E402"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02" s="363"/>
      <c r="G402" s="69"/>
      <c r="H402" s="18">
        <v>3</v>
      </c>
      <c r="I402" s="379"/>
      <c r="J402" s="340"/>
      <c r="K402" s="341"/>
      <c r="L402" s="341"/>
      <c r="M402" s="341"/>
      <c r="N402" s="342"/>
      <c r="P402" s="18">
        <f t="shared" si="6"/>
        <v>0</v>
      </c>
      <c r="Q402" s="338"/>
      <c r="R402" s="344"/>
      <c r="S402" s="474"/>
      <c r="T402" s="344"/>
      <c r="U402" s="475"/>
    </row>
    <row r="403" spans="2:21" ht="39.6" x14ac:dyDescent="0.25">
      <c r="B403" s="375"/>
      <c r="C403" s="351"/>
      <c r="D403" s="361"/>
      <c r="E403" s="134" t="str">
        <f>HLOOKUP(Deckblatt!$C$12,Language!$C$1:$D$730,527,FALSE)</f>
        <v xml:space="preserve">3-D-Datenmodell: Zusammenarbeit des Planungsteams mit einem 3-D-Datenmodell (GIS, CIM, BIM)
</v>
      </c>
      <c r="F403" s="363"/>
      <c r="G403" s="69"/>
      <c r="H403" s="18">
        <v>3</v>
      </c>
      <c r="I403" s="379"/>
      <c r="J403" s="340"/>
      <c r="K403" s="341"/>
      <c r="L403" s="341"/>
      <c r="M403" s="341"/>
      <c r="N403" s="342"/>
      <c r="P403" s="18">
        <f t="shared" si="6"/>
        <v>0</v>
      </c>
      <c r="Q403" s="338"/>
      <c r="R403" s="344"/>
      <c r="S403" s="474"/>
      <c r="T403" s="344"/>
      <c r="U403" s="475"/>
    </row>
    <row r="404" spans="2:21" ht="13.2" customHeight="1" x14ac:dyDescent="0.25">
      <c r="B404" s="375"/>
      <c r="C404" s="351" t="s">
        <v>64</v>
      </c>
      <c r="D404" s="352" t="str">
        <f>HLOOKUP(Deckblatt!$C$12,Language!$C$1:$D$730,528,FALSE)</f>
        <v>Planungsszenarien und -varianten</v>
      </c>
      <c r="E404" s="353"/>
      <c r="F404" s="363"/>
      <c r="G404" s="113"/>
      <c r="H404" s="21">
        <v>30</v>
      </c>
      <c r="I404" s="379"/>
      <c r="J404" s="340"/>
      <c r="K404" s="341"/>
      <c r="L404" s="341"/>
      <c r="M404" s="341"/>
      <c r="N404" s="342"/>
      <c r="P404" s="18">
        <f t="shared" si="6"/>
        <v>0</v>
      </c>
      <c r="Q404" s="338"/>
      <c r="R404" s="344"/>
      <c r="S404" s="474"/>
      <c r="T404" s="344"/>
      <c r="U404" s="475"/>
    </row>
    <row r="405" spans="2:21" ht="26.4" x14ac:dyDescent="0.25">
      <c r="B405" s="375"/>
      <c r="C405" s="351"/>
      <c r="D405" s="71" t="s">
        <v>66</v>
      </c>
      <c r="E405" s="229" t="str">
        <f>HLOOKUP(Deckblatt!$C$12,Language!$C$1:$D$730,529,FALSE)</f>
        <v xml:space="preserve">Planungsszenarien
</v>
      </c>
      <c r="F405" s="363"/>
      <c r="G405" s="69"/>
      <c r="H405" s="18">
        <v>6</v>
      </c>
      <c r="I405" s="379"/>
      <c r="J405" s="340"/>
      <c r="K405" s="341"/>
      <c r="L405" s="341"/>
      <c r="M405" s="341"/>
      <c r="N405" s="342"/>
      <c r="P405" s="18">
        <f t="shared" si="6"/>
        <v>0</v>
      </c>
      <c r="Q405" s="338"/>
      <c r="R405" s="344"/>
      <c r="S405" s="474"/>
      <c r="T405" s="344"/>
      <c r="U405" s="475"/>
    </row>
    <row r="406" spans="2:21" ht="26.4" x14ac:dyDescent="0.25">
      <c r="B406" s="375"/>
      <c r="C406" s="351"/>
      <c r="D406" s="71" t="s">
        <v>188</v>
      </c>
      <c r="E406" s="229" t="str">
        <f>HLOOKUP(Deckblatt!$C$12,Language!$C$1:$D$730,530,FALSE)</f>
        <v xml:space="preserve">Planungsvarianten 
</v>
      </c>
      <c r="F406" s="363"/>
      <c r="G406" s="69"/>
      <c r="H406" s="18">
        <v>6</v>
      </c>
      <c r="I406" s="379"/>
      <c r="J406" s="340"/>
      <c r="K406" s="341"/>
      <c r="L406" s="341"/>
      <c r="M406" s="341"/>
      <c r="N406" s="342"/>
      <c r="P406" s="18">
        <f t="shared" si="6"/>
        <v>0</v>
      </c>
      <c r="Q406" s="338"/>
      <c r="R406" s="344"/>
      <c r="S406" s="474"/>
      <c r="T406" s="344"/>
      <c r="U406" s="475"/>
    </row>
    <row r="407" spans="2:21" x14ac:dyDescent="0.25">
      <c r="B407" s="375"/>
      <c r="C407" s="351"/>
      <c r="D407" s="361" t="s">
        <v>150</v>
      </c>
      <c r="E407" s="229" t="str">
        <f>HLOOKUP(Deckblatt!$C$12,Language!$C$1:$D$730,531,FALSE)</f>
        <v>Verfahren zur gestalterischen und funktionalen Konzeptfindung</v>
      </c>
      <c r="F407" s="363"/>
      <c r="G407" s="113"/>
      <c r="H407" s="21">
        <v>18</v>
      </c>
      <c r="I407" s="379"/>
      <c r="J407" s="340"/>
      <c r="K407" s="341"/>
      <c r="L407" s="341"/>
      <c r="M407" s="341"/>
      <c r="N407" s="342"/>
      <c r="P407" s="18">
        <f t="shared" si="6"/>
        <v>0</v>
      </c>
      <c r="Q407" s="338"/>
      <c r="R407" s="344"/>
      <c r="S407" s="474"/>
      <c r="T407" s="344"/>
      <c r="U407" s="475"/>
    </row>
    <row r="408" spans="2:21" ht="39.6" x14ac:dyDescent="0.25">
      <c r="B408" s="375"/>
      <c r="C408" s="351"/>
      <c r="D408" s="361"/>
      <c r="E408" s="134" t="str">
        <f>HLOOKUP(Deckblatt!$C$12,Language!$C$1:$D$730,533,FALSE)</f>
        <v xml:space="preserve">Verfahren zur Konzeptfindung: Es wurden konkurrierende und/oder kooperative Verfahren für den städtebaulichen Entwurf durchgeführt 
</v>
      </c>
      <c r="F408" s="363"/>
      <c r="G408" s="69"/>
      <c r="H408" s="18">
        <v>9</v>
      </c>
      <c r="I408" s="379"/>
      <c r="J408" s="340"/>
      <c r="K408" s="341"/>
      <c r="L408" s="341"/>
      <c r="M408" s="341"/>
      <c r="N408" s="342"/>
      <c r="P408" s="18">
        <f t="shared" si="6"/>
        <v>0</v>
      </c>
      <c r="Q408" s="338"/>
      <c r="R408" s="344"/>
      <c r="S408" s="474"/>
      <c r="T408" s="344"/>
      <c r="U408" s="475"/>
    </row>
    <row r="409" spans="2:21" ht="52.8" x14ac:dyDescent="0.25">
      <c r="B409" s="375"/>
      <c r="C409" s="351"/>
      <c r="D409" s="361"/>
      <c r="E409" s="134" t="str">
        <f>HLOOKUP(Deckblatt!$C$12,Language!$C$1:$D$730,534,FALSE)</f>
        <v xml:space="preserve">Beteiligung von Nutzern, Anliegern oder Interessenvertretern: An der Entscheidungsfindung wurden Repräsentanten der Nutzer, Anlieger oder Interessenvertreter beteiligt
</v>
      </c>
      <c r="F409" s="363"/>
      <c r="G409" s="69"/>
      <c r="H409" s="18">
        <v>3</v>
      </c>
      <c r="I409" s="379"/>
      <c r="J409" s="340"/>
      <c r="K409" s="341"/>
      <c r="L409" s="341"/>
      <c r="M409" s="341"/>
      <c r="N409" s="342"/>
      <c r="P409" s="18">
        <f t="shared" si="6"/>
        <v>0</v>
      </c>
      <c r="Q409" s="338"/>
      <c r="R409" s="344"/>
      <c r="S409" s="474"/>
      <c r="T409" s="344"/>
      <c r="U409" s="475"/>
    </row>
    <row r="410" spans="2:21" ht="39.6" x14ac:dyDescent="0.25">
      <c r="B410" s="375"/>
      <c r="C410" s="351"/>
      <c r="D410" s="361"/>
      <c r="E410" s="134" t="str">
        <f>HLOOKUP(Deckblatt!$C$12,Language!$C$1:$D$730,535,FALSE)</f>
        <v xml:space="preserve">Vorprüfung nach DGNB-Kriterien: Die Vorprüfung des städtebaulichen und landschaftsplanerischen Wettbewerbs erfolgt nach DGNB-Kriterien
</v>
      </c>
      <c r="F410" s="363"/>
      <c r="G410" s="69"/>
      <c r="H410" s="18">
        <v>3</v>
      </c>
      <c r="I410" s="379"/>
      <c r="J410" s="340"/>
      <c r="K410" s="341"/>
      <c r="L410" s="341"/>
      <c r="M410" s="341"/>
      <c r="N410" s="342"/>
      <c r="P410" s="18">
        <f t="shared" si="6"/>
        <v>0</v>
      </c>
      <c r="Q410" s="338"/>
      <c r="R410" s="344"/>
      <c r="S410" s="474"/>
      <c r="T410" s="344"/>
      <c r="U410" s="475"/>
    </row>
    <row r="411" spans="2:21" ht="79.2" x14ac:dyDescent="0.25">
      <c r="B411" s="375"/>
      <c r="C411" s="351"/>
      <c r="D411" s="361"/>
      <c r="E411"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11" s="363"/>
      <c r="G411" s="69"/>
      <c r="H411" s="18">
        <v>3</v>
      </c>
      <c r="I411" s="379"/>
      <c r="J411" s="340"/>
      <c r="K411" s="341"/>
      <c r="L411" s="341"/>
      <c r="M411" s="341"/>
      <c r="N411" s="342"/>
      <c r="P411" s="18">
        <f t="shared" si="6"/>
        <v>0</v>
      </c>
      <c r="Q411" s="339"/>
      <c r="R411" s="365"/>
      <c r="S411" s="474"/>
      <c r="T411" s="344"/>
      <c r="U411" s="475"/>
    </row>
    <row r="412" spans="2:21" x14ac:dyDescent="0.25">
      <c r="B412" s="55" t="s">
        <v>495</v>
      </c>
      <c r="C412" s="354" t="str">
        <f>HLOOKUP(Deckblatt!$C$12,Language!$C$1:$D$730,538,FALSE)</f>
        <v>Partizipation</v>
      </c>
      <c r="D412" s="354"/>
      <c r="E412" s="355"/>
      <c r="F412" s="66">
        <f>Q412</f>
        <v>0</v>
      </c>
      <c r="G412" s="364"/>
      <c r="H412" s="21">
        <v>100</v>
      </c>
      <c r="I412" s="176">
        <v>2</v>
      </c>
      <c r="J412" s="340"/>
      <c r="K412" s="341"/>
      <c r="L412" s="341"/>
      <c r="M412" s="341"/>
      <c r="N412" s="342"/>
      <c r="P412" s="18">
        <f t="shared" si="6"/>
        <v>0</v>
      </c>
      <c r="Q412" s="337">
        <f>SUM(MAX(P414:P416),MAX(P422:P424),MAX(P418:P420),P426:P428,P430)</f>
        <v>0</v>
      </c>
      <c r="R412" s="343">
        <f>Q412/100</f>
        <v>0</v>
      </c>
      <c r="S412" s="474"/>
      <c r="T412" s="344"/>
      <c r="U412" s="475"/>
    </row>
    <row r="413" spans="2:21" ht="80.099999999999994" customHeight="1" x14ac:dyDescent="0.25">
      <c r="B413" s="375"/>
      <c r="C413" s="351" t="s">
        <v>54</v>
      </c>
      <c r="D413" s="367"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13" s="368"/>
      <c r="F413" s="363"/>
      <c r="G413" s="364"/>
      <c r="H413" s="21">
        <v>15</v>
      </c>
      <c r="I413" s="379"/>
      <c r="J413" s="340"/>
      <c r="K413" s="341"/>
      <c r="L413" s="341"/>
      <c r="M413" s="341"/>
      <c r="N413" s="342"/>
      <c r="P413" s="18">
        <f t="shared" si="6"/>
        <v>0</v>
      </c>
      <c r="Q413" s="338"/>
      <c r="R413" s="344"/>
      <c r="S413" s="474"/>
      <c r="T413" s="344"/>
      <c r="U413" s="475"/>
    </row>
    <row r="414" spans="2:21" ht="26.4" x14ac:dyDescent="0.25">
      <c r="B414" s="375"/>
      <c r="C414" s="351"/>
      <c r="D414" s="71" t="s">
        <v>58</v>
      </c>
      <c r="E414" s="134" t="str">
        <f>HLOOKUP(Deckblatt!$C$12,Language!$C$1:$D$730,540,FALSE)</f>
        <v xml:space="preserve">Information
</v>
      </c>
      <c r="F414" s="363"/>
      <c r="G414" s="69"/>
      <c r="H414" s="18">
        <v>5</v>
      </c>
      <c r="I414" s="379"/>
      <c r="J414" s="340"/>
      <c r="K414" s="341"/>
      <c r="L414" s="341"/>
      <c r="M414" s="341"/>
      <c r="N414" s="342"/>
      <c r="P414" s="18">
        <f t="shared" si="6"/>
        <v>0</v>
      </c>
      <c r="Q414" s="338"/>
      <c r="R414" s="344"/>
      <c r="S414" s="474"/>
      <c r="T414" s="344"/>
      <c r="U414" s="475"/>
    </row>
    <row r="415" spans="2:21" ht="39.6" x14ac:dyDescent="0.25">
      <c r="B415" s="375"/>
      <c r="C415" s="351"/>
      <c r="D415" s="71" t="s">
        <v>181</v>
      </c>
      <c r="E415" s="134" t="str">
        <f>HLOOKUP(Deckblatt!$C$12,Language!$C$1:$D$730,541,FALSE)</f>
        <v xml:space="preserve">Konsultative Nutzerbeteiligung / Beratung
</v>
      </c>
      <c r="F415" s="363"/>
      <c r="G415" s="69"/>
      <c r="H415" s="18">
        <v>7</v>
      </c>
      <c r="I415" s="379"/>
      <c r="J415" s="340"/>
      <c r="K415" s="341"/>
      <c r="L415" s="341"/>
      <c r="M415" s="341"/>
      <c r="N415" s="342"/>
      <c r="P415" s="18">
        <f t="shared" si="6"/>
        <v>0</v>
      </c>
      <c r="Q415" s="338"/>
      <c r="R415" s="344"/>
      <c r="S415" s="474"/>
      <c r="T415" s="344"/>
      <c r="U415" s="475"/>
    </row>
    <row r="416" spans="2:21" ht="26.4" x14ac:dyDescent="0.25">
      <c r="B416" s="375"/>
      <c r="C416" s="351"/>
      <c r="D416" s="71" t="s">
        <v>246</v>
      </c>
      <c r="E416" s="134" t="str">
        <f>HLOOKUP(Deckblatt!$C$12,Language!$C$1:$D$730,542,FALSE)</f>
        <v xml:space="preserve">Mitbestimmung
</v>
      </c>
      <c r="F416" s="363"/>
      <c r="G416" s="69"/>
      <c r="H416" s="18">
        <v>15</v>
      </c>
      <c r="I416" s="379"/>
      <c r="J416" s="340"/>
      <c r="K416" s="341"/>
      <c r="L416" s="341"/>
      <c r="M416" s="341"/>
      <c r="N416" s="342"/>
      <c r="P416" s="18">
        <f t="shared" si="6"/>
        <v>0</v>
      </c>
      <c r="Q416" s="338"/>
      <c r="R416" s="344"/>
      <c r="S416" s="474"/>
      <c r="T416" s="344"/>
      <c r="U416" s="475"/>
    </row>
    <row r="417" spans="2:21" ht="80.099999999999994" customHeight="1" x14ac:dyDescent="0.25">
      <c r="B417" s="375"/>
      <c r="C417" s="351" t="s">
        <v>61</v>
      </c>
      <c r="D417" s="367"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17" s="368"/>
      <c r="F417" s="363"/>
      <c r="G417" s="113"/>
      <c r="H417" s="21">
        <v>15</v>
      </c>
      <c r="I417" s="379"/>
      <c r="J417" s="340"/>
      <c r="K417" s="341"/>
      <c r="L417" s="341"/>
      <c r="M417" s="341"/>
      <c r="N417" s="342"/>
      <c r="P417" s="18">
        <f t="shared" si="6"/>
        <v>0</v>
      </c>
      <c r="Q417" s="338"/>
      <c r="R417" s="344"/>
      <c r="S417" s="474"/>
      <c r="T417" s="344"/>
      <c r="U417" s="475"/>
    </row>
    <row r="418" spans="2:21" ht="26.4" x14ac:dyDescent="0.25">
      <c r="B418" s="375"/>
      <c r="C418" s="351"/>
      <c r="D418" s="71" t="s">
        <v>63</v>
      </c>
      <c r="E418" s="134" t="str">
        <f>HLOOKUP(Deckblatt!$C$12,Language!$C$1:$D$730,545,FALSE)</f>
        <v xml:space="preserve">Information
</v>
      </c>
      <c r="F418" s="363"/>
      <c r="G418" s="69"/>
      <c r="H418" s="18">
        <v>5</v>
      </c>
      <c r="I418" s="379"/>
      <c r="J418" s="340"/>
      <c r="K418" s="341"/>
      <c r="L418" s="341"/>
      <c r="M418" s="341"/>
      <c r="N418" s="342"/>
      <c r="P418" s="18">
        <f t="shared" si="6"/>
        <v>0</v>
      </c>
      <c r="Q418" s="338"/>
      <c r="R418" s="344"/>
      <c r="S418" s="474"/>
      <c r="T418" s="344"/>
      <c r="U418" s="475"/>
    </row>
    <row r="419" spans="2:21" ht="39.6" x14ac:dyDescent="0.25">
      <c r="B419" s="375"/>
      <c r="C419" s="351"/>
      <c r="D419" s="71" t="s">
        <v>186</v>
      </c>
      <c r="E419" s="134" t="str">
        <f>HLOOKUP(Deckblatt!$C$12,Language!$C$1:$D$730,546,FALSE)</f>
        <v xml:space="preserve">Konsultative Nutzerbeteiligung
</v>
      </c>
      <c r="F419" s="363"/>
      <c r="G419" s="69"/>
      <c r="H419" s="18">
        <v>7</v>
      </c>
      <c r="I419" s="379"/>
      <c r="J419" s="340"/>
      <c r="K419" s="341"/>
      <c r="L419" s="341"/>
      <c r="M419" s="341"/>
      <c r="N419" s="342"/>
      <c r="P419" s="18">
        <f t="shared" si="6"/>
        <v>0</v>
      </c>
      <c r="Q419" s="338"/>
      <c r="R419" s="344"/>
      <c r="S419" s="474"/>
      <c r="T419" s="344"/>
      <c r="U419" s="475"/>
    </row>
    <row r="420" spans="2:21" ht="39.6" x14ac:dyDescent="0.25">
      <c r="B420" s="375"/>
      <c r="C420" s="351"/>
      <c r="D420" s="71" t="s">
        <v>255</v>
      </c>
      <c r="E420" s="134" t="str">
        <f>HLOOKUP(Deckblatt!$C$12,Language!$C$1:$D$730,547,FALSE)</f>
        <v xml:space="preserve">Mitbestimmung
</v>
      </c>
      <c r="F420" s="363"/>
      <c r="G420" s="69"/>
      <c r="H420" s="18">
        <v>15</v>
      </c>
      <c r="I420" s="379"/>
      <c r="J420" s="340"/>
      <c r="K420" s="341"/>
      <c r="L420" s="341"/>
      <c r="M420" s="341"/>
      <c r="N420" s="342"/>
      <c r="P420" s="18">
        <f t="shared" si="6"/>
        <v>0</v>
      </c>
      <c r="Q420" s="338"/>
      <c r="R420" s="344"/>
      <c r="S420" s="474"/>
      <c r="T420" s="344"/>
      <c r="U420" s="475"/>
    </row>
    <row r="421" spans="2:21" ht="80.099999999999994" customHeight="1" x14ac:dyDescent="0.25">
      <c r="B421" s="375"/>
      <c r="C421" s="351" t="s">
        <v>64</v>
      </c>
      <c r="D421" s="367"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21" s="368"/>
      <c r="F421" s="363"/>
      <c r="G421" s="113"/>
      <c r="H421" s="21">
        <v>15</v>
      </c>
      <c r="I421" s="379"/>
      <c r="J421" s="340"/>
      <c r="K421" s="341"/>
      <c r="L421" s="341"/>
      <c r="M421" s="341"/>
      <c r="N421" s="342"/>
      <c r="P421" s="18">
        <f t="shared" si="6"/>
        <v>0</v>
      </c>
      <c r="Q421" s="338"/>
      <c r="R421" s="344"/>
      <c r="S421" s="474"/>
      <c r="T421" s="344"/>
      <c r="U421" s="475"/>
    </row>
    <row r="422" spans="2:21" ht="39.6" x14ac:dyDescent="0.25">
      <c r="B422" s="375"/>
      <c r="C422" s="351"/>
      <c r="D422" s="71" t="s">
        <v>66</v>
      </c>
      <c r="E422" s="134" t="str">
        <f>HLOOKUP(Deckblatt!$C$12,Language!$C$1:$D$730,550,FALSE)</f>
        <v xml:space="preserve">Information
</v>
      </c>
      <c r="F422" s="363"/>
      <c r="G422" s="69"/>
      <c r="H422" s="18">
        <v>5</v>
      </c>
      <c r="I422" s="379"/>
      <c r="J422" s="340"/>
      <c r="K422" s="341"/>
      <c r="L422" s="341"/>
      <c r="M422" s="341"/>
      <c r="N422" s="342"/>
      <c r="P422" s="18">
        <f t="shared" si="6"/>
        <v>0</v>
      </c>
      <c r="Q422" s="338"/>
      <c r="R422" s="344"/>
      <c r="S422" s="474"/>
      <c r="T422" s="344"/>
      <c r="U422" s="475"/>
    </row>
    <row r="423" spans="2:21" ht="39.6" x14ac:dyDescent="0.25">
      <c r="B423" s="375"/>
      <c r="C423" s="351"/>
      <c r="D423" s="71" t="s">
        <v>188</v>
      </c>
      <c r="E423" s="134" t="str">
        <f>HLOOKUP(Deckblatt!$C$12,Language!$C$1:$D$730,551,FALSE)</f>
        <v xml:space="preserve">Konsultative Nutzerbeteiligung
</v>
      </c>
      <c r="F423" s="363"/>
      <c r="G423" s="69"/>
      <c r="H423" s="18">
        <v>7</v>
      </c>
      <c r="I423" s="379"/>
      <c r="J423" s="340"/>
      <c r="K423" s="341"/>
      <c r="L423" s="341"/>
      <c r="M423" s="341"/>
      <c r="N423" s="342"/>
      <c r="P423" s="18">
        <f t="shared" si="6"/>
        <v>0</v>
      </c>
      <c r="Q423" s="338"/>
      <c r="R423" s="344"/>
      <c r="S423" s="474"/>
      <c r="T423" s="344"/>
      <c r="U423" s="475"/>
    </row>
    <row r="424" spans="2:21" ht="26.4" x14ac:dyDescent="0.25">
      <c r="B424" s="375"/>
      <c r="C424" s="351"/>
      <c r="D424" s="71" t="s">
        <v>150</v>
      </c>
      <c r="E424" s="134" t="str">
        <f>HLOOKUP(Deckblatt!$C$12,Language!$C$1:$D$730,552,FALSE)</f>
        <v xml:space="preserve">Mitbestimmung
</v>
      </c>
      <c r="F424" s="363"/>
      <c r="G424" s="69"/>
      <c r="H424" s="18">
        <v>15</v>
      </c>
      <c r="I424" s="379"/>
      <c r="J424" s="340"/>
      <c r="K424" s="341"/>
      <c r="L424" s="341"/>
      <c r="M424" s="341"/>
      <c r="N424" s="342"/>
      <c r="P424" s="18">
        <f t="shared" si="6"/>
        <v>0</v>
      </c>
      <c r="Q424" s="338"/>
      <c r="R424" s="344"/>
      <c r="S424" s="474"/>
      <c r="T424" s="344"/>
      <c r="U424" s="475"/>
    </row>
    <row r="425" spans="2:21" ht="13.2" customHeight="1" x14ac:dyDescent="0.25">
      <c r="B425" s="375"/>
      <c r="C425" s="351" t="s">
        <v>154</v>
      </c>
      <c r="D425" s="352" t="str">
        <f>HLOOKUP(Deckblatt!$C$12,Language!$C$1:$D$730,563,FALSE)</f>
        <v>Auswirkung partizipativer Prozesse auf Gesamtkonzept</v>
      </c>
      <c r="E425" s="353"/>
      <c r="F425" s="363"/>
      <c r="G425" s="113"/>
      <c r="H425" s="21">
        <v>30</v>
      </c>
      <c r="I425" s="379"/>
      <c r="J425" s="340"/>
      <c r="K425" s="341"/>
      <c r="L425" s="341"/>
      <c r="M425" s="341"/>
      <c r="N425" s="342"/>
      <c r="P425" s="18">
        <f t="shared" si="6"/>
        <v>0</v>
      </c>
      <c r="Q425" s="338"/>
      <c r="R425" s="344"/>
      <c r="S425" s="474"/>
      <c r="T425" s="344"/>
      <c r="U425" s="475"/>
    </row>
    <row r="426" spans="2:21" ht="39.6" customHeight="1" x14ac:dyDescent="0.25">
      <c r="B426" s="375"/>
      <c r="C426" s="351"/>
      <c r="D426" s="71" t="s">
        <v>156</v>
      </c>
      <c r="E426" s="134" t="str">
        <f>HLOOKUP(Deckblatt!$C$12,Language!$C$1:$D$730,564,FALSE)</f>
        <v xml:space="preserve">Rahmenplanung und städtebauliche Konzeption
</v>
      </c>
      <c r="F426" s="363"/>
      <c r="G426" s="69"/>
      <c r="H426" s="18">
        <v>16</v>
      </c>
      <c r="I426" s="379"/>
      <c r="J426" s="340"/>
      <c r="K426" s="341"/>
      <c r="L426" s="341"/>
      <c r="M426" s="341"/>
      <c r="N426" s="342"/>
      <c r="P426" s="18">
        <f t="shared" si="6"/>
        <v>0</v>
      </c>
      <c r="Q426" s="338"/>
      <c r="R426" s="344"/>
      <c r="S426" s="474"/>
      <c r="T426" s="344"/>
      <c r="U426" s="475"/>
    </row>
    <row r="427" spans="2:21" ht="26.4" x14ac:dyDescent="0.25">
      <c r="B427" s="375"/>
      <c r="C427" s="351"/>
      <c r="D427" s="71" t="s">
        <v>218</v>
      </c>
      <c r="E427" s="134" t="str">
        <f>HLOOKUP(Deckblatt!$C$12,Language!$C$1:$D$730,565,FALSE)</f>
        <v xml:space="preserve">Planung und Realisierung öffentlicher Räume
</v>
      </c>
      <c r="F427" s="363"/>
      <c r="G427" s="69"/>
      <c r="H427" s="18">
        <v>7</v>
      </c>
      <c r="I427" s="379"/>
      <c r="J427" s="340"/>
      <c r="K427" s="341"/>
      <c r="L427" s="341"/>
      <c r="M427" s="341"/>
      <c r="N427" s="342"/>
      <c r="P427" s="18">
        <f t="shared" si="6"/>
        <v>0</v>
      </c>
      <c r="Q427" s="338"/>
      <c r="R427" s="344"/>
      <c r="S427" s="474"/>
      <c r="T427" s="344"/>
      <c r="U427" s="475"/>
    </row>
    <row r="428" spans="2:21" ht="26.4" x14ac:dyDescent="0.25">
      <c r="B428" s="375"/>
      <c r="C428" s="351"/>
      <c r="D428" s="71" t="s">
        <v>219</v>
      </c>
      <c r="E428" s="134" t="str">
        <f>HLOOKUP(Deckblatt!$C$12,Language!$C$1:$D$730,566,FALSE)</f>
        <v xml:space="preserve">Planung und Realisierung Architektur und Nutzung
</v>
      </c>
      <c r="F428" s="363"/>
      <c r="G428" s="69"/>
      <c r="H428" s="18">
        <v>7</v>
      </c>
      <c r="I428" s="379"/>
      <c r="J428" s="340"/>
      <c r="K428" s="341"/>
      <c r="L428" s="341"/>
      <c r="M428" s="341"/>
      <c r="N428" s="342"/>
      <c r="P428" s="18">
        <f t="shared" si="6"/>
        <v>0</v>
      </c>
      <c r="Q428" s="338"/>
      <c r="R428" s="344"/>
      <c r="S428" s="474"/>
      <c r="T428" s="344"/>
      <c r="U428" s="475"/>
    </row>
    <row r="429" spans="2:21" ht="13.2" customHeight="1" x14ac:dyDescent="0.25">
      <c r="B429" s="375"/>
      <c r="C429" s="351" t="s">
        <v>157</v>
      </c>
      <c r="D429" s="352" t="str">
        <f>HLOOKUP(Deckblatt!$C$12,Language!$C$1:$D$730,566,FALSE)</f>
        <v xml:space="preserve">Planung und Realisierung Architektur und Nutzung
</v>
      </c>
      <c r="E429" s="353"/>
      <c r="F429" s="363"/>
      <c r="G429" s="113"/>
      <c r="H429" s="21">
        <v>25</v>
      </c>
      <c r="I429" s="379"/>
      <c r="J429" s="340"/>
      <c r="K429" s="341"/>
      <c r="L429" s="341"/>
      <c r="M429" s="341"/>
      <c r="N429" s="342"/>
      <c r="P429" s="18">
        <f t="shared" si="6"/>
        <v>0</v>
      </c>
      <c r="Q429" s="338"/>
      <c r="R429" s="344"/>
      <c r="S429" s="474"/>
      <c r="T429" s="344"/>
      <c r="U429" s="475"/>
    </row>
    <row r="430" spans="2:21" ht="105.6" customHeight="1" x14ac:dyDescent="0.25">
      <c r="B430" s="375"/>
      <c r="C430" s="351"/>
      <c r="D430" s="71" t="s">
        <v>159</v>
      </c>
      <c r="E430"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30" s="363"/>
      <c r="G430" s="69"/>
      <c r="H430" s="18">
        <v>25</v>
      </c>
      <c r="I430" s="379"/>
      <c r="J430" s="340"/>
      <c r="K430" s="341"/>
      <c r="L430" s="341"/>
      <c r="M430" s="341"/>
      <c r="N430" s="342"/>
      <c r="P430" s="18">
        <f t="shared" si="6"/>
        <v>0</v>
      </c>
      <c r="Q430" s="339"/>
      <c r="R430" s="365"/>
      <c r="S430" s="474"/>
      <c r="T430" s="344"/>
      <c r="U430" s="475"/>
    </row>
    <row r="431" spans="2:21" x14ac:dyDescent="0.25">
      <c r="B431" s="55" t="s">
        <v>497</v>
      </c>
      <c r="C431" s="354" t="str">
        <f>HLOOKUP(Deckblatt!$C$12,Language!$C$1:$D$730,569,FALSE)</f>
        <v>Projektmanagement</v>
      </c>
      <c r="D431" s="354"/>
      <c r="E431" s="355"/>
      <c r="F431" s="66">
        <f>Q431</f>
        <v>0</v>
      </c>
      <c r="G431" s="364"/>
      <c r="H431" s="21">
        <v>100</v>
      </c>
      <c r="I431" s="176">
        <v>2</v>
      </c>
      <c r="J431" s="340"/>
      <c r="K431" s="341"/>
      <c r="L431" s="341"/>
      <c r="M431" s="341"/>
      <c r="N431" s="342"/>
      <c r="P431" s="18">
        <f t="shared" si="6"/>
        <v>0</v>
      </c>
      <c r="Q431" s="337">
        <f>SUM(P433:P453)</f>
        <v>0</v>
      </c>
      <c r="R431" s="343">
        <f>Q431/100</f>
        <v>0</v>
      </c>
      <c r="S431" s="474"/>
      <c r="T431" s="344"/>
      <c r="U431" s="475"/>
    </row>
    <row r="432" spans="2:21" ht="13.2" customHeight="1" x14ac:dyDescent="0.25">
      <c r="B432" s="375"/>
      <c r="C432" s="351" t="s">
        <v>54</v>
      </c>
      <c r="D432" s="352" t="str">
        <f>HLOOKUP(Deckblatt!$C$12,Language!$C$1:$D$730,570,FALSE)</f>
        <v>Projektsteuerung</v>
      </c>
      <c r="E432" s="353"/>
      <c r="F432" s="363"/>
      <c r="G432" s="364"/>
      <c r="H432" s="21">
        <v>15</v>
      </c>
      <c r="I432" s="379"/>
      <c r="J432" s="340"/>
      <c r="K432" s="341"/>
      <c r="L432" s="341"/>
      <c r="M432" s="341"/>
      <c r="N432" s="342"/>
      <c r="P432" s="18">
        <f t="shared" si="6"/>
        <v>0</v>
      </c>
      <c r="Q432" s="338"/>
      <c r="R432" s="344"/>
      <c r="S432" s="474"/>
      <c r="T432" s="344"/>
      <c r="U432" s="475"/>
    </row>
    <row r="433" spans="2:21" ht="26.4" x14ac:dyDescent="0.25">
      <c r="B433" s="375"/>
      <c r="C433" s="351"/>
      <c r="D433" s="160" t="s">
        <v>58</v>
      </c>
      <c r="E433" s="134" t="str">
        <f>HLOOKUP(Deckblatt!$C$12,Language!$C$1:$D$730,571,FALSE)</f>
        <v xml:space="preserve">Durchführung einer Projektsteuerung
</v>
      </c>
      <c r="F433" s="363"/>
      <c r="G433" s="69"/>
      <c r="H433" s="18">
        <v>15</v>
      </c>
      <c r="I433" s="379"/>
      <c r="J433" s="340"/>
      <c r="K433" s="341"/>
      <c r="L433" s="341"/>
      <c r="M433" s="341"/>
      <c r="N433" s="342"/>
      <c r="P433" s="18">
        <f t="shared" si="6"/>
        <v>0</v>
      </c>
      <c r="Q433" s="338"/>
      <c r="R433" s="344"/>
      <c r="S433" s="474"/>
      <c r="T433" s="344"/>
      <c r="U433" s="475"/>
    </row>
    <row r="434" spans="2:21" ht="13.2" customHeight="1" x14ac:dyDescent="0.25">
      <c r="B434" s="375"/>
      <c r="C434" s="359" t="s">
        <v>61</v>
      </c>
      <c r="D434" s="352" t="str">
        <f>HLOOKUP(Deckblatt!$C$12,Language!$C$1:$D$730,572,FALSE)</f>
        <v>Risikomanagement</v>
      </c>
      <c r="E434" s="353"/>
      <c r="F434" s="363"/>
      <c r="G434" s="356"/>
      <c r="H434" s="21">
        <v>25</v>
      </c>
      <c r="I434" s="379"/>
      <c r="J434" s="340"/>
      <c r="K434" s="341"/>
      <c r="L434" s="341"/>
      <c r="M434" s="341"/>
      <c r="N434" s="342"/>
      <c r="P434" s="18">
        <f t="shared" si="6"/>
        <v>0</v>
      </c>
      <c r="Q434" s="338"/>
      <c r="R434" s="344"/>
      <c r="S434" s="474"/>
      <c r="T434" s="344"/>
      <c r="U434" s="475"/>
    </row>
    <row r="435" spans="2:21" x14ac:dyDescent="0.25">
      <c r="B435" s="375"/>
      <c r="C435" s="390"/>
      <c r="D435" s="502" t="s">
        <v>63</v>
      </c>
      <c r="E435" s="134" t="str">
        <f>HLOOKUP(Deckblatt!$C$12,Language!$C$1:$D$730,573,FALSE)</f>
        <v>Risiko-Controlling</v>
      </c>
      <c r="F435" s="363"/>
      <c r="G435" s="356"/>
      <c r="H435" s="21">
        <v>25</v>
      </c>
      <c r="I435" s="379"/>
      <c r="J435" s="340"/>
      <c r="K435" s="341"/>
      <c r="L435" s="341"/>
      <c r="M435" s="341"/>
      <c r="N435" s="342"/>
      <c r="P435" s="18">
        <f t="shared" si="6"/>
        <v>0</v>
      </c>
      <c r="Q435" s="338"/>
      <c r="R435" s="344"/>
      <c r="S435" s="474"/>
      <c r="T435" s="344"/>
      <c r="U435" s="475"/>
    </row>
    <row r="436" spans="2:21" ht="26.4" x14ac:dyDescent="0.25">
      <c r="B436" s="375"/>
      <c r="C436" s="390"/>
      <c r="D436" s="503"/>
      <c r="E436" s="134" t="str">
        <f>HLOOKUP(Deckblatt!$C$12,Language!$C$1:$D$730,574,FALSE)</f>
        <v xml:space="preserve">Ein vorbeugendes Risikomanagement wurde durchgeführt.
</v>
      </c>
      <c r="F436" s="363"/>
      <c r="G436" s="69"/>
      <c r="H436" s="18">
        <v>10</v>
      </c>
      <c r="I436" s="379"/>
      <c r="J436" s="340"/>
      <c r="K436" s="341"/>
      <c r="L436" s="341"/>
      <c r="M436" s="341"/>
      <c r="N436" s="342"/>
      <c r="P436" s="18">
        <f t="shared" si="6"/>
        <v>0</v>
      </c>
      <c r="Q436" s="338"/>
      <c r="R436" s="344"/>
      <c r="S436" s="474"/>
      <c r="T436" s="344"/>
      <c r="U436" s="475"/>
    </row>
    <row r="437" spans="2:21" ht="39.6" x14ac:dyDescent="0.25">
      <c r="B437" s="375"/>
      <c r="C437" s="390"/>
      <c r="D437" s="503"/>
      <c r="E437" s="134" t="str">
        <f>HLOOKUP(Deckblatt!$C$12,Language!$C$1:$D$730,575,FALSE)</f>
        <v xml:space="preserve">Die Risikoidentifizierung wurde mithilfe von Stakeholder- und/oder Projektbeteiligtenworkshops durchgeführt.
</v>
      </c>
      <c r="F437" s="363"/>
      <c r="G437" s="69"/>
      <c r="H437" s="18">
        <v>5</v>
      </c>
      <c r="I437" s="379"/>
      <c r="J437" s="340"/>
      <c r="K437" s="341"/>
      <c r="L437" s="341"/>
      <c r="M437" s="341"/>
      <c r="N437" s="342"/>
      <c r="P437" s="18">
        <f t="shared" si="6"/>
        <v>0</v>
      </c>
      <c r="Q437" s="338"/>
      <c r="R437" s="344"/>
      <c r="S437" s="474"/>
      <c r="T437" s="344"/>
      <c r="U437" s="475"/>
    </row>
    <row r="438" spans="2:21" ht="26.4" x14ac:dyDescent="0.25">
      <c r="B438" s="375"/>
      <c r="C438" s="360"/>
      <c r="D438" s="504"/>
      <c r="E438" s="134" t="str">
        <f>HLOOKUP(Deckblatt!$C$12,Language!$C$1:$D$730,576,FALSE)</f>
        <v>Zusätzlich wurde projektbegleitend ein regelmäßiges Risiko-Controlling
durchgeführt.</v>
      </c>
      <c r="F438" s="363"/>
      <c r="G438" s="69"/>
      <c r="H438" s="18">
        <v>10</v>
      </c>
      <c r="I438" s="379"/>
      <c r="J438" s="340"/>
      <c r="K438" s="341"/>
      <c r="L438" s="341"/>
      <c r="M438" s="341"/>
      <c r="N438" s="342"/>
      <c r="P438" s="18">
        <f t="shared" si="6"/>
        <v>0</v>
      </c>
      <c r="Q438" s="338"/>
      <c r="R438" s="344"/>
      <c r="S438" s="474"/>
      <c r="T438" s="344"/>
      <c r="U438" s="475"/>
    </row>
    <row r="439" spans="2:21" ht="13.2" customHeight="1" x14ac:dyDescent="0.25">
      <c r="B439" s="375"/>
      <c r="C439" s="351" t="s">
        <v>64</v>
      </c>
      <c r="D439" s="352" t="str">
        <f>HLOOKUP(Deckblatt!$C$12,Language!$C$1:$D$730,577,FALSE)</f>
        <v>Qualitätssicherheit</v>
      </c>
      <c r="E439" s="353"/>
      <c r="F439" s="363"/>
      <c r="G439" s="356"/>
      <c r="H439" s="21">
        <v>25</v>
      </c>
      <c r="I439" s="379"/>
      <c r="J439" s="340"/>
      <c r="K439" s="341"/>
      <c r="L439" s="341"/>
      <c r="M439" s="341"/>
      <c r="N439" s="342"/>
      <c r="P439" s="18">
        <f t="shared" si="6"/>
        <v>0</v>
      </c>
      <c r="Q439" s="338"/>
      <c r="R439" s="344"/>
      <c r="S439" s="474"/>
      <c r="T439" s="344"/>
      <c r="U439" s="475"/>
    </row>
    <row r="440" spans="2:21" x14ac:dyDescent="0.25">
      <c r="B440" s="375"/>
      <c r="C440" s="351"/>
      <c r="D440" s="376" t="s">
        <v>66</v>
      </c>
      <c r="E440" s="134" t="str">
        <f>HLOOKUP(Deckblatt!$C$12,Language!$C$1:$D$730,578,FALSE)</f>
        <v>Projektziele, Dokumentation, Durchführung Qualitätsüberprüfung</v>
      </c>
      <c r="F440" s="363"/>
      <c r="G440" s="356"/>
      <c r="H440" s="21">
        <v>25</v>
      </c>
      <c r="I440" s="379"/>
      <c r="J440" s="340"/>
      <c r="K440" s="341"/>
      <c r="L440" s="341"/>
      <c r="M440" s="341"/>
      <c r="N440" s="342"/>
      <c r="P440" s="18">
        <f t="shared" si="6"/>
        <v>0</v>
      </c>
      <c r="Q440" s="338"/>
      <c r="R440" s="344"/>
      <c r="S440" s="474"/>
      <c r="T440" s="344"/>
      <c r="U440" s="475"/>
    </row>
    <row r="441" spans="2:21" ht="39.6" x14ac:dyDescent="0.25">
      <c r="B441" s="375"/>
      <c r="C441" s="351"/>
      <c r="D441" s="376"/>
      <c r="E441" s="134" t="str">
        <f>HLOOKUP(Deckblatt!$C$12,Language!$C$1:$D$730,579,FALSE)</f>
        <v xml:space="preserve">Definition konkreter ökologischer, ökonomischer und soziokultureller Projektziele (inkl. Gestaltung) vor Beginn der Vergabe von Bauleistungen
</v>
      </c>
      <c r="F441" s="363"/>
      <c r="G441" s="69"/>
      <c r="H441" s="18">
        <v>5</v>
      </c>
      <c r="I441" s="379"/>
      <c r="J441" s="340"/>
      <c r="K441" s="341"/>
      <c r="L441" s="341"/>
      <c r="M441" s="341"/>
      <c r="N441" s="342"/>
      <c r="P441" s="18">
        <f t="shared" si="6"/>
        <v>0</v>
      </c>
      <c r="Q441" s="338"/>
      <c r="R441" s="344"/>
      <c r="S441" s="474"/>
      <c r="T441" s="344"/>
      <c r="U441" s="475"/>
    </row>
    <row r="442" spans="2:21" ht="52.8" x14ac:dyDescent="0.25">
      <c r="B442" s="375"/>
      <c r="C442" s="351"/>
      <c r="D442" s="376"/>
      <c r="E442" s="134" t="str">
        <f>HLOOKUP(Deckblatt!$C$12,Language!$C$1:$D$730,580,FALSE)</f>
        <v xml:space="preserve">Dokumentation der vertraglichen Vereinbarung (verbindlich) der konkreten ökologischen, ökonomischen und soziokulturellen Projektzielen (Gestaltungshandbuch, Verträge, Qualitätsstandards)
</v>
      </c>
      <c r="F442" s="363"/>
      <c r="G442" s="69"/>
      <c r="H442" s="18">
        <v>5</v>
      </c>
      <c r="I442" s="379"/>
      <c r="J442" s="340"/>
      <c r="K442" s="341"/>
      <c r="L442" s="341"/>
      <c r="M442" s="341"/>
      <c r="N442" s="342"/>
      <c r="P442" s="18">
        <f t="shared" si="6"/>
        <v>0</v>
      </c>
      <c r="Q442" s="338"/>
      <c r="R442" s="344"/>
      <c r="S442" s="474"/>
      <c r="T442" s="344"/>
      <c r="U442" s="475"/>
    </row>
    <row r="443" spans="2:21" ht="39.6" x14ac:dyDescent="0.25">
      <c r="B443" s="375"/>
      <c r="C443" s="351"/>
      <c r="D443" s="376"/>
      <c r="E443" s="134" t="str">
        <f>HLOOKUP(Deckblatt!$C$12,Language!$C$1:$D$730,581,FALSE)</f>
        <v xml:space="preserve">Die Projektziele werden allen Planungsbeteiligten (inkl. Auftragnehmer) klar kommuniziert und bei Änderungen aktualisiert.
</v>
      </c>
      <c r="F443" s="363"/>
      <c r="G443" s="69"/>
      <c r="H443" s="18">
        <v>5</v>
      </c>
      <c r="I443" s="379"/>
      <c r="J443" s="340"/>
      <c r="K443" s="341"/>
      <c r="L443" s="341"/>
      <c r="M443" s="341"/>
      <c r="N443" s="342"/>
      <c r="P443" s="18">
        <f t="shared" si="6"/>
        <v>0</v>
      </c>
      <c r="Q443" s="338"/>
      <c r="R443" s="344"/>
      <c r="S443" s="474"/>
      <c r="T443" s="344"/>
      <c r="U443" s="475"/>
    </row>
    <row r="444" spans="2:21" ht="39.6" x14ac:dyDescent="0.25">
      <c r="B444" s="375"/>
      <c r="C444" s="351"/>
      <c r="D444" s="376"/>
      <c r="E444" s="134" t="str">
        <f>HLOOKUP(Deckblatt!$C$12,Language!$C$1:$D$730,582,FALSE)</f>
        <v xml:space="preserve">Es wird eine regelmäßige Qualitätsüberprüfung durchgeführt und dokumentiert.
</v>
      </c>
      <c r="F444" s="363"/>
      <c r="G444" s="69"/>
      <c r="H444" s="18">
        <v>5</v>
      </c>
      <c r="I444" s="379"/>
      <c r="J444" s="340"/>
      <c r="K444" s="341"/>
      <c r="L444" s="341"/>
      <c r="M444" s="341"/>
      <c r="N444" s="342"/>
      <c r="P444" s="18">
        <f t="shared" si="6"/>
        <v>0</v>
      </c>
      <c r="Q444" s="338"/>
      <c r="R444" s="344"/>
      <c r="S444" s="474"/>
      <c r="T444" s="344"/>
      <c r="U444" s="475"/>
    </row>
    <row r="445" spans="2:21" ht="39.6" x14ac:dyDescent="0.25">
      <c r="B445" s="375"/>
      <c r="C445" s="351"/>
      <c r="D445" s="376"/>
      <c r="E445" s="134" t="str">
        <f>HLOOKUP(Deckblatt!$C$12,Language!$C$1:$D$730,583,FALSE)</f>
        <v xml:space="preserve">Es wird nach Projektabschluss eine Qualitätsüberprüfung durchgeführt, die die Projektziele und das Ergebnis vergleichend betrachtet.
</v>
      </c>
      <c r="F445" s="363"/>
      <c r="G445" s="69"/>
      <c r="H445" s="18">
        <v>5</v>
      </c>
      <c r="I445" s="379"/>
      <c r="J445" s="340"/>
      <c r="K445" s="341"/>
      <c r="L445" s="341"/>
      <c r="M445" s="341"/>
      <c r="N445" s="342"/>
      <c r="P445" s="18">
        <f t="shared" si="6"/>
        <v>0</v>
      </c>
      <c r="Q445" s="338"/>
      <c r="R445" s="344"/>
      <c r="S445" s="474"/>
      <c r="T445" s="344"/>
      <c r="U445" s="475"/>
    </row>
    <row r="446" spans="2:21" ht="13.2" customHeight="1" x14ac:dyDescent="0.25">
      <c r="B446" s="375"/>
      <c r="C446" s="351" t="s">
        <v>67</v>
      </c>
      <c r="D446" s="352" t="str">
        <f>HLOOKUP(Deckblatt!$C$12,Language!$C$1:$D$730,584,FALSE)</f>
        <v>Terminplanung</v>
      </c>
      <c r="E446" s="353"/>
      <c r="F446" s="363"/>
      <c r="G446" s="113"/>
      <c r="H446" s="21">
        <v>10</v>
      </c>
      <c r="I446" s="379"/>
      <c r="J446" s="340"/>
      <c r="K446" s="341"/>
      <c r="L446" s="341"/>
      <c r="M446" s="341"/>
      <c r="N446" s="342"/>
      <c r="P446" s="18">
        <f t="shared" si="6"/>
        <v>0</v>
      </c>
      <c r="Q446" s="338"/>
      <c r="R446" s="344"/>
      <c r="S446" s="474"/>
      <c r="T446" s="344"/>
      <c r="U446" s="475"/>
    </row>
    <row r="447" spans="2:21" ht="26.4" x14ac:dyDescent="0.25">
      <c r="B447" s="375"/>
      <c r="C447" s="351"/>
      <c r="D447" s="160" t="s">
        <v>69</v>
      </c>
      <c r="E447" s="134" t="str">
        <f>HLOOKUP(Deckblatt!$C$12,Language!$C$1:$D$730,585,FALSE)</f>
        <v xml:space="preserve">Rahmenterminplan
</v>
      </c>
      <c r="F447" s="363"/>
      <c r="G447" s="69"/>
      <c r="H447" s="18">
        <v>10</v>
      </c>
      <c r="I447" s="379"/>
      <c r="J447" s="340"/>
      <c r="K447" s="341"/>
      <c r="L447" s="341"/>
      <c r="M447" s="341"/>
      <c r="N447" s="342"/>
      <c r="P447" s="18">
        <f t="shared" si="6"/>
        <v>0</v>
      </c>
      <c r="Q447" s="338"/>
      <c r="R447" s="344"/>
      <c r="S447" s="474"/>
      <c r="T447" s="344"/>
      <c r="U447" s="475"/>
    </row>
    <row r="448" spans="2:21" ht="13.2" customHeight="1" x14ac:dyDescent="0.25">
      <c r="B448" s="375"/>
      <c r="C448" s="351" t="s">
        <v>154</v>
      </c>
      <c r="D448" s="352" t="str">
        <f>HLOOKUP(Deckblatt!$C$12,Language!$C$1:$D$730,586,FALSE)</f>
        <v>Kostenkontrolle</v>
      </c>
      <c r="E448" s="353"/>
      <c r="F448" s="363"/>
      <c r="G448" s="356"/>
      <c r="H448" s="21">
        <v>25</v>
      </c>
      <c r="I448" s="379"/>
      <c r="J448" s="340"/>
      <c r="K448" s="341"/>
      <c r="L448" s="341"/>
      <c r="M448" s="341"/>
      <c r="N448" s="342"/>
      <c r="P448" s="18">
        <f t="shared" si="6"/>
        <v>0</v>
      </c>
      <c r="Q448" s="338"/>
      <c r="R448" s="344"/>
      <c r="S448" s="474"/>
      <c r="T448" s="344"/>
      <c r="U448" s="475"/>
    </row>
    <row r="449" spans="2:21" x14ac:dyDescent="0.25">
      <c r="B449" s="375"/>
      <c r="C449" s="351"/>
      <c r="D449" s="376" t="s">
        <v>156</v>
      </c>
      <c r="E449" s="134" t="str">
        <f>HLOOKUP(Deckblatt!$C$12,Language!$C$1:$D$730,587,FALSE)</f>
        <v>Wirtschaftlichkeitsberechnung, Beratung und Optimierung</v>
      </c>
      <c r="F449" s="363"/>
      <c r="G449" s="356"/>
      <c r="H449" s="21">
        <v>25</v>
      </c>
      <c r="I449" s="379"/>
      <c r="J449" s="340"/>
      <c r="K449" s="341"/>
      <c r="L449" s="341"/>
      <c r="M449" s="341"/>
      <c r="N449" s="342"/>
      <c r="P449" s="18">
        <f t="shared" si="6"/>
        <v>0</v>
      </c>
      <c r="Q449" s="338"/>
      <c r="R449" s="344"/>
      <c r="S449" s="474"/>
      <c r="T449" s="344"/>
      <c r="U449" s="475"/>
    </row>
    <row r="450" spans="2:21" ht="52.8" x14ac:dyDescent="0.25">
      <c r="B450" s="375"/>
      <c r="C450" s="351"/>
      <c r="D450" s="376"/>
      <c r="E450" s="134" t="str">
        <f>HLOOKUP(Deckblatt!$C$12,Language!$C$1:$D$730,588,FALSE)</f>
        <v xml:space="preserve">Vorhandensein einer Kosten- und Einnahmenbetrachtung als statische Projektentwicklerkalkulation, ständige Überprüfung des aufgestellten Kostenrahmens
</v>
      </c>
      <c r="F450" s="363"/>
      <c r="G450" s="69"/>
      <c r="H450" s="18">
        <v>7</v>
      </c>
      <c r="I450" s="379"/>
      <c r="J450" s="340"/>
      <c r="K450" s="341"/>
      <c r="L450" s="341"/>
      <c r="M450" s="341"/>
      <c r="N450" s="342"/>
      <c r="P450" s="18">
        <f t="shared" si="6"/>
        <v>0</v>
      </c>
      <c r="Q450" s="338"/>
      <c r="R450" s="344"/>
      <c r="S450" s="474"/>
      <c r="T450" s="344"/>
      <c r="U450" s="475"/>
    </row>
    <row r="451" spans="2:21" ht="92.4" x14ac:dyDescent="0.25">
      <c r="B451" s="375"/>
      <c r="C451" s="351"/>
      <c r="D451" s="376"/>
      <c r="E451"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51" s="363"/>
      <c r="G451" s="69"/>
      <c r="H451" s="18">
        <v>6</v>
      </c>
      <c r="I451" s="379"/>
      <c r="J451" s="340"/>
      <c r="K451" s="341"/>
      <c r="L451" s="341"/>
      <c r="M451" s="341"/>
      <c r="N451" s="342"/>
      <c r="P451" s="18">
        <f t="shared" si="6"/>
        <v>0</v>
      </c>
      <c r="Q451" s="338"/>
      <c r="R451" s="344"/>
      <c r="S451" s="474"/>
      <c r="T451" s="344"/>
      <c r="U451" s="475"/>
    </row>
    <row r="452" spans="2:21" ht="66" x14ac:dyDescent="0.25">
      <c r="B452" s="375"/>
      <c r="C452" s="351"/>
      <c r="D452" s="376"/>
      <c r="E452"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52" s="363"/>
      <c r="G452" s="69"/>
      <c r="H452" s="18">
        <v>6</v>
      </c>
      <c r="I452" s="379"/>
      <c r="J452" s="340"/>
      <c r="K452" s="341"/>
      <c r="L452" s="341"/>
      <c r="M452" s="341"/>
      <c r="N452" s="342"/>
      <c r="P452" s="18">
        <f t="shared" si="6"/>
        <v>0</v>
      </c>
      <c r="Q452" s="338"/>
      <c r="R452" s="344"/>
      <c r="S452" s="474"/>
      <c r="T452" s="344"/>
      <c r="U452" s="475"/>
    </row>
    <row r="453" spans="2:21" ht="26.4" x14ac:dyDescent="0.25">
      <c r="B453" s="375"/>
      <c r="C453" s="351"/>
      <c r="D453" s="376"/>
      <c r="E453" s="134" t="str">
        <f>HLOOKUP(Deckblatt!$C$12,Language!$C$1:$D$730,591,FALSE)</f>
        <v xml:space="preserve">Es wurde eine Folgekostenberatung bzw. -betrachtung durchgeführt.
</v>
      </c>
      <c r="F453" s="363"/>
      <c r="G453" s="69"/>
      <c r="H453" s="18">
        <v>6</v>
      </c>
      <c r="I453" s="379"/>
      <c r="J453" s="340"/>
      <c r="K453" s="341"/>
      <c r="L453" s="341"/>
      <c r="M453" s="341"/>
      <c r="N453" s="342"/>
      <c r="P453" s="18">
        <f t="shared" si="6"/>
        <v>0</v>
      </c>
      <c r="Q453" s="338"/>
      <c r="R453" s="344"/>
      <c r="S453" s="474"/>
      <c r="T453" s="344"/>
      <c r="U453" s="475"/>
    </row>
    <row r="454" spans="2:21" x14ac:dyDescent="0.25">
      <c r="B454" s="55" t="s">
        <v>522</v>
      </c>
      <c r="C454" s="354" t="str">
        <f>HLOOKUP(Deckblatt!$C$12,Language!$C$1:$D$730,592,FALSE)</f>
        <v>Governance</v>
      </c>
      <c r="D454" s="354"/>
      <c r="E454" s="355"/>
      <c r="F454" s="66">
        <f>Q454</f>
        <v>0</v>
      </c>
      <c r="G454" s="67"/>
      <c r="H454" s="21">
        <v>100</v>
      </c>
      <c r="I454" s="176">
        <v>2</v>
      </c>
      <c r="J454" s="340"/>
      <c r="K454" s="341"/>
      <c r="L454" s="341"/>
      <c r="M454" s="341"/>
      <c r="N454" s="342"/>
      <c r="P454" s="18">
        <f t="shared" si="6"/>
        <v>0</v>
      </c>
      <c r="Q454" s="337">
        <f>SUM(P456:P462)</f>
        <v>0</v>
      </c>
      <c r="R454" s="343">
        <f>Q454/100</f>
        <v>0</v>
      </c>
      <c r="S454" s="474"/>
      <c r="T454" s="344"/>
      <c r="U454" s="475"/>
    </row>
    <row r="455" spans="2:21" ht="13.2" customHeight="1" x14ac:dyDescent="0.25">
      <c r="B455" s="375"/>
      <c r="C455" s="351" t="s">
        <v>54</v>
      </c>
      <c r="D455" s="352" t="str">
        <f>HLOOKUP(Deckblatt!$C$12,Language!$C$1:$D$730,593,FALSE)</f>
        <v>Rahmenbedingungen</v>
      </c>
      <c r="E455" s="353"/>
      <c r="F455" s="363"/>
      <c r="G455" s="67"/>
      <c r="H455" s="21">
        <v>55</v>
      </c>
      <c r="I455" s="379"/>
      <c r="J455" s="340"/>
      <c r="K455" s="341"/>
      <c r="L455" s="341"/>
      <c r="M455" s="341"/>
      <c r="N455" s="342"/>
      <c r="P455" s="18">
        <f t="shared" si="6"/>
        <v>0</v>
      </c>
      <c r="Q455" s="338"/>
      <c r="R455" s="344"/>
      <c r="S455" s="474"/>
      <c r="T455" s="344"/>
      <c r="U455" s="475"/>
    </row>
    <row r="456" spans="2:21" ht="26.4" x14ac:dyDescent="0.25">
      <c r="B456" s="375"/>
      <c r="C456" s="351"/>
      <c r="D456" s="71" t="s">
        <v>58</v>
      </c>
      <c r="E456" s="229" t="str">
        <f>HLOOKUP(Deckblatt!$C$12,Language!$C$1:$D$730,594,FALSE)</f>
        <v xml:space="preserve">Quartier-bzw. Gebietsmanagement
</v>
      </c>
      <c r="F456" s="363"/>
      <c r="G456" s="69"/>
      <c r="H456" s="18">
        <v>15</v>
      </c>
      <c r="I456" s="379"/>
      <c r="J456" s="340"/>
      <c r="K456" s="341"/>
      <c r="L456" s="341"/>
      <c r="M456" s="341"/>
      <c r="N456" s="342"/>
      <c r="P456" s="18">
        <f t="shared" si="6"/>
        <v>0</v>
      </c>
      <c r="Q456" s="338"/>
      <c r="R456" s="344"/>
      <c r="S456" s="474"/>
      <c r="T456" s="344"/>
      <c r="U456" s="475"/>
    </row>
    <row r="457" spans="2:21" ht="26.4" x14ac:dyDescent="0.25">
      <c r="B457" s="375"/>
      <c r="C457" s="351"/>
      <c r="D457" s="71" t="s">
        <v>181</v>
      </c>
      <c r="E457" s="229" t="str">
        <f>HLOOKUP(Deckblatt!$C$12,Language!$C$1:$D$730,595,FALSE)</f>
        <v xml:space="preserve">Beratung von (zukünftigen) Bewohnern und Nutzern
</v>
      </c>
      <c r="F457" s="363"/>
      <c r="G457" s="69"/>
      <c r="H457" s="18">
        <v>5</v>
      </c>
      <c r="I457" s="379"/>
      <c r="J457" s="340"/>
      <c r="K457" s="341"/>
      <c r="L457" s="341"/>
      <c r="M457" s="341"/>
      <c r="N457" s="342"/>
      <c r="P457" s="18">
        <f t="shared" si="6"/>
        <v>0</v>
      </c>
      <c r="Q457" s="338"/>
      <c r="R457" s="344"/>
      <c r="S457" s="474"/>
      <c r="T457" s="344"/>
      <c r="U457" s="475"/>
    </row>
    <row r="458" spans="2:21" ht="26.4" x14ac:dyDescent="0.25">
      <c r="B458" s="375"/>
      <c r="C458" s="351"/>
      <c r="D458" s="71" t="s">
        <v>246</v>
      </c>
      <c r="E458" s="229" t="str">
        <f>HLOOKUP(Deckblatt!$C$12,Language!$C$1:$D$730,596,FALSE)</f>
        <v xml:space="preserve">Selbstverwaltung
</v>
      </c>
      <c r="F458" s="363"/>
      <c r="G458" s="69"/>
      <c r="H458" s="18">
        <v>5</v>
      </c>
      <c r="I458" s="379"/>
      <c r="J458" s="340"/>
      <c r="K458" s="341"/>
      <c r="L458" s="341"/>
      <c r="M458" s="341"/>
      <c r="N458" s="342"/>
      <c r="P458" s="18">
        <f t="shared" si="6"/>
        <v>0</v>
      </c>
      <c r="Q458" s="338"/>
      <c r="R458" s="344"/>
      <c r="S458" s="474"/>
      <c r="T458" s="344"/>
      <c r="U458" s="475"/>
    </row>
    <row r="459" spans="2:21" ht="26.4" x14ac:dyDescent="0.25">
      <c r="B459" s="375"/>
      <c r="C459" s="351"/>
      <c r="D459" s="71" t="s">
        <v>250</v>
      </c>
      <c r="E459" s="229" t="str">
        <f>HLOOKUP(Deckblatt!$C$12,Language!$C$1:$D$730,597,FALSE)</f>
        <v xml:space="preserve">Stärkung bzw. Aufbau sozialer Initiativen
</v>
      </c>
      <c r="F459" s="363"/>
      <c r="G459" s="69"/>
      <c r="H459" s="18">
        <v>30</v>
      </c>
      <c r="I459" s="379"/>
      <c r="J459" s="340"/>
      <c r="K459" s="341"/>
      <c r="L459" s="341"/>
      <c r="M459" s="341"/>
      <c r="N459" s="342"/>
      <c r="P459" s="18">
        <f t="shared" si="6"/>
        <v>0</v>
      </c>
      <c r="Q459" s="338"/>
      <c r="R459" s="344"/>
      <c r="S459" s="474"/>
      <c r="T459" s="344"/>
      <c r="U459" s="475"/>
    </row>
    <row r="460" spans="2:21" ht="13.2" customHeight="1" x14ac:dyDescent="0.25">
      <c r="B460" s="375"/>
      <c r="C460" s="351" t="s">
        <v>61</v>
      </c>
      <c r="D460" s="352" t="str">
        <f>HLOOKUP(Deckblatt!$C$12,Language!$C$1:$D$730,599,FALSE)</f>
        <v>Projektbeteiligung der Kommune und Rechenschaftspflicht</v>
      </c>
      <c r="E460" s="353"/>
      <c r="F460" s="363"/>
      <c r="G460" s="113"/>
      <c r="H460" s="21">
        <v>45</v>
      </c>
      <c r="I460" s="379"/>
      <c r="J460" s="340"/>
      <c r="K460" s="341"/>
      <c r="L460" s="341"/>
      <c r="M460" s="341"/>
      <c r="N460" s="342"/>
      <c r="P460" s="18">
        <f t="shared" ref="P460:P518" si="7">IF(G460&gt;H460,H460,G460)</f>
        <v>0</v>
      </c>
      <c r="Q460" s="338"/>
      <c r="R460" s="344"/>
      <c r="S460" s="474"/>
      <c r="T460" s="344"/>
      <c r="U460" s="475"/>
    </row>
    <row r="461" spans="2:21" ht="92.4" x14ac:dyDescent="0.25">
      <c r="B461" s="375"/>
      <c r="C461" s="351"/>
      <c r="D461" s="160" t="s">
        <v>63</v>
      </c>
      <c r="E461"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461" s="363"/>
      <c r="G461" s="69"/>
      <c r="H461" s="18">
        <v>30</v>
      </c>
      <c r="I461" s="379"/>
      <c r="J461" s="340"/>
      <c r="K461" s="341"/>
      <c r="L461" s="341"/>
      <c r="M461" s="341"/>
      <c r="N461" s="342"/>
      <c r="P461" s="18">
        <f t="shared" si="7"/>
        <v>0</v>
      </c>
      <c r="Q461" s="338"/>
      <c r="R461" s="344"/>
      <c r="S461" s="474"/>
      <c r="T461" s="344"/>
      <c r="U461" s="475"/>
    </row>
    <row r="462" spans="2:21" ht="52.8" x14ac:dyDescent="0.25">
      <c r="B462" s="375"/>
      <c r="C462" s="351"/>
      <c r="D462" s="160" t="s">
        <v>186</v>
      </c>
      <c r="E462" s="134" t="str">
        <f>HLOOKUP(Deckblatt!$C$12,Language!$C$1:$D$730,601,FALSE)</f>
        <v xml:space="preserve">Kommunale Projekte / Dienstleistungen
Es gibt seitens der Kommune eine oder mehrere Projekte/Dienstleistungen, die die Entwicklung des Quartiers unterstützen.
</v>
      </c>
      <c r="F462" s="363"/>
      <c r="G462" s="69"/>
      <c r="H462" s="18">
        <v>15</v>
      </c>
      <c r="I462" s="379"/>
      <c r="J462" s="340"/>
      <c r="K462" s="341"/>
      <c r="L462" s="341"/>
      <c r="M462" s="341"/>
      <c r="N462" s="342"/>
      <c r="P462" s="18">
        <f t="shared" si="7"/>
        <v>0</v>
      </c>
      <c r="Q462" s="338"/>
      <c r="R462" s="344"/>
      <c r="S462" s="474"/>
      <c r="T462" s="344"/>
      <c r="U462" s="475"/>
    </row>
    <row r="463" spans="2:21" x14ac:dyDescent="0.25">
      <c r="B463" s="55" t="s">
        <v>829</v>
      </c>
      <c r="C463" s="354" t="str">
        <f>HLOOKUP(Deckblatt!$C$12,Language!$C$1:$D$730,605,FALSE)</f>
        <v>Sicherheitskonzepte</v>
      </c>
      <c r="D463" s="354"/>
      <c r="E463" s="355"/>
      <c r="F463" s="66">
        <f>Q463</f>
        <v>0</v>
      </c>
      <c r="G463" s="364"/>
      <c r="H463" s="21">
        <v>100</v>
      </c>
      <c r="I463" s="176">
        <v>2</v>
      </c>
      <c r="J463" s="340"/>
      <c r="K463" s="341"/>
      <c r="L463" s="341"/>
      <c r="M463" s="341"/>
      <c r="N463" s="342"/>
      <c r="P463" s="18">
        <f t="shared" si="7"/>
        <v>0</v>
      </c>
      <c r="Q463" s="337">
        <f>IF(SUM(P465:P484)&gt;100,100,SUM(P465:P484))</f>
        <v>0</v>
      </c>
      <c r="R463" s="343">
        <f>Q463/100</f>
        <v>0</v>
      </c>
      <c r="S463" s="474"/>
      <c r="T463" s="344"/>
      <c r="U463" s="475"/>
    </row>
    <row r="464" spans="2:21" ht="13.2" customHeight="1" x14ac:dyDescent="0.25">
      <c r="B464" s="345"/>
      <c r="C464" s="359" t="s">
        <v>54</v>
      </c>
      <c r="D464" s="352" t="str">
        <f>HLOOKUP(Deckblatt!$C$12,Language!$C$1:$D$730,606,FALSE)</f>
        <v>Flucht- und Rettungswege</v>
      </c>
      <c r="E464" s="353"/>
      <c r="F464" s="347"/>
      <c r="G464" s="364"/>
      <c r="H464" s="21">
        <v>10</v>
      </c>
      <c r="I464" s="349"/>
      <c r="J464" s="340"/>
      <c r="K464" s="341"/>
      <c r="L464" s="341"/>
      <c r="M464" s="341"/>
      <c r="N464" s="342"/>
      <c r="P464" s="18">
        <f t="shared" si="7"/>
        <v>0</v>
      </c>
      <c r="Q464" s="338"/>
      <c r="R464" s="344"/>
      <c r="S464" s="474"/>
      <c r="T464" s="344"/>
      <c r="U464" s="475"/>
    </row>
    <row r="465" spans="2:21" ht="39.6" x14ac:dyDescent="0.25">
      <c r="B465" s="346"/>
      <c r="C465" s="390"/>
      <c r="D465" s="160" t="s">
        <v>58</v>
      </c>
      <c r="E465" s="134" t="str">
        <f>HLOOKUP(Deckblatt!$C$12,Language!$C$1:$D$730,607,FALSE)</f>
        <v xml:space="preserve">Fluchtpläne
</v>
      </c>
      <c r="F465" s="348"/>
      <c r="G465" s="69"/>
      <c r="H465" s="18">
        <v>10</v>
      </c>
      <c r="I465" s="350"/>
      <c r="J465" s="340"/>
      <c r="K465" s="341"/>
      <c r="L465" s="341"/>
      <c r="M465" s="341"/>
      <c r="N465" s="342"/>
      <c r="P465" s="18">
        <f t="shared" si="7"/>
        <v>0</v>
      </c>
      <c r="Q465" s="338"/>
      <c r="R465" s="344"/>
      <c r="S465" s="474"/>
      <c r="T465" s="344"/>
      <c r="U465" s="475"/>
    </row>
    <row r="466" spans="2:21" ht="13.2" customHeight="1" x14ac:dyDescent="0.25">
      <c r="B466" s="346"/>
      <c r="C466" s="351" t="s">
        <v>61</v>
      </c>
      <c r="D466" s="352" t="str">
        <f>HLOOKUP(Deckblatt!$C$12,Language!$C$1:$D$730,608,FALSE)</f>
        <v>Notfallplanung</v>
      </c>
      <c r="E466" s="353"/>
      <c r="F466" s="348"/>
      <c r="G466" s="113"/>
      <c r="H466" s="21">
        <v>10</v>
      </c>
      <c r="I466" s="350"/>
      <c r="J466" s="340"/>
      <c r="K466" s="341"/>
      <c r="L466" s="341"/>
      <c r="M466" s="341"/>
      <c r="N466" s="342"/>
      <c r="P466" s="18">
        <f t="shared" si="7"/>
        <v>0</v>
      </c>
      <c r="Q466" s="338"/>
      <c r="R466" s="344"/>
      <c r="S466" s="474"/>
      <c r="T466" s="344"/>
      <c r="U466" s="475"/>
    </row>
    <row r="467" spans="2:21" ht="39.6" x14ac:dyDescent="0.25">
      <c r="B467" s="346"/>
      <c r="C467" s="351"/>
      <c r="D467" s="160" t="s">
        <v>63</v>
      </c>
      <c r="E467" s="134" t="str">
        <f>HLOOKUP(Deckblatt!$C$12,Language!$C$1:$D$730,609,FALSE)</f>
        <v xml:space="preserve">Notfallplan und Gegensteuerungsmaßnahmen
</v>
      </c>
      <c r="F467" s="348"/>
      <c r="G467" s="69"/>
      <c r="H467" s="18">
        <v>10</v>
      </c>
      <c r="I467" s="350"/>
      <c r="J467" s="340"/>
      <c r="K467" s="341"/>
      <c r="L467" s="341"/>
      <c r="M467" s="341"/>
      <c r="N467" s="342"/>
      <c r="P467" s="18">
        <f t="shared" si="7"/>
        <v>0</v>
      </c>
      <c r="Q467" s="338"/>
      <c r="R467" s="344"/>
      <c r="S467" s="474"/>
      <c r="T467" s="344"/>
      <c r="U467" s="475"/>
    </row>
    <row r="468" spans="2:21" ht="13.2" customHeight="1" x14ac:dyDescent="0.25">
      <c r="B468" s="346"/>
      <c r="C468" s="351" t="s">
        <v>64</v>
      </c>
      <c r="D468" s="352" t="str">
        <f>HLOOKUP(Deckblatt!$C$12,Language!$C$1:$D$730,610,FALSE)</f>
        <v xml:space="preserve">Sicherheitskonzept Brandschutz (abhängig von Brandschutzauflagen des Landes)	</v>
      </c>
      <c r="E468" s="353"/>
      <c r="F468" s="348"/>
      <c r="G468" s="113"/>
      <c r="H468" s="21">
        <v>10</v>
      </c>
      <c r="I468" s="350"/>
      <c r="J468" s="340"/>
      <c r="K468" s="341"/>
      <c r="L468" s="341"/>
      <c r="M468" s="341"/>
      <c r="N468" s="342"/>
      <c r="P468" s="18">
        <f t="shared" si="7"/>
        <v>0</v>
      </c>
      <c r="Q468" s="338"/>
      <c r="R468" s="344"/>
      <c r="S468" s="474"/>
      <c r="T468" s="344"/>
      <c r="U468" s="475"/>
    </row>
    <row r="469" spans="2:21" ht="39.6" x14ac:dyDescent="0.25">
      <c r="B469" s="346"/>
      <c r="C469" s="351"/>
      <c r="D469" s="160" t="s">
        <v>66</v>
      </c>
      <c r="E469" s="134" t="str">
        <f>HLOOKUP(Deckblatt!$C$12,Language!$C$1:$D$730,611,FALSE)</f>
        <v xml:space="preserve">Brandschutzkonzept
</v>
      </c>
      <c r="F469" s="348"/>
      <c r="G469" s="69"/>
      <c r="H469" s="18">
        <v>10</v>
      </c>
      <c r="I469" s="350"/>
      <c r="J469" s="340"/>
      <c r="K469" s="341"/>
      <c r="L469" s="341"/>
      <c r="M469" s="341"/>
      <c r="N469" s="342"/>
      <c r="P469" s="18">
        <f t="shared" si="7"/>
        <v>0</v>
      </c>
      <c r="Q469" s="338"/>
      <c r="R469" s="344"/>
      <c r="S469" s="474"/>
      <c r="T469" s="344"/>
      <c r="U469" s="475"/>
    </row>
    <row r="470" spans="2:21" ht="13.2" customHeight="1" x14ac:dyDescent="0.25">
      <c r="B470" s="346"/>
      <c r="C470" s="351" t="s">
        <v>67</v>
      </c>
      <c r="D470" s="352" t="str">
        <f>HLOOKUP(Deckblatt!$C$12,Language!$C$1:$D$730,612,FALSE)</f>
        <v>Räumungskonzept</v>
      </c>
      <c r="E470" s="353"/>
      <c r="F470" s="348"/>
      <c r="G470" s="113"/>
      <c r="H470" s="21">
        <v>10</v>
      </c>
      <c r="I470" s="350"/>
      <c r="J470" s="340"/>
      <c r="K470" s="341"/>
      <c r="L470" s="341"/>
      <c r="M470" s="341"/>
      <c r="N470" s="342"/>
      <c r="P470" s="18">
        <f t="shared" si="7"/>
        <v>0</v>
      </c>
      <c r="Q470" s="338"/>
      <c r="R470" s="344"/>
      <c r="S470" s="474"/>
      <c r="T470" s="344"/>
      <c r="U470" s="475"/>
    </row>
    <row r="471" spans="2:21" ht="39.6" x14ac:dyDescent="0.25">
      <c r="B471" s="346"/>
      <c r="C471" s="351"/>
      <c r="D471" s="160" t="s">
        <v>69</v>
      </c>
      <c r="E471" s="134" t="str">
        <f>HLOOKUP(Deckblatt!$C$12,Language!$C$1:$D$730,613,FALSE)</f>
        <v xml:space="preserve">Räumungskonzept
</v>
      </c>
      <c r="F471" s="348"/>
      <c r="G471" s="69"/>
      <c r="H471" s="18">
        <v>10</v>
      </c>
      <c r="I471" s="350"/>
      <c r="J471" s="340"/>
      <c r="K471" s="341"/>
      <c r="L471" s="341"/>
      <c r="M471" s="341"/>
      <c r="N471" s="342"/>
      <c r="P471" s="18">
        <f t="shared" si="7"/>
        <v>0</v>
      </c>
      <c r="Q471" s="338"/>
      <c r="R471" s="344"/>
      <c r="S471" s="474"/>
      <c r="T471" s="344"/>
      <c r="U471" s="475"/>
    </row>
    <row r="472" spans="2:21" ht="13.2" customHeight="1" x14ac:dyDescent="0.25">
      <c r="B472" s="346"/>
      <c r="C472" s="359" t="s">
        <v>154</v>
      </c>
      <c r="D472" s="352" t="str">
        <f>HLOOKUP(Deckblatt!$C$12,Language!$C$1:$D$730,614,FALSE)</f>
        <v>Überfüllungskonzept</v>
      </c>
      <c r="E472" s="353"/>
      <c r="F472" s="348"/>
      <c r="G472" s="113"/>
      <c r="H472" s="21">
        <v>10</v>
      </c>
      <c r="I472" s="350"/>
      <c r="J472" s="340"/>
      <c r="K472" s="341"/>
      <c r="L472" s="341"/>
      <c r="M472" s="341"/>
      <c r="N472" s="342"/>
      <c r="P472" s="18">
        <f t="shared" si="7"/>
        <v>0</v>
      </c>
      <c r="Q472" s="338"/>
      <c r="R472" s="344"/>
      <c r="S472" s="474"/>
      <c r="T472" s="344"/>
      <c r="U472" s="475"/>
    </row>
    <row r="473" spans="2:21" ht="26.4" x14ac:dyDescent="0.25">
      <c r="B473" s="346"/>
      <c r="C473" s="390"/>
      <c r="D473" s="160" t="s">
        <v>156</v>
      </c>
      <c r="E473" s="134" t="str">
        <f>HLOOKUP(Deckblatt!$C$12,Language!$C$1:$D$730,615,FALSE)</f>
        <v xml:space="preserve">People-Flow-Analyse
</v>
      </c>
      <c r="F473" s="348"/>
      <c r="G473" s="69"/>
      <c r="H473" s="18">
        <v>10</v>
      </c>
      <c r="I473" s="350"/>
      <c r="J473" s="340"/>
      <c r="K473" s="341"/>
      <c r="L473" s="341"/>
      <c r="M473" s="341"/>
      <c r="N473" s="342"/>
      <c r="P473" s="18">
        <f t="shared" si="7"/>
        <v>0</v>
      </c>
      <c r="Q473" s="338"/>
      <c r="R473" s="344"/>
      <c r="S473" s="474"/>
      <c r="T473" s="344"/>
      <c r="U473" s="475"/>
    </row>
    <row r="474" spans="2:21" ht="13.2" customHeight="1" x14ac:dyDescent="0.25">
      <c r="B474" s="346"/>
      <c r="C474" s="392" t="s">
        <v>157</v>
      </c>
      <c r="D474" s="352" t="str">
        <f>HLOOKUP(Deckblatt!$C$12,Language!$C$1:$D$730,616,FALSE)</f>
        <v>Verkehrskonzept</v>
      </c>
      <c r="E474" s="353"/>
      <c r="F474" s="348"/>
      <c r="G474" s="113"/>
      <c r="H474" s="21">
        <v>10</v>
      </c>
      <c r="I474" s="350"/>
      <c r="J474" s="340"/>
      <c r="K474" s="341"/>
      <c r="L474" s="341"/>
      <c r="M474" s="341"/>
      <c r="N474" s="342"/>
      <c r="P474" s="18">
        <f t="shared" si="7"/>
        <v>0</v>
      </c>
      <c r="Q474" s="338"/>
      <c r="R474" s="344"/>
      <c r="S474" s="474"/>
      <c r="T474" s="344"/>
      <c r="U474" s="475"/>
    </row>
    <row r="475" spans="2:21" ht="39.6" x14ac:dyDescent="0.25">
      <c r="B475" s="346"/>
      <c r="C475" s="351"/>
      <c r="D475" s="160" t="s">
        <v>159</v>
      </c>
      <c r="E475" s="134" t="str">
        <f>HLOOKUP(Deckblatt!$C$12,Language!$C$1:$D$730,617,FALSE)</f>
        <v xml:space="preserve">Zu- und Abfahrten
</v>
      </c>
      <c r="F475" s="348"/>
      <c r="G475" s="69"/>
      <c r="H475" s="18">
        <v>10</v>
      </c>
      <c r="I475" s="350"/>
      <c r="J475" s="340"/>
      <c r="K475" s="341"/>
      <c r="L475" s="341"/>
      <c r="M475" s="341"/>
      <c r="N475" s="342"/>
      <c r="P475" s="18">
        <f t="shared" si="7"/>
        <v>0</v>
      </c>
      <c r="Q475" s="338"/>
      <c r="R475" s="344"/>
      <c r="S475" s="474"/>
      <c r="T475" s="344"/>
      <c r="U475" s="475"/>
    </row>
    <row r="476" spans="2:21" ht="13.2" customHeight="1" x14ac:dyDescent="0.25">
      <c r="B476" s="346"/>
      <c r="C476" s="392" t="s">
        <v>282</v>
      </c>
      <c r="D476" s="352" t="str">
        <f>HLOOKUP(Deckblatt!$C$12,Language!$C$1:$D$730,618,FALSE)</f>
        <v>Kommunikationskonzept</v>
      </c>
      <c r="E476" s="353"/>
      <c r="F476" s="348"/>
      <c r="G476" s="113"/>
      <c r="H476" s="21">
        <v>10</v>
      </c>
      <c r="I476" s="350"/>
      <c r="J476" s="340"/>
      <c r="K476" s="341"/>
      <c r="L476" s="341"/>
      <c r="M476" s="341"/>
      <c r="N476" s="342"/>
      <c r="P476" s="18">
        <f t="shared" si="7"/>
        <v>0</v>
      </c>
      <c r="Q476" s="338"/>
      <c r="R476" s="344"/>
      <c r="S476" s="474"/>
      <c r="T476" s="344"/>
      <c r="U476" s="475"/>
    </row>
    <row r="477" spans="2:21" ht="26.4" x14ac:dyDescent="0.25">
      <c r="B477" s="346"/>
      <c r="C477" s="351"/>
      <c r="D477" s="160" t="s">
        <v>284</v>
      </c>
      <c r="E477" s="134" t="str">
        <f>HLOOKUP(Deckblatt!$C$12,Language!$C$1:$D$730,619,FALSE)</f>
        <v xml:space="preserve">Austausch von Präventions- und Interventionsinformationen
</v>
      </c>
      <c r="F477" s="348"/>
      <c r="G477" s="69"/>
      <c r="H477" s="18">
        <v>10</v>
      </c>
      <c r="I477" s="350"/>
      <c r="J477" s="340"/>
      <c r="K477" s="341"/>
      <c r="L477" s="341"/>
      <c r="M477" s="341"/>
      <c r="N477" s="342"/>
      <c r="P477" s="18">
        <f t="shared" si="7"/>
        <v>0</v>
      </c>
      <c r="Q477" s="338"/>
      <c r="R477" s="344"/>
      <c r="S477" s="474"/>
      <c r="T477" s="344"/>
      <c r="U477" s="475"/>
    </row>
    <row r="478" spans="2:21" ht="13.2" customHeight="1" x14ac:dyDescent="0.25">
      <c r="B478" s="346"/>
      <c r="C478" s="392" t="s">
        <v>285</v>
      </c>
      <c r="D478" s="352" t="str">
        <f>HLOOKUP(Deckblatt!$C$12,Language!$C$1:$D$730,620,FALSE)</f>
        <v>Antiterrorkonzept</v>
      </c>
      <c r="E478" s="353"/>
      <c r="F478" s="348"/>
      <c r="G478" s="113"/>
      <c r="H478" s="21">
        <v>10</v>
      </c>
      <c r="I478" s="350"/>
      <c r="J478" s="340"/>
      <c r="K478" s="341"/>
      <c r="L478" s="341"/>
      <c r="M478" s="341"/>
      <c r="N478" s="342"/>
      <c r="P478" s="18">
        <f t="shared" si="7"/>
        <v>0</v>
      </c>
      <c r="Q478" s="338"/>
      <c r="R478" s="344"/>
      <c r="S478" s="474"/>
      <c r="T478" s="344"/>
      <c r="U478" s="475"/>
    </row>
    <row r="479" spans="2:21" ht="39.6" x14ac:dyDescent="0.25">
      <c r="B479" s="346"/>
      <c r="C479" s="351"/>
      <c r="D479" s="160" t="s">
        <v>287</v>
      </c>
      <c r="E479" s="134" t="str">
        <f>HLOOKUP(Deckblatt!$C$12,Language!$C$1:$D$730,621,FALSE)</f>
        <v xml:space="preserve">Sicherheitsmanagement
</v>
      </c>
      <c r="F479" s="348"/>
      <c r="G479" s="69"/>
      <c r="H479" s="18">
        <v>10</v>
      </c>
      <c r="I479" s="350"/>
      <c r="J479" s="340"/>
      <c r="K479" s="341"/>
      <c r="L479" s="341"/>
      <c r="M479" s="341"/>
      <c r="N479" s="342"/>
      <c r="P479" s="18">
        <f t="shared" si="7"/>
        <v>0</v>
      </c>
      <c r="Q479" s="338"/>
      <c r="R479" s="344"/>
      <c r="S479" s="474"/>
      <c r="T479" s="344"/>
      <c r="U479" s="475"/>
    </row>
    <row r="480" spans="2:21" ht="13.2" customHeight="1" x14ac:dyDescent="0.25">
      <c r="B480" s="346"/>
      <c r="C480" s="369" t="s">
        <v>292</v>
      </c>
      <c r="D480" s="352" t="str">
        <f>HLOOKUP(Deckblatt!$C$12,Language!$C$1:$D$730,622,FALSE)</f>
        <v>Konzept gegen gewaltbereite Besucher/Vandalismus-Hochrisikospiele</v>
      </c>
      <c r="E480" s="353"/>
      <c r="F480" s="348"/>
      <c r="G480" s="113"/>
      <c r="H480" s="21">
        <v>10</v>
      </c>
      <c r="I480" s="350"/>
      <c r="J480" s="340"/>
      <c r="K480" s="341"/>
      <c r="L480" s="341"/>
      <c r="M480" s="341"/>
      <c r="N480" s="342"/>
      <c r="P480" s="18">
        <f t="shared" si="7"/>
        <v>0</v>
      </c>
      <c r="Q480" s="338"/>
      <c r="R480" s="344"/>
      <c r="S480" s="474"/>
      <c r="T480" s="344"/>
      <c r="U480" s="475"/>
    </row>
    <row r="481" spans="2:21" ht="39.6" x14ac:dyDescent="0.25">
      <c r="B481" s="346"/>
      <c r="C481" s="390"/>
      <c r="D481" s="160" t="s">
        <v>293</v>
      </c>
      <c r="E481" s="134" t="str">
        <f>HLOOKUP(Deckblatt!$C$12,Language!$C$1:$D$730,623,FALSE)</f>
        <v xml:space="preserve">Sicherheitsmaßnahmen bei Hochrisikospiele
</v>
      </c>
      <c r="F481" s="348"/>
      <c r="G481" s="69"/>
      <c r="H481" s="18">
        <v>10</v>
      </c>
      <c r="I481" s="350"/>
      <c r="J481" s="340"/>
      <c r="K481" s="341"/>
      <c r="L481" s="341"/>
      <c r="M481" s="341"/>
      <c r="N481" s="342"/>
      <c r="P481" s="18">
        <f t="shared" si="7"/>
        <v>0</v>
      </c>
      <c r="Q481" s="338"/>
      <c r="R481" s="344"/>
      <c r="S481" s="474"/>
      <c r="T481" s="344"/>
      <c r="U481" s="475"/>
    </row>
    <row r="482" spans="2:21" ht="13.2" customHeight="1" x14ac:dyDescent="0.25">
      <c r="B482" s="346"/>
      <c r="C482" s="369" t="s">
        <v>448</v>
      </c>
      <c r="D482" s="352" t="str">
        <f>HLOOKUP(Deckblatt!$C$12,Language!$C$1:$D$730,624,FALSE)</f>
        <v>Elektronische Sicherheitsanlagen</v>
      </c>
      <c r="E482" s="353"/>
      <c r="F482" s="348"/>
      <c r="G482" s="113"/>
      <c r="H482" s="21">
        <v>10</v>
      </c>
      <c r="I482" s="350"/>
      <c r="J482" s="340"/>
      <c r="K482" s="341"/>
      <c r="L482" s="341"/>
      <c r="M482" s="341"/>
      <c r="N482" s="342"/>
      <c r="P482" s="18">
        <f t="shared" si="7"/>
        <v>0</v>
      </c>
      <c r="Q482" s="338"/>
      <c r="R482" s="344"/>
      <c r="S482" s="474"/>
      <c r="T482" s="344"/>
      <c r="U482" s="475"/>
    </row>
    <row r="483" spans="2:21" ht="39.6" x14ac:dyDescent="0.25">
      <c r="B483" s="346"/>
      <c r="C483" s="479"/>
      <c r="D483" s="160" t="s">
        <v>459</v>
      </c>
      <c r="E483" s="134" t="str">
        <f>HLOOKUP(Deckblatt!$C$12,Language!$C$1:$D$730,625,FALSE)</f>
        <v xml:space="preserve">Videoüberwachungs- und Lautsprecheranlagen
</v>
      </c>
      <c r="F483" s="348"/>
      <c r="G483" s="69"/>
      <c r="H483" s="18">
        <v>10</v>
      </c>
      <c r="I483" s="350"/>
      <c r="J483" s="340"/>
      <c r="K483" s="341"/>
      <c r="L483" s="341"/>
      <c r="M483" s="341"/>
      <c r="N483" s="342"/>
      <c r="P483" s="18">
        <f t="shared" si="7"/>
        <v>0</v>
      </c>
      <c r="Q483" s="338"/>
      <c r="R483" s="344"/>
      <c r="S483" s="474"/>
      <c r="T483" s="344"/>
      <c r="U483" s="475"/>
    </row>
    <row r="484" spans="2:21" ht="66" x14ac:dyDescent="0.25">
      <c r="B484" s="346"/>
      <c r="C484" s="522" t="s">
        <v>841</v>
      </c>
      <c r="D484" s="523"/>
      <c r="E484" s="238" t="str">
        <f>HLOOKUP(Deckblatt!$C$12,Language!$C$1:$D$730,626,FALSE)</f>
        <v xml:space="preserve">INNOVATIONSRAUM 
Erläuterung: Sicherheitsmaßnahmen, die nicht den o.g. Kategorien oder Maßnahmen zugeordnet werden können, die jedoch nachweislich das Sicherheitsempfinden und den Schutz steigern
</v>
      </c>
      <c r="F484" s="348"/>
      <c r="G484" s="69"/>
      <c r="H484" s="18">
        <v>10</v>
      </c>
      <c r="I484" s="350"/>
      <c r="J484" s="340"/>
      <c r="K484" s="341"/>
      <c r="L484" s="341"/>
      <c r="M484" s="341"/>
      <c r="N484" s="342"/>
      <c r="P484" s="18">
        <f t="shared" si="7"/>
        <v>0</v>
      </c>
      <c r="Q484" s="338"/>
      <c r="R484" s="344"/>
      <c r="S484" s="474"/>
      <c r="T484" s="344"/>
      <c r="U484" s="475"/>
    </row>
    <row r="485" spans="2:21" x14ac:dyDescent="0.25">
      <c r="B485" s="55" t="s">
        <v>536</v>
      </c>
      <c r="C485" s="354" t="str">
        <f>HLOOKUP(Deckblatt!$C$12,Language!$C$1:$D$730,627,FALSE)</f>
        <v>Baustelle, Bauprozesse</v>
      </c>
      <c r="D485" s="354"/>
      <c r="E485" s="355"/>
      <c r="F485" s="66">
        <f>Q485</f>
        <v>0</v>
      </c>
      <c r="G485" s="364"/>
      <c r="H485" s="21">
        <v>110</v>
      </c>
      <c r="I485" s="176">
        <v>2</v>
      </c>
      <c r="J485" s="340"/>
      <c r="K485" s="341"/>
      <c r="L485" s="341"/>
      <c r="M485" s="341"/>
      <c r="N485" s="342"/>
      <c r="P485" s="18">
        <f t="shared" si="7"/>
        <v>0</v>
      </c>
      <c r="Q485" s="337">
        <f>SUM(O487:P493,MAX(P495:P496),MAX(P498:P499))</f>
        <v>0</v>
      </c>
      <c r="R485" s="343">
        <f>Q485/100</f>
        <v>0</v>
      </c>
      <c r="S485" s="474"/>
      <c r="T485" s="344"/>
      <c r="U485" s="475"/>
    </row>
    <row r="486" spans="2:21" ht="13.2" customHeight="1" x14ac:dyDescent="0.25">
      <c r="B486" s="345"/>
      <c r="C486" s="359" t="s">
        <v>54</v>
      </c>
      <c r="D486" s="352" t="str">
        <f>HLOOKUP(Deckblatt!$C$12,Language!$C$1:$D$730,628,FALSE)</f>
        <v>Beschilderung und Information</v>
      </c>
      <c r="E486" s="353"/>
      <c r="F486" s="347"/>
      <c r="G486" s="364"/>
      <c r="H486" s="21">
        <v>15</v>
      </c>
      <c r="I486" s="349"/>
      <c r="J486" s="340"/>
      <c r="K486" s="341"/>
      <c r="L486" s="341"/>
      <c r="M486" s="341"/>
      <c r="N486" s="342"/>
      <c r="P486" s="18">
        <f t="shared" si="7"/>
        <v>0</v>
      </c>
      <c r="Q486" s="338"/>
      <c r="R486" s="344"/>
      <c r="S486" s="474"/>
      <c r="T486" s="344"/>
      <c r="U486" s="475"/>
    </row>
    <row r="487" spans="2:21" ht="52.8" x14ac:dyDescent="0.25">
      <c r="B487" s="346"/>
      <c r="C487" s="390"/>
      <c r="D487" s="160" t="s">
        <v>58</v>
      </c>
      <c r="E487" s="134" t="str">
        <f>HLOOKUP(Deckblatt!$C$12,Language!$C$1:$D$730,629,FALSE)</f>
        <v>Konzept und Maßnahmen
Anwohner werden über Beschilderung über das Bauvorhaben und Baustelle informiert. Hierzu zählen Bauinformationen, Wegeführung, ggf. Verantwortliche und Ansprechpartner.</v>
      </c>
      <c r="F487" s="348"/>
      <c r="G487" s="69"/>
      <c r="H487" s="18">
        <v>5</v>
      </c>
      <c r="I487" s="350"/>
      <c r="J487" s="340"/>
      <c r="K487" s="341"/>
      <c r="L487" s="341"/>
      <c r="M487" s="341"/>
      <c r="N487" s="342"/>
      <c r="P487" s="18">
        <f t="shared" si="7"/>
        <v>0</v>
      </c>
      <c r="Q487" s="338"/>
      <c r="R487" s="344"/>
      <c r="S487" s="474"/>
      <c r="T487" s="344"/>
      <c r="U487" s="475"/>
    </row>
    <row r="488" spans="2:21" ht="118.8" x14ac:dyDescent="0.25">
      <c r="B488" s="346"/>
      <c r="C488" s="360"/>
      <c r="D488" s="160" t="s">
        <v>181</v>
      </c>
      <c r="E488"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488" s="348"/>
      <c r="G488" s="69"/>
      <c r="H488" s="18">
        <v>10</v>
      </c>
      <c r="I488" s="350"/>
      <c r="J488" s="340"/>
      <c r="K488" s="341"/>
      <c r="L488" s="341"/>
      <c r="M488" s="341"/>
      <c r="N488" s="342"/>
      <c r="P488" s="18">
        <f t="shared" si="7"/>
        <v>0</v>
      </c>
      <c r="Q488" s="338"/>
      <c r="R488" s="344"/>
      <c r="S488" s="474"/>
      <c r="T488" s="344"/>
      <c r="U488" s="475"/>
    </row>
    <row r="489" spans="2:21" x14ac:dyDescent="0.25">
      <c r="B489" s="346"/>
      <c r="C489" s="351" t="s">
        <v>61</v>
      </c>
      <c r="D489" s="352" t="str">
        <f>HLOOKUP(Deckblatt!$C$12,Language!$C$1:$D$730,631,FALSE)</f>
        <v>Abfall</v>
      </c>
      <c r="E489" s="353"/>
      <c r="F489" s="348"/>
      <c r="G489" s="113"/>
      <c r="H489" s="21">
        <v>25</v>
      </c>
      <c r="I489" s="350"/>
      <c r="J489" s="340"/>
      <c r="K489" s="341"/>
      <c r="L489" s="341"/>
      <c r="M489" s="341"/>
      <c r="N489" s="342"/>
      <c r="P489" s="18">
        <f t="shared" si="7"/>
        <v>0</v>
      </c>
      <c r="Q489" s="338"/>
      <c r="R489" s="344"/>
      <c r="S489" s="474"/>
      <c r="T489" s="344"/>
      <c r="U489" s="475"/>
    </row>
    <row r="490" spans="2:21" ht="52.8" x14ac:dyDescent="0.25">
      <c r="B490" s="346"/>
      <c r="C490" s="351"/>
      <c r="D490" s="160" t="s">
        <v>63</v>
      </c>
      <c r="E490" s="134" t="str">
        <f>HLOOKUP(Deckblatt!$C$12,Language!$C$1:$D$730,632,FALSE)</f>
        <v xml:space="preserve">Abfall
(Details siehe Kriterium)
</v>
      </c>
      <c r="F490" s="348"/>
      <c r="G490" s="69"/>
      <c r="H490" s="18">
        <v>25</v>
      </c>
      <c r="I490" s="350"/>
      <c r="J490" s="340"/>
      <c r="K490" s="341"/>
      <c r="L490" s="341"/>
      <c r="M490" s="341"/>
      <c r="N490" s="342"/>
      <c r="P490" s="18">
        <f t="shared" si="7"/>
        <v>0</v>
      </c>
      <c r="Q490" s="338"/>
      <c r="R490" s="344"/>
      <c r="S490" s="474"/>
      <c r="T490" s="344"/>
      <c r="U490" s="475"/>
    </row>
    <row r="491" spans="2:21" ht="66" x14ac:dyDescent="0.25">
      <c r="B491" s="346"/>
      <c r="C491" s="351"/>
      <c r="D491" s="71" t="s">
        <v>186</v>
      </c>
      <c r="E491" s="239" t="str">
        <f>HLOOKUP(Deckblatt!$C$12,Language!$C$1:$D$730,633,FALSE)</f>
        <v xml:space="preserve">CIRCULAR ECONOMY BONUS – ABFALLVERMEIDUNG AUF DER BAUSTELLE
Auf der Baustelle werden neuartige und in wesentlichem Umfang abfallvermeidende Konzepte, Bauweisen oder Technologien umgesetzt.
</v>
      </c>
      <c r="F491" s="348"/>
      <c r="G491" s="69"/>
      <c r="H491" s="18">
        <v>10</v>
      </c>
      <c r="I491" s="350"/>
      <c r="J491" s="340"/>
      <c r="K491" s="341"/>
      <c r="L491" s="341"/>
      <c r="M491" s="341"/>
      <c r="N491" s="342"/>
      <c r="P491" s="18">
        <f t="shared" si="7"/>
        <v>0</v>
      </c>
      <c r="Q491" s="338"/>
      <c r="R491" s="344"/>
      <c r="S491" s="474"/>
      <c r="T491" s="344"/>
      <c r="U491" s="475"/>
    </row>
    <row r="492" spans="2:21" x14ac:dyDescent="0.25">
      <c r="B492" s="346"/>
      <c r="C492" s="351" t="s">
        <v>64</v>
      </c>
      <c r="D492" s="352" t="str">
        <f>HLOOKUP(Deckblatt!$C$12,Language!$C$1:$D$730,634,FALSE)</f>
        <v>Lärm</v>
      </c>
      <c r="E492" s="353"/>
      <c r="F492" s="348"/>
      <c r="G492" s="113"/>
      <c r="H492" s="21">
        <v>20</v>
      </c>
      <c r="I492" s="350"/>
      <c r="J492" s="340"/>
      <c r="K492" s="341"/>
      <c r="L492" s="341"/>
      <c r="M492" s="341"/>
      <c r="N492" s="342"/>
      <c r="P492" s="18">
        <f t="shared" si="7"/>
        <v>0</v>
      </c>
      <c r="Q492" s="338"/>
      <c r="R492" s="344"/>
      <c r="S492" s="474"/>
      <c r="T492" s="344"/>
      <c r="U492" s="475"/>
    </row>
    <row r="493" spans="2:21" ht="52.8" x14ac:dyDescent="0.25">
      <c r="B493" s="346"/>
      <c r="C493" s="351"/>
      <c r="D493" s="71" t="s">
        <v>66</v>
      </c>
      <c r="E493" s="134" t="str">
        <f>HLOOKUP(Deckblatt!$C$12,Language!$C$1:$D$730,635,FALSE)</f>
        <v xml:space="preserve">Lärm
(Details siehe Kriterium)
</v>
      </c>
      <c r="F493" s="348"/>
      <c r="G493" s="69"/>
      <c r="H493" s="18">
        <v>20</v>
      </c>
      <c r="I493" s="350"/>
      <c r="J493" s="340"/>
      <c r="K493" s="341"/>
      <c r="L493" s="341"/>
      <c r="M493" s="341"/>
      <c r="N493" s="342"/>
      <c r="P493" s="18">
        <f t="shared" si="7"/>
        <v>0</v>
      </c>
      <c r="Q493" s="338"/>
      <c r="R493" s="344"/>
      <c r="S493" s="474"/>
      <c r="T493" s="344"/>
      <c r="U493" s="475"/>
    </row>
    <row r="494" spans="2:21" x14ac:dyDescent="0.25">
      <c r="B494" s="346"/>
      <c r="C494" s="351" t="s">
        <v>67</v>
      </c>
      <c r="D494" s="352" t="str">
        <f>HLOOKUP(Deckblatt!$C$12,Language!$C$1:$D$730,636,FALSE)</f>
        <v>Staub</v>
      </c>
      <c r="E494" s="353"/>
      <c r="F494" s="348"/>
      <c r="G494" s="113"/>
      <c r="H494" s="21">
        <v>20</v>
      </c>
      <c r="I494" s="350"/>
      <c r="J494" s="340"/>
      <c r="K494" s="341"/>
      <c r="L494" s="341"/>
      <c r="M494" s="341"/>
      <c r="N494" s="342"/>
      <c r="P494" s="18">
        <f t="shared" si="7"/>
        <v>0</v>
      </c>
      <c r="Q494" s="338"/>
      <c r="R494" s="344"/>
      <c r="S494" s="474"/>
      <c r="T494" s="344"/>
      <c r="U494" s="475"/>
    </row>
    <row r="495" spans="2:21" ht="52.8" x14ac:dyDescent="0.25">
      <c r="B495" s="346"/>
      <c r="C495" s="351"/>
      <c r="D495" s="71" t="s">
        <v>69</v>
      </c>
      <c r="E495" s="134" t="str">
        <f>HLOOKUP(Deckblatt!$C$12,Language!$C$1:$D$730,637,FALSE)</f>
        <v xml:space="preserve">Staub
(Details siehe Kriterium)
</v>
      </c>
      <c r="F495" s="348"/>
      <c r="G495" s="69"/>
      <c r="H495" s="18">
        <v>20</v>
      </c>
      <c r="I495" s="350"/>
      <c r="J495" s="340"/>
      <c r="K495" s="341"/>
      <c r="L495" s="341"/>
      <c r="M495" s="341"/>
      <c r="N495" s="342"/>
      <c r="P495" s="18">
        <f t="shared" si="7"/>
        <v>0</v>
      </c>
      <c r="Q495" s="338"/>
      <c r="R495" s="344"/>
      <c r="S495" s="474"/>
      <c r="T495" s="344"/>
      <c r="U495" s="475"/>
    </row>
    <row r="496" spans="2:21" ht="66" x14ac:dyDescent="0.25">
      <c r="B496" s="346"/>
      <c r="C496" s="351"/>
      <c r="D496" s="57" t="s">
        <v>542</v>
      </c>
      <c r="E496"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496" s="348"/>
      <c r="G496" s="69"/>
      <c r="H496" s="18">
        <v>20</v>
      </c>
      <c r="I496" s="350"/>
      <c r="J496" s="340"/>
      <c r="K496" s="341"/>
      <c r="L496" s="341"/>
      <c r="M496" s="341"/>
      <c r="N496" s="342"/>
      <c r="P496" s="18">
        <f t="shared" si="7"/>
        <v>0</v>
      </c>
      <c r="Q496" s="338"/>
      <c r="R496" s="344"/>
      <c r="S496" s="474"/>
      <c r="T496" s="344"/>
      <c r="U496" s="475"/>
    </row>
    <row r="497" spans="2:21" ht="13.2" customHeight="1" x14ac:dyDescent="0.25">
      <c r="B497" s="346"/>
      <c r="C497" s="359" t="s">
        <v>154</v>
      </c>
      <c r="D497" s="352" t="str">
        <f>HLOOKUP(Deckblatt!$C$12,Language!$C$1:$D$730,639,FALSE)</f>
        <v>Umwelt- und Naturschutz</v>
      </c>
      <c r="E497" s="353"/>
      <c r="F497" s="348"/>
      <c r="G497" s="113"/>
      <c r="H497" s="21">
        <v>20</v>
      </c>
      <c r="I497" s="350"/>
      <c r="J497" s="340"/>
      <c r="K497" s="341"/>
      <c r="L497" s="341"/>
      <c r="M497" s="341"/>
      <c r="N497" s="342"/>
      <c r="P497" s="18">
        <f t="shared" si="7"/>
        <v>0</v>
      </c>
      <c r="Q497" s="338"/>
      <c r="R497" s="344"/>
      <c r="S497" s="474"/>
      <c r="T497" s="344"/>
      <c r="U497" s="475"/>
    </row>
    <row r="498" spans="2:21" ht="52.8" x14ac:dyDescent="0.25">
      <c r="B498" s="346"/>
      <c r="C498" s="390"/>
      <c r="D498" s="71" t="s">
        <v>156</v>
      </c>
      <c r="E498" s="134" t="str">
        <f>HLOOKUP(Deckblatt!$C$12,Language!$C$1:$D$730,640,FALSE)</f>
        <v xml:space="preserve">Umwelt- und Naturschutz
(Details siehe Kriterium)
</v>
      </c>
      <c r="F498" s="348"/>
      <c r="G498" s="69"/>
      <c r="H498" s="18">
        <v>20</v>
      </c>
      <c r="I498" s="350"/>
      <c r="J498" s="340"/>
      <c r="K498" s="341"/>
      <c r="L498" s="341"/>
      <c r="M498" s="341"/>
      <c r="N498" s="342"/>
      <c r="P498" s="18">
        <f t="shared" si="7"/>
        <v>0</v>
      </c>
      <c r="Q498" s="338"/>
      <c r="R498" s="344"/>
      <c r="S498" s="474"/>
      <c r="T498" s="344"/>
      <c r="U498" s="475"/>
    </row>
    <row r="499" spans="2:21" ht="92.4" x14ac:dyDescent="0.25">
      <c r="B499" s="370"/>
      <c r="C499" s="360"/>
      <c r="D499" s="57" t="s">
        <v>694</v>
      </c>
      <c r="E499"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499" s="371"/>
      <c r="G499" s="69"/>
      <c r="H499" s="18">
        <v>20</v>
      </c>
      <c r="I499" s="366"/>
      <c r="J499" s="340"/>
      <c r="K499" s="341"/>
      <c r="L499" s="341"/>
      <c r="M499" s="341"/>
      <c r="N499" s="342"/>
      <c r="P499" s="18">
        <f t="shared" si="7"/>
        <v>0</v>
      </c>
      <c r="Q499" s="339"/>
      <c r="R499" s="365"/>
      <c r="S499" s="474"/>
      <c r="T499" s="344"/>
      <c r="U499" s="475"/>
    </row>
    <row r="500" spans="2:21" ht="13.8" thickBot="1" x14ac:dyDescent="0.3">
      <c r="B500" s="215" t="s">
        <v>545</v>
      </c>
      <c r="C500" s="384" t="str">
        <f>HLOOKUP(Deckblatt!$C$12,Language!$C$1:$D$730,642,FALSE)</f>
        <v>Qualitätssicherung &amp; Monitoring</v>
      </c>
      <c r="D500" s="384"/>
      <c r="E500" s="385"/>
      <c r="F500" s="66">
        <f>Q500</f>
        <v>0</v>
      </c>
      <c r="G500" s="364"/>
      <c r="H500" s="21">
        <v>100</v>
      </c>
      <c r="I500" s="176">
        <v>2</v>
      </c>
      <c r="J500" s="340"/>
      <c r="K500" s="341"/>
      <c r="L500" s="341"/>
      <c r="M500" s="341"/>
      <c r="N500" s="342"/>
      <c r="P500" s="18">
        <f t="shared" si="7"/>
        <v>0</v>
      </c>
      <c r="Q500" s="337">
        <f>SUM(P502:P504,P507:P509,P511,P513,IF(P515+P516&gt;10,10,P515+P516),P518)</f>
        <v>0</v>
      </c>
      <c r="R500" s="343">
        <f>Q500/100</f>
        <v>0</v>
      </c>
      <c r="S500" s="474"/>
      <c r="T500" s="344"/>
      <c r="U500" s="475"/>
    </row>
    <row r="501" spans="2:21" ht="13.2" customHeight="1" x14ac:dyDescent="0.25">
      <c r="B501" s="501"/>
      <c r="C501" s="386" t="s">
        <v>54</v>
      </c>
      <c r="D501" s="387" t="str">
        <f>HLOOKUP(Deckblatt!$C$12,Language!$C$1:$D$730,643,FALSE)</f>
        <v>Nachhaltigkeitsmanagement</v>
      </c>
      <c r="E501" s="388"/>
      <c r="F501" s="363"/>
      <c r="G501" s="364"/>
      <c r="H501" s="21">
        <v>35</v>
      </c>
      <c r="I501" s="379"/>
      <c r="J501" s="340"/>
      <c r="K501" s="341"/>
      <c r="L501" s="341"/>
      <c r="M501" s="341"/>
      <c r="N501" s="342"/>
      <c r="P501" s="18">
        <f t="shared" si="7"/>
        <v>0</v>
      </c>
      <c r="Q501" s="338"/>
      <c r="R501" s="344"/>
      <c r="S501" s="474"/>
      <c r="T501" s="344"/>
      <c r="U501" s="475"/>
    </row>
    <row r="502" spans="2:21" ht="39.6" x14ac:dyDescent="0.25">
      <c r="B502" s="375"/>
      <c r="C502" s="351"/>
      <c r="D502" s="160" t="s">
        <v>58</v>
      </c>
      <c r="E502" s="134" t="str">
        <f>HLOOKUP(Deckblatt!$C$12,Language!$C$1:$D$730,644,FALSE)</f>
        <v xml:space="preserve">Standortmanagement
</v>
      </c>
      <c r="F502" s="363"/>
      <c r="G502" s="69"/>
      <c r="H502" s="18">
        <v>20</v>
      </c>
      <c r="I502" s="379"/>
      <c r="J502" s="340"/>
      <c r="K502" s="341"/>
      <c r="L502" s="341"/>
      <c r="M502" s="341"/>
      <c r="N502" s="342"/>
      <c r="P502" s="18">
        <f t="shared" si="7"/>
        <v>0</v>
      </c>
      <c r="Q502" s="338"/>
      <c r="R502" s="344"/>
      <c r="S502" s="474"/>
      <c r="T502" s="344"/>
      <c r="U502" s="475"/>
    </row>
    <row r="503" spans="2:21" ht="48" customHeight="1" x14ac:dyDescent="0.25">
      <c r="B503" s="375"/>
      <c r="C503" s="351"/>
      <c r="D503" s="160" t="s">
        <v>181</v>
      </c>
      <c r="E503" s="134" t="str">
        <f>HLOOKUP(Deckblatt!$C$12,Language!$C$1:$D$730,645,FALSE)</f>
        <v xml:space="preserve">Budget und Handlungsbefugnisse
</v>
      </c>
      <c r="F503" s="363"/>
      <c r="G503" s="69"/>
      <c r="H503" s="18">
        <v>5</v>
      </c>
      <c r="I503" s="379"/>
      <c r="J503" s="340"/>
      <c r="K503" s="341"/>
      <c r="L503" s="341"/>
      <c r="M503" s="341"/>
      <c r="N503" s="342"/>
      <c r="P503" s="18">
        <f t="shared" si="7"/>
        <v>0</v>
      </c>
      <c r="Q503" s="338"/>
      <c r="R503" s="344"/>
      <c r="S503" s="474"/>
      <c r="T503" s="344"/>
      <c r="U503" s="475"/>
    </row>
    <row r="504" spans="2:21" ht="26.4" x14ac:dyDescent="0.25">
      <c r="B504" s="375"/>
      <c r="C504" s="351"/>
      <c r="D504" s="160" t="s">
        <v>250</v>
      </c>
      <c r="E504" s="134" t="str">
        <f>HLOOKUP(Deckblatt!$C$12,Language!$C$1:$D$730,647,FALSE)</f>
        <v xml:space="preserve">Inhalte der Nachhaltigkeitsberichterstattung 
</v>
      </c>
      <c r="F504" s="363"/>
      <c r="G504" s="69"/>
      <c r="H504" s="18">
        <v>10</v>
      </c>
      <c r="I504" s="379"/>
      <c r="J504" s="340"/>
      <c r="K504" s="341"/>
      <c r="L504" s="341"/>
      <c r="M504" s="341"/>
      <c r="N504" s="342"/>
      <c r="P504" s="18">
        <f t="shared" si="7"/>
        <v>0</v>
      </c>
      <c r="Q504" s="338"/>
      <c r="R504" s="344"/>
      <c r="S504" s="474"/>
      <c r="T504" s="344"/>
      <c r="U504" s="475"/>
    </row>
    <row r="505" spans="2:21" ht="13.2" customHeight="1" x14ac:dyDescent="0.25">
      <c r="B505" s="375"/>
      <c r="C505" s="351" t="s">
        <v>61</v>
      </c>
      <c r="D505" s="352" t="str">
        <f>HLOOKUP(Deckblatt!$C$12,Language!$C$1:$D$730,649,FALSE)</f>
        <v>Energiemonitoring/-management</v>
      </c>
      <c r="E505" s="353"/>
      <c r="F505" s="363"/>
      <c r="G505" s="356"/>
      <c r="H505" s="21">
        <v>15</v>
      </c>
      <c r="I505" s="379"/>
      <c r="J505" s="340"/>
      <c r="K505" s="341"/>
      <c r="L505" s="341"/>
      <c r="M505" s="341"/>
      <c r="N505" s="342"/>
      <c r="P505" s="18">
        <f t="shared" si="7"/>
        <v>0</v>
      </c>
      <c r="Q505" s="338"/>
      <c r="R505" s="344"/>
      <c r="S505" s="474"/>
      <c r="T505" s="344"/>
      <c r="U505" s="475"/>
    </row>
    <row r="506" spans="2:21" x14ac:dyDescent="0.25">
      <c r="B506" s="375"/>
      <c r="C506" s="351"/>
      <c r="D506" s="376" t="s">
        <v>63</v>
      </c>
      <c r="E506" s="134" t="str">
        <f>HLOOKUP(Deckblatt!$C$12,Language!$C$1:$D$730,650,FALSE)</f>
        <v>Energiemonitoring</v>
      </c>
      <c r="F506" s="363"/>
      <c r="G506" s="356"/>
      <c r="H506" s="21">
        <v>15</v>
      </c>
      <c r="I506" s="379"/>
      <c r="J506" s="340"/>
      <c r="K506" s="341"/>
      <c r="L506" s="341"/>
      <c r="M506" s="341"/>
      <c r="N506" s="342"/>
      <c r="P506" s="18">
        <f t="shared" si="7"/>
        <v>0</v>
      </c>
      <c r="Q506" s="338"/>
      <c r="R506" s="344"/>
      <c r="S506" s="474"/>
      <c r="T506" s="344"/>
      <c r="U506" s="475"/>
    </row>
    <row r="507" spans="2:21" ht="39.6" x14ac:dyDescent="0.25">
      <c r="B507" s="375"/>
      <c r="C507" s="351"/>
      <c r="D507" s="376"/>
      <c r="E507" s="134" t="str">
        <f>HLOOKUP(Deckblatt!$C$12,Language!$C$1:$D$730,651,FALSE)</f>
        <v xml:space="preserve">Es gibt eine Überprüfung der energetischen Qualität der Gebäude während der Planung, Bauausführung und nach Fertigstellung.
</v>
      </c>
      <c r="F507" s="363"/>
      <c r="G507" s="69"/>
      <c r="H507" s="21">
        <v>5</v>
      </c>
      <c r="I507" s="379"/>
      <c r="J507" s="340"/>
      <c r="K507" s="341"/>
      <c r="L507" s="341"/>
      <c r="M507" s="341"/>
      <c r="N507" s="342"/>
      <c r="P507" s="18">
        <f t="shared" si="7"/>
        <v>0</v>
      </c>
      <c r="Q507" s="338"/>
      <c r="R507" s="344"/>
      <c r="S507" s="474"/>
      <c r="T507" s="344"/>
      <c r="U507" s="475"/>
    </row>
    <row r="508" spans="2:21" ht="39.6" x14ac:dyDescent="0.25">
      <c r="B508" s="375"/>
      <c r="C508" s="351"/>
      <c r="D508" s="376"/>
      <c r="E508" s="134" t="str">
        <f>HLOOKUP(Deckblatt!$C$12,Language!$C$1:$D$730,652,FALSE)</f>
        <v xml:space="preserve">Es gibt ein Energie-Monitoring für Wärme auf Quartiersebene, an dem alle Gebäudenutzer teilnehmen können.
</v>
      </c>
      <c r="F508" s="363"/>
      <c r="G508" s="69"/>
      <c r="H508" s="18">
        <v>5</v>
      </c>
      <c r="I508" s="379"/>
      <c r="J508" s="340"/>
      <c r="K508" s="341"/>
      <c r="L508" s="341"/>
      <c r="M508" s="341"/>
      <c r="N508" s="342"/>
      <c r="P508" s="18">
        <f t="shared" si="7"/>
        <v>0</v>
      </c>
      <c r="Q508" s="338"/>
      <c r="R508" s="344"/>
      <c r="S508" s="474"/>
      <c r="T508" s="344"/>
      <c r="U508" s="475"/>
    </row>
    <row r="509" spans="2:21" ht="39.6" x14ac:dyDescent="0.25">
      <c r="B509" s="375"/>
      <c r="C509" s="351"/>
      <c r="D509" s="376"/>
      <c r="E509" s="134" t="str">
        <f>HLOOKUP(Deckblatt!$C$12,Language!$C$1:$D$730,653,FALSE)</f>
        <v xml:space="preserve">Es gibt ein Energie-Monitoring für Strom auf Quartiersebene, an dem alle Gebäudenutzer teilnehmen können.
</v>
      </c>
      <c r="F509" s="363"/>
      <c r="G509" s="69"/>
      <c r="H509" s="18">
        <v>5</v>
      </c>
      <c r="I509" s="379"/>
      <c r="J509" s="340"/>
      <c r="K509" s="341"/>
      <c r="L509" s="341"/>
      <c r="M509" s="341"/>
      <c r="N509" s="342"/>
      <c r="P509" s="18">
        <f t="shared" si="7"/>
        <v>0</v>
      </c>
      <c r="Q509" s="338"/>
      <c r="R509" s="344"/>
      <c r="S509" s="474"/>
      <c r="T509" s="344"/>
      <c r="U509" s="475"/>
    </row>
    <row r="510" spans="2:21" ht="13.2" customHeight="1" x14ac:dyDescent="0.25">
      <c r="B510" s="375"/>
      <c r="C510" s="351" t="s">
        <v>64</v>
      </c>
      <c r="D510" s="352" t="str">
        <f>HLOOKUP(Deckblatt!$C$12,Language!$C$1:$D$730,660,FALSE)</f>
        <v>Wassermonitoring /-management</v>
      </c>
      <c r="E510" s="353"/>
      <c r="F510" s="363"/>
      <c r="G510" s="113"/>
      <c r="H510" s="21">
        <v>5</v>
      </c>
      <c r="I510" s="379"/>
      <c r="J510" s="340"/>
      <c r="K510" s="341"/>
      <c r="L510" s="341"/>
      <c r="M510" s="341"/>
      <c r="N510" s="342"/>
      <c r="P510" s="18">
        <f t="shared" si="7"/>
        <v>0</v>
      </c>
      <c r="Q510" s="338"/>
      <c r="R510" s="344"/>
      <c r="S510" s="474"/>
      <c r="T510" s="344"/>
      <c r="U510" s="475"/>
    </row>
    <row r="511" spans="2:21" ht="39.6" x14ac:dyDescent="0.25">
      <c r="B511" s="375"/>
      <c r="C511" s="351"/>
      <c r="D511" s="160" t="s">
        <v>66</v>
      </c>
      <c r="E511" s="134" t="str">
        <f>HLOOKUP(Deckblatt!$C$12,Language!$C$1:$D$730,661,FALSE)</f>
        <v xml:space="preserve">Wassermonitoring
</v>
      </c>
      <c r="F511" s="363"/>
      <c r="G511" s="69"/>
      <c r="H511" s="18">
        <v>5</v>
      </c>
      <c r="I511" s="379"/>
      <c r="J511" s="340"/>
      <c r="K511" s="341"/>
      <c r="L511" s="341"/>
      <c r="M511" s="341"/>
      <c r="N511" s="342"/>
      <c r="P511" s="18">
        <f t="shared" si="7"/>
        <v>0</v>
      </c>
      <c r="Q511" s="338"/>
      <c r="R511" s="344"/>
      <c r="S511" s="474"/>
      <c r="T511" s="344"/>
      <c r="U511" s="475"/>
    </row>
    <row r="512" spans="2:21" ht="13.2" customHeight="1" x14ac:dyDescent="0.25">
      <c r="B512" s="375"/>
      <c r="C512" s="351" t="s">
        <v>154</v>
      </c>
      <c r="D512" s="352" t="str">
        <f>HLOOKUP(Deckblatt!$C$12,Language!$C$1:$D$730,667,FALSE)</f>
        <v>Datenmodelle</v>
      </c>
      <c r="E512" s="353"/>
      <c r="F512" s="363"/>
      <c r="G512" s="113"/>
      <c r="H512" s="21">
        <v>10</v>
      </c>
      <c r="I512" s="379"/>
      <c r="J512" s="340"/>
      <c r="K512" s="341"/>
      <c r="L512" s="341"/>
      <c r="M512" s="341"/>
      <c r="N512" s="342"/>
      <c r="P512" s="18">
        <f t="shared" si="7"/>
        <v>0</v>
      </c>
      <c r="Q512" s="338"/>
      <c r="R512" s="344"/>
      <c r="S512" s="474"/>
      <c r="T512" s="344"/>
      <c r="U512" s="475"/>
    </row>
    <row r="513" spans="1:21" ht="53.4" thickBot="1" x14ac:dyDescent="0.3">
      <c r="A513" s="131"/>
      <c r="B513" s="375"/>
      <c r="C513" s="351"/>
      <c r="D513" s="165" t="s">
        <v>156</v>
      </c>
      <c r="E513" s="134" t="str">
        <f>HLOOKUP(Deckblatt!$C$12,Language!$C$1:$D$730,668,FALSE)</f>
        <v xml:space="preserve">3-D-Datenmodelle
Es gibt eine weiterführende Zusammenarbeit auf der Basis von 3-D-Datenmodellen (GIS, CIM, BIM).
</v>
      </c>
      <c r="F513" s="363"/>
      <c r="G513" s="69"/>
      <c r="H513" s="18">
        <v>10</v>
      </c>
      <c r="I513" s="379"/>
      <c r="J513" s="340"/>
      <c r="K513" s="341"/>
      <c r="L513" s="341"/>
      <c r="M513" s="341"/>
      <c r="N513" s="342"/>
      <c r="O513" s="131"/>
      <c r="P513" s="18">
        <f t="shared" si="7"/>
        <v>0</v>
      </c>
      <c r="Q513" s="338"/>
      <c r="R513" s="344"/>
      <c r="S513" s="474"/>
      <c r="T513" s="344"/>
      <c r="U513" s="475"/>
    </row>
    <row r="514" spans="1:21" ht="13.2" customHeight="1" x14ac:dyDescent="0.25">
      <c r="B514" s="375"/>
      <c r="C514" s="369" t="s">
        <v>157</v>
      </c>
      <c r="D514" s="352" t="str">
        <f>HLOOKUP(Deckblatt!$C$12,Language!$C$1:$D$730,669,FALSE)</f>
        <v>Facility Management</v>
      </c>
      <c r="E514" s="353"/>
      <c r="F514" s="363"/>
      <c r="G514" s="174"/>
      <c r="H514" s="65">
        <v>10</v>
      </c>
      <c r="I514" s="379"/>
      <c r="J514" s="340"/>
      <c r="K514" s="341"/>
      <c r="L514" s="341"/>
      <c r="M514" s="341"/>
      <c r="N514" s="342"/>
      <c r="P514" s="128">
        <f t="shared" si="7"/>
        <v>0</v>
      </c>
      <c r="Q514" s="338"/>
      <c r="R514" s="344"/>
      <c r="S514" s="474"/>
      <c r="T514" s="344"/>
      <c r="U514" s="475"/>
    </row>
    <row r="515" spans="1:21" ht="26.4" x14ac:dyDescent="0.25">
      <c r="A515" s="131"/>
      <c r="B515" s="375"/>
      <c r="C515" s="480"/>
      <c r="D515" s="160" t="s">
        <v>159</v>
      </c>
      <c r="E515" s="134" t="str">
        <f>HLOOKUP(Deckblatt!$C$12,Language!$C$1:$D$730,670,FALSE)</f>
        <v xml:space="preserve">Umsetzung von Normen und Standards
</v>
      </c>
      <c r="F515" s="363"/>
      <c r="G515" s="69"/>
      <c r="H515" s="18">
        <v>5</v>
      </c>
      <c r="I515" s="379"/>
      <c r="J515" s="340"/>
      <c r="K515" s="341"/>
      <c r="L515" s="341"/>
      <c r="M515" s="341"/>
      <c r="N515" s="342"/>
      <c r="O515" s="131"/>
      <c r="P515" s="18">
        <f t="shared" si="7"/>
        <v>0</v>
      </c>
      <c r="Q515" s="338"/>
      <c r="R515" s="344"/>
      <c r="S515" s="474"/>
      <c r="T515" s="344"/>
      <c r="U515" s="475"/>
    </row>
    <row r="516" spans="1:21" ht="66" x14ac:dyDescent="0.25">
      <c r="A516" s="131"/>
      <c r="B516" s="375"/>
      <c r="C516" s="479"/>
      <c r="D516" s="233" t="s">
        <v>160</v>
      </c>
      <c r="E516" s="134" t="str">
        <f>HLOOKUP(Deckblatt!$C$12,Language!$C$1:$D$730,671,FALSE)</f>
        <v xml:space="preserve">Facilitymanagement nach DIN
Es gibt im Unternehmen ein Facilitymanagement gemäß der aktuellen Fassung der DIN EN 15221, GEFMA Richtlinie 100, VDI 6009 oder vergleichbarer Normen.
</v>
      </c>
      <c r="F516" s="363"/>
      <c r="G516" s="175"/>
      <c r="H516" s="128">
        <v>10</v>
      </c>
      <c r="I516" s="379"/>
      <c r="J516" s="340"/>
      <c r="K516" s="341"/>
      <c r="L516" s="341"/>
      <c r="M516" s="341"/>
      <c r="N516" s="342"/>
      <c r="O516" s="131"/>
      <c r="P516" s="128">
        <f t="shared" si="7"/>
        <v>0</v>
      </c>
      <c r="Q516" s="338"/>
      <c r="R516" s="344"/>
      <c r="S516" s="474"/>
      <c r="T516" s="344"/>
      <c r="U516" s="475"/>
    </row>
    <row r="517" spans="1:21" ht="13.2" customHeight="1" x14ac:dyDescent="0.25">
      <c r="B517" s="375"/>
      <c r="C517" s="392" t="s">
        <v>282</v>
      </c>
      <c r="D517" s="352" t="str">
        <f>HLOOKUP(Deckblatt!$C$12,Language!$C$1:$D$730,672,FALSE)</f>
        <v>Geordnete Inbetriebnahme</v>
      </c>
      <c r="E517" s="353"/>
      <c r="F517" s="363"/>
      <c r="G517" s="174"/>
      <c r="H517" s="65">
        <v>25</v>
      </c>
      <c r="I517" s="379"/>
      <c r="J517" s="340"/>
      <c r="K517" s="341"/>
      <c r="L517" s="341"/>
      <c r="M517" s="341"/>
      <c r="N517" s="342"/>
      <c r="P517" s="128">
        <f t="shared" si="7"/>
        <v>0</v>
      </c>
      <c r="Q517" s="338"/>
      <c r="R517" s="344"/>
      <c r="S517" s="474"/>
      <c r="T517" s="344"/>
      <c r="U517" s="475"/>
    </row>
    <row r="518" spans="1:21" ht="79.8" thickBot="1" x14ac:dyDescent="0.3">
      <c r="A518" s="131"/>
      <c r="B518" s="377"/>
      <c r="C518" s="389"/>
      <c r="D518" s="121" t="s">
        <v>851</v>
      </c>
      <c r="E518" s="242" t="str">
        <f>HLOOKUP(Deckblatt!$C$12,Language!$C$1:$D$730,673,FALSE)</f>
        <v xml:space="preserve">Qualitätsstufe 1         max.5
Qualitätsstufe 2         max.15
Qualitätsstufe 3         max.25
</v>
      </c>
      <c r="F518" s="378"/>
      <c r="G518" s="70"/>
      <c r="H518" s="59">
        <v>25</v>
      </c>
      <c r="I518" s="380"/>
      <c r="J518" s="381"/>
      <c r="K518" s="382"/>
      <c r="L518" s="382"/>
      <c r="M518" s="382"/>
      <c r="N518" s="383"/>
      <c r="O518" s="131"/>
      <c r="P518" s="18">
        <f t="shared" si="7"/>
        <v>0</v>
      </c>
      <c r="Q518" s="339"/>
      <c r="R518" s="365"/>
      <c r="S518" s="474"/>
      <c r="T518" s="365"/>
      <c r="U518" s="476"/>
    </row>
  </sheetData>
  <mergeCells count="1056">
    <mergeCell ref="J134:N134"/>
    <mergeCell ref="F130:F134"/>
    <mergeCell ref="B130:B134"/>
    <mergeCell ref="D134:E134"/>
    <mergeCell ref="Q129:Q134"/>
    <mergeCell ref="R129:R134"/>
    <mergeCell ref="S90:S134"/>
    <mergeCell ref="T90:T134"/>
    <mergeCell ref="B8:N8"/>
    <mergeCell ref="Q290:Q309"/>
    <mergeCell ref="R290:R309"/>
    <mergeCell ref="B291:B309"/>
    <mergeCell ref="I291:I309"/>
    <mergeCell ref="J307:N307"/>
    <mergeCell ref="J308:N308"/>
    <mergeCell ref="J309:N309"/>
    <mergeCell ref="J314:N314"/>
    <mergeCell ref="S290:S391"/>
    <mergeCell ref="T290:T391"/>
    <mergeCell ref="C291:C296"/>
    <mergeCell ref="D291:E291"/>
    <mergeCell ref="R310:R334"/>
    <mergeCell ref="B311:B334"/>
    <mergeCell ref="J312:N312"/>
    <mergeCell ref="J313:N313"/>
    <mergeCell ref="J304:N304"/>
    <mergeCell ref="C305:C306"/>
    <mergeCell ref="D305:E305"/>
    <mergeCell ref="J305:N305"/>
    <mergeCell ref="J306:N306"/>
    <mergeCell ref="C310:E310"/>
    <mergeCell ref="G310:G311"/>
    <mergeCell ref="D307:E307"/>
    <mergeCell ref="D308:D309"/>
    <mergeCell ref="C307:C309"/>
    <mergeCell ref="F291:F309"/>
    <mergeCell ref="C512:C513"/>
    <mergeCell ref="D512:E512"/>
    <mergeCell ref="J512:N512"/>
    <mergeCell ref="J513:N513"/>
    <mergeCell ref="C514:C516"/>
    <mergeCell ref="D514:E514"/>
    <mergeCell ref="J514:N514"/>
    <mergeCell ref="J515:N515"/>
    <mergeCell ref="J516:N516"/>
    <mergeCell ref="D506:D509"/>
    <mergeCell ref="J506:N506"/>
    <mergeCell ref="J507:N507"/>
    <mergeCell ref="J508:N508"/>
    <mergeCell ref="J509:N509"/>
    <mergeCell ref="C510:C511"/>
    <mergeCell ref="D510:E510"/>
    <mergeCell ref="J510:N510"/>
    <mergeCell ref="J511:N511"/>
    <mergeCell ref="C476:C477"/>
    <mergeCell ref="D476:E476"/>
    <mergeCell ref="J476:N476"/>
    <mergeCell ref="J477:N477"/>
    <mergeCell ref="C478:C479"/>
    <mergeCell ref="D478:E478"/>
    <mergeCell ref="J496:N496"/>
    <mergeCell ref="C497:C499"/>
    <mergeCell ref="D497:E497"/>
    <mergeCell ref="J497:N497"/>
    <mergeCell ref="J498:N498"/>
    <mergeCell ref="J499:N499"/>
    <mergeCell ref="J490:N490"/>
    <mergeCell ref="J491:N491"/>
    <mergeCell ref="C492:C493"/>
    <mergeCell ref="D492:E492"/>
    <mergeCell ref="J492:N492"/>
    <mergeCell ref="J493:N493"/>
    <mergeCell ref="R500:R518"/>
    <mergeCell ref="B501:B518"/>
    <mergeCell ref="C501:C504"/>
    <mergeCell ref="D501:E501"/>
    <mergeCell ref="F501:F518"/>
    <mergeCell ref="I501:I518"/>
    <mergeCell ref="J501:N501"/>
    <mergeCell ref="J502:N502"/>
    <mergeCell ref="J503:N503"/>
    <mergeCell ref="J504:N504"/>
    <mergeCell ref="C500:E500"/>
    <mergeCell ref="G500:G501"/>
    <mergeCell ref="J500:N500"/>
    <mergeCell ref="Q500:Q518"/>
    <mergeCell ref="C505:C509"/>
    <mergeCell ref="D505:E505"/>
    <mergeCell ref="G505:G506"/>
    <mergeCell ref="J505:N505"/>
    <mergeCell ref="C517:C518"/>
    <mergeCell ref="D517:E517"/>
    <mergeCell ref="J517:N517"/>
    <mergeCell ref="J518:N518"/>
    <mergeCell ref="D474:E474"/>
    <mergeCell ref="J474:N474"/>
    <mergeCell ref="J475:N475"/>
    <mergeCell ref="R485:R499"/>
    <mergeCell ref="Q485:Q499"/>
    <mergeCell ref="J468:N468"/>
    <mergeCell ref="J469:N469"/>
    <mergeCell ref="C470:C471"/>
    <mergeCell ref="D470:E470"/>
    <mergeCell ref="J470:N470"/>
    <mergeCell ref="J471:N471"/>
    <mergeCell ref="R463:R484"/>
    <mergeCell ref="B486:B499"/>
    <mergeCell ref="C486:C488"/>
    <mergeCell ref="D486:E486"/>
    <mergeCell ref="F486:F499"/>
    <mergeCell ref="I486:I499"/>
    <mergeCell ref="J486:N486"/>
    <mergeCell ref="J487:N487"/>
    <mergeCell ref="J488:N488"/>
    <mergeCell ref="C484:D484"/>
    <mergeCell ref="J484:N484"/>
    <mergeCell ref="C485:E485"/>
    <mergeCell ref="G485:G486"/>
    <mergeCell ref="J485:N485"/>
    <mergeCell ref="C489:C491"/>
    <mergeCell ref="D489:E489"/>
    <mergeCell ref="J489:N489"/>
    <mergeCell ref="C494:C496"/>
    <mergeCell ref="D494:E494"/>
    <mergeCell ref="J494:N494"/>
    <mergeCell ref="J495:N495"/>
    <mergeCell ref="B464:B484"/>
    <mergeCell ref="C464:C465"/>
    <mergeCell ref="D464:E464"/>
    <mergeCell ref="F464:F484"/>
    <mergeCell ref="I464:I484"/>
    <mergeCell ref="J464:N464"/>
    <mergeCell ref="J465:N465"/>
    <mergeCell ref="C466:C467"/>
    <mergeCell ref="D466:E466"/>
    <mergeCell ref="C463:E463"/>
    <mergeCell ref="G463:G464"/>
    <mergeCell ref="J463:N463"/>
    <mergeCell ref="Q463:Q484"/>
    <mergeCell ref="J466:N466"/>
    <mergeCell ref="J467:N467"/>
    <mergeCell ref="C468:C469"/>
    <mergeCell ref="D468:E468"/>
    <mergeCell ref="C480:C481"/>
    <mergeCell ref="D480:E480"/>
    <mergeCell ref="J480:N480"/>
    <mergeCell ref="J481:N481"/>
    <mergeCell ref="C482:C483"/>
    <mergeCell ref="D482:E482"/>
    <mergeCell ref="J482:N482"/>
    <mergeCell ref="J483:N483"/>
    <mergeCell ref="J478:N478"/>
    <mergeCell ref="J479:N479"/>
    <mergeCell ref="C472:C473"/>
    <mergeCell ref="D472:E472"/>
    <mergeCell ref="J472:N472"/>
    <mergeCell ref="J473:N473"/>
    <mergeCell ref="C474:C475"/>
    <mergeCell ref="J459:N459"/>
    <mergeCell ref="C460:C462"/>
    <mergeCell ref="D460:E460"/>
    <mergeCell ref="J460:N460"/>
    <mergeCell ref="J461:N461"/>
    <mergeCell ref="J462:N462"/>
    <mergeCell ref="Q454:Q462"/>
    <mergeCell ref="R454:R462"/>
    <mergeCell ref="B455:B462"/>
    <mergeCell ref="C455:C459"/>
    <mergeCell ref="D455:E455"/>
    <mergeCell ref="F455:F462"/>
    <mergeCell ref="I455:I462"/>
    <mergeCell ref="J455:N455"/>
    <mergeCell ref="J456:N456"/>
    <mergeCell ref="J457:N457"/>
    <mergeCell ref="J449:N449"/>
    <mergeCell ref="J450:N450"/>
    <mergeCell ref="J451:N451"/>
    <mergeCell ref="J452:N452"/>
    <mergeCell ref="J453:N453"/>
    <mergeCell ref="C454:E454"/>
    <mergeCell ref="J454:N454"/>
    <mergeCell ref="J458:N458"/>
    <mergeCell ref="Q431:Q453"/>
    <mergeCell ref="R431:R453"/>
    <mergeCell ref="B432:B453"/>
    <mergeCell ref="C432:C433"/>
    <mergeCell ref="D432:E432"/>
    <mergeCell ref="F432:F453"/>
    <mergeCell ref="I432:I453"/>
    <mergeCell ref="J432:N432"/>
    <mergeCell ref="J445:N445"/>
    <mergeCell ref="C446:C447"/>
    <mergeCell ref="D446:E446"/>
    <mergeCell ref="J446:N446"/>
    <mergeCell ref="J447:N447"/>
    <mergeCell ref="C448:C453"/>
    <mergeCell ref="D448:E448"/>
    <mergeCell ref="G448:G449"/>
    <mergeCell ref="J448:N448"/>
    <mergeCell ref="D449:D453"/>
    <mergeCell ref="C439:C445"/>
    <mergeCell ref="D439:E439"/>
    <mergeCell ref="G439:G440"/>
    <mergeCell ref="J439:N439"/>
    <mergeCell ref="D440:D445"/>
    <mergeCell ref="J440:N440"/>
    <mergeCell ref="J441:N441"/>
    <mergeCell ref="J442:N442"/>
    <mergeCell ref="J443:N443"/>
    <mergeCell ref="J444:N444"/>
    <mergeCell ref="C431:E431"/>
    <mergeCell ref="G431:G432"/>
    <mergeCell ref="J431:N431"/>
    <mergeCell ref="D434:E434"/>
    <mergeCell ref="C425:C428"/>
    <mergeCell ref="D425:E425"/>
    <mergeCell ref="J425:N425"/>
    <mergeCell ref="J426:N426"/>
    <mergeCell ref="J427:N427"/>
    <mergeCell ref="J428:N428"/>
    <mergeCell ref="J418:N418"/>
    <mergeCell ref="J419:N419"/>
    <mergeCell ref="J420:N420"/>
    <mergeCell ref="C421:C424"/>
    <mergeCell ref="D421:E421"/>
    <mergeCell ref="J421:N421"/>
    <mergeCell ref="J422:N422"/>
    <mergeCell ref="J423:N423"/>
    <mergeCell ref="J424:N424"/>
    <mergeCell ref="G434:G435"/>
    <mergeCell ref="J434:N434"/>
    <mergeCell ref="D435:D438"/>
    <mergeCell ref="J435:N435"/>
    <mergeCell ref="J436:N436"/>
    <mergeCell ref="J437:N437"/>
    <mergeCell ref="J438:N438"/>
    <mergeCell ref="J433:N433"/>
    <mergeCell ref="C434:C438"/>
    <mergeCell ref="J416:N416"/>
    <mergeCell ref="C417:C420"/>
    <mergeCell ref="D417:E417"/>
    <mergeCell ref="J417:N417"/>
    <mergeCell ref="C404:C411"/>
    <mergeCell ref="D404:E404"/>
    <mergeCell ref="J404:N404"/>
    <mergeCell ref="J405:N405"/>
    <mergeCell ref="J406:N406"/>
    <mergeCell ref="D407:D411"/>
    <mergeCell ref="J407:N407"/>
    <mergeCell ref="J408:N408"/>
    <mergeCell ref="J409:N409"/>
    <mergeCell ref="J410:N410"/>
    <mergeCell ref="C429:C430"/>
    <mergeCell ref="D429:E429"/>
    <mergeCell ref="J429:N429"/>
    <mergeCell ref="J430:N430"/>
    <mergeCell ref="R392:R411"/>
    <mergeCell ref="S392:S518"/>
    <mergeCell ref="T392:T518"/>
    <mergeCell ref="B393:B411"/>
    <mergeCell ref="C393:C396"/>
    <mergeCell ref="D393:E393"/>
    <mergeCell ref="F393:F411"/>
    <mergeCell ref="I393:I411"/>
    <mergeCell ref="J393:N393"/>
    <mergeCell ref="D394:D396"/>
    <mergeCell ref="C392:E392"/>
    <mergeCell ref="G392:G394"/>
    <mergeCell ref="J392:N392"/>
    <mergeCell ref="Q392:Q411"/>
    <mergeCell ref="J394:N394"/>
    <mergeCell ref="J395:N395"/>
    <mergeCell ref="J396:N396"/>
    <mergeCell ref="C397:C403"/>
    <mergeCell ref="Q412:Q430"/>
    <mergeCell ref="R412:R430"/>
    <mergeCell ref="B413:B430"/>
    <mergeCell ref="C413:C416"/>
    <mergeCell ref="D413:E413"/>
    <mergeCell ref="F413:F430"/>
    <mergeCell ref="I413:I430"/>
    <mergeCell ref="J413:N413"/>
    <mergeCell ref="J414:N414"/>
    <mergeCell ref="J415:N415"/>
    <mergeCell ref="J411:N411"/>
    <mergeCell ref="C412:E412"/>
    <mergeCell ref="G412:G413"/>
    <mergeCell ref="J412:N412"/>
    <mergeCell ref="J387:N387"/>
    <mergeCell ref="C380:C381"/>
    <mergeCell ref="D380:E380"/>
    <mergeCell ref="J380:N380"/>
    <mergeCell ref="J381:N381"/>
    <mergeCell ref="C382:C383"/>
    <mergeCell ref="D382:E382"/>
    <mergeCell ref="J382:N382"/>
    <mergeCell ref="D397:E397"/>
    <mergeCell ref="J397:N397"/>
    <mergeCell ref="J398:N398"/>
    <mergeCell ref="J399:N399"/>
    <mergeCell ref="D400:D403"/>
    <mergeCell ref="J400:N400"/>
    <mergeCell ref="J401:N401"/>
    <mergeCell ref="J402:N402"/>
    <mergeCell ref="J403:N403"/>
    <mergeCell ref="B376:B391"/>
    <mergeCell ref="C376:C377"/>
    <mergeCell ref="D376:E376"/>
    <mergeCell ref="F376:F391"/>
    <mergeCell ref="I376:I391"/>
    <mergeCell ref="C378:C379"/>
    <mergeCell ref="D378:E378"/>
    <mergeCell ref="C388:C391"/>
    <mergeCell ref="C375:E375"/>
    <mergeCell ref="G375:G376"/>
    <mergeCell ref="J375:N375"/>
    <mergeCell ref="Q375:Q391"/>
    <mergeCell ref="R375:R391"/>
    <mergeCell ref="J376:N376"/>
    <mergeCell ref="J377:N377"/>
    <mergeCell ref="J378:N378"/>
    <mergeCell ref="J379:N379"/>
    <mergeCell ref="D388:E388"/>
    <mergeCell ref="G388:G389"/>
    <mergeCell ref="J388:N388"/>
    <mergeCell ref="D389:D391"/>
    <mergeCell ref="J389:N389"/>
    <mergeCell ref="J390:N390"/>
    <mergeCell ref="J391:N391"/>
    <mergeCell ref="J383:N383"/>
    <mergeCell ref="C384:C385"/>
    <mergeCell ref="D384:E384"/>
    <mergeCell ref="J384:N384"/>
    <mergeCell ref="J385:N385"/>
    <mergeCell ref="C386:C387"/>
    <mergeCell ref="D386:E386"/>
    <mergeCell ref="J386:N386"/>
    <mergeCell ref="J359:N359"/>
    <mergeCell ref="D351:E351"/>
    <mergeCell ref="J351:N351"/>
    <mergeCell ref="J352:N352"/>
    <mergeCell ref="J353:N353"/>
    <mergeCell ref="C354:C357"/>
    <mergeCell ref="D354:E354"/>
    <mergeCell ref="G354:G355"/>
    <mergeCell ref="J354:N354"/>
    <mergeCell ref="D355:D356"/>
    <mergeCell ref="J355:N355"/>
    <mergeCell ref="C369:C371"/>
    <mergeCell ref="D369:E369"/>
    <mergeCell ref="J369:N369"/>
    <mergeCell ref="J370:N370"/>
    <mergeCell ref="J371:N371"/>
    <mergeCell ref="C372:C374"/>
    <mergeCell ref="D372:E372"/>
    <mergeCell ref="J372:N372"/>
    <mergeCell ref="J373:N373"/>
    <mergeCell ref="J374:N374"/>
    <mergeCell ref="C365:C366"/>
    <mergeCell ref="D365:E365"/>
    <mergeCell ref="J365:N365"/>
    <mergeCell ref="J366:N366"/>
    <mergeCell ref="C367:C368"/>
    <mergeCell ref="D367:E367"/>
    <mergeCell ref="J367:N367"/>
    <mergeCell ref="J368:N368"/>
    <mergeCell ref="Q348:Q374"/>
    <mergeCell ref="R348:R374"/>
    <mergeCell ref="B349:B374"/>
    <mergeCell ref="C349:C350"/>
    <mergeCell ref="D349:E349"/>
    <mergeCell ref="F349:F374"/>
    <mergeCell ref="I349:I374"/>
    <mergeCell ref="J349:N349"/>
    <mergeCell ref="J350:N350"/>
    <mergeCell ref="C351:C353"/>
    <mergeCell ref="C345:C347"/>
    <mergeCell ref="D345:E345"/>
    <mergeCell ref="J345:N345"/>
    <mergeCell ref="J346:N346"/>
    <mergeCell ref="J347:N347"/>
    <mergeCell ref="C348:E348"/>
    <mergeCell ref="G348:G349"/>
    <mergeCell ref="J348:N348"/>
    <mergeCell ref="C360:C362"/>
    <mergeCell ref="D360:E360"/>
    <mergeCell ref="J360:N360"/>
    <mergeCell ref="J361:N361"/>
    <mergeCell ref="J362:N362"/>
    <mergeCell ref="C363:C364"/>
    <mergeCell ref="D363:E363"/>
    <mergeCell ref="J363:N363"/>
    <mergeCell ref="J364:N364"/>
    <mergeCell ref="J356:N356"/>
    <mergeCell ref="J357:N357"/>
    <mergeCell ref="C358:C359"/>
    <mergeCell ref="D358:E358"/>
    <mergeCell ref="J358:N358"/>
    <mergeCell ref="J341:N341"/>
    <mergeCell ref="J342:N342"/>
    <mergeCell ref="C343:C344"/>
    <mergeCell ref="D343:E343"/>
    <mergeCell ref="J343:N343"/>
    <mergeCell ref="J344:N344"/>
    <mergeCell ref="D338:E338"/>
    <mergeCell ref="G338:G339"/>
    <mergeCell ref="J338:N338"/>
    <mergeCell ref="D339:D340"/>
    <mergeCell ref="J339:N339"/>
    <mergeCell ref="J340:N340"/>
    <mergeCell ref="Q335:Q347"/>
    <mergeCell ref="R335:R347"/>
    <mergeCell ref="B336:B347"/>
    <mergeCell ref="C336:C337"/>
    <mergeCell ref="D336:E336"/>
    <mergeCell ref="F336:F347"/>
    <mergeCell ref="I336:I347"/>
    <mergeCell ref="J336:N336"/>
    <mergeCell ref="J337:N337"/>
    <mergeCell ref="C338:C342"/>
    <mergeCell ref="Q310:Q334"/>
    <mergeCell ref="C332:C334"/>
    <mergeCell ref="D332:E332"/>
    <mergeCell ref="J332:N332"/>
    <mergeCell ref="J333:N333"/>
    <mergeCell ref="J334:N334"/>
    <mergeCell ref="C335:E335"/>
    <mergeCell ref="G335:G336"/>
    <mergeCell ref="J335:N335"/>
    <mergeCell ref="C325:C331"/>
    <mergeCell ref="D325:E325"/>
    <mergeCell ref="J325:N325"/>
    <mergeCell ref="J326:N326"/>
    <mergeCell ref="D327:D329"/>
    <mergeCell ref="J327:N327"/>
    <mergeCell ref="J328:N328"/>
    <mergeCell ref="J329:N329"/>
    <mergeCell ref="J330:N330"/>
    <mergeCell ref="J331:N331"/>
    <mergeCell ref="C311:C314"/>
    <mergeCell ref="D311:E311"/>
    <mergeCell ref="F311:F334"/>
    <mergeCell ref="I311:I334"/>
    <mergeCell ref="J311:N311"/>
    <mergeCell ref="J321:N321"/>
    <mergeCell ref="J322:N322"/>
    <mergeCell ref="C323:C324"/>
    <mergeCell ref="D323:E323"/>
    <mergeCell ref="J323:N323"/>
    <mergeCell ref="J324:N324"/>
    <mergeCell ref="C315:C316"/>
    <mergeCell ref="D315:E315"/>
    <mergeCell ref="C290:E290"/>
    <mergeCell ref="G290:G291"/>
    <mergeCell ref="J290:N290"/>
    <mergeCell ref="J291:N291"/>
    <mergeCell ref="J292:N292"/>
    <mergeCell ref="J315:N315"/>
    <mergeCell ref="J316:N316"/>
    <mergeCell ref="C317:C322"/>
    <mergeCell ref="D317:E317"/>
    <mergeCell ref="J317:N317"/>
    <mergeCell ref="J318:N318"/>
    <mergeCell ref="J319:N319"/>
    <mergeCell ref="J320:N320"/>
    <mergeCell ref="C299:C302"/>
    <mergeCell ref="D299:E299"/>
    <mergeCell ref="J299:N299"/>
    <mergeCell ref="J300:N300"/>
    <mergeCell ref="D301:D302"/>
    <mergeCell ref="J301:N301"/>
    <mergeCell ref="J302:N302"/>
    <mergeCell ref="J293:N293"/>
    <mergeCell ref="J294:N294"/>
    <mergeCell ref="J295:N295"/>
    <mergeCell ref="J296:N296"/>
    <mergeCell ref="C297:C298"/>
    <mergeCell ref="D297:E297"/>
    <mergeCell ref="J297:N297"/>
    <mergeCell ref="J298:N298"/>
    <mergeCell ref="J310:N310"/>
    <mergeCell ref="C303:C304"/>
    <mergeCell ref="D303:E303"/>
    <mergeCell ref="J303:N303"/>
    <mergeCell ref="J270:N270"/>
    <mergeCell ref="R275:R289"/>
    <mergeCell ref="B276:B289"/>
    <mergeCell ref="C276:C280"/>
    <mergeCell ref="D276:E276"/>
    <mergeCell ref="F276:F289"/>
    <mergeCell ref="I276:I289"/>
    <mergeCell ref="J276:N276"/>
    <mergeCell ref="J277:N277"/>
    <mergeCell ref="J278:N278"/>
    <mergeCell ref="J279:N279"/>
    <mergeCell ref="C275:E275"/>
    <mergeCell ref="G275:G276"/>
    <mergeCell ref="J275:N275"/>
    <mergeCell ref="Q275:Q289"/>
    <mergeCell ref="J280:N280"/>
    <mergeCell ref="C281:C285"/>
    <mergeCell ref="D281:E281"/>
    <mergeCell ref="J281:N281"/>
    <mergeCell ref="C288:C289"/>
    <mergeCell ref="D288:E288"/>
    <mergeCell ref="J288:N288"/>
    <mergeCell ref="J289:N289"/>
    <mergeCell ref="J282:N282"/>
    <mergeCell ref="J283:N283"/>
    <mergeCell ref="J284:N284"/>
    <mergeCell ref="J285:N285"/>
    <mergeCell ref="C286:C287"/>
    <mergeCell ref="D286:E286"/>
    <mergeCell ref="J286:N286"/>
    <mergeCell ref="J287:N287"/>
    <mergeCell ref="D249:D251"/>
    <mergeCell ref="J249:N249"/>
    <mergeCell ref="J250:N250"/>
    <mergeCell ref="J251:N251"/>
    <mergeCell ref="D252:D254"/>
    <mergeCell ref="J252:N252"/>
    <mergeCell ref="J253:N253"/>
    <mergeCell ref="J254:N254"/>
    <mergeCell ref="C271:C274"/>
    <mergeCell ref="D271:E271"/>
    <mergeCell ref="J271:N271"/>
    <mergeCell ref="D272:D274"/>
    <mergeCell ref="J272:N272"/>
    <mergeCell ref="J273:N273"/>
    <mergeCell ref="J274:N274"/>
    <mergeCell ref="R264:R274"/>
    <mergeCell ref="B265:B274"/>
    <mergeCell ref="C265:C267"/>
    <mergeCell ref="D265:E265"/>
    <mergeCell ref="F265:F274"/>
    <mergeCell ref="I265:I274"/>
    <mergeCell ref="J265:N265"/>
    <mergeCell ref="J266:N266"/>
    <mergeCell ref="J267:N267"/>
    <mergeCell ref="C268:C270"/>
    <mergeCell ref="C264:E264"/>
    <mergeCell ref="G264:G265"/>
    <mergeCell ref="J264:N264"/>
    <mergeCell ref="Q264:Q274"/>
    <mergeCell ref="D268:E268"/>
    <mergeCell ref="J268:N268"/>
    <mergeCell ref="J269:N269"/>
    <mergeCell ref="R241:R263"/>
    <mergeCell ref="B242:B263"/>
    <mergeCell ref="C242:C254"/>
    <mergeCell ref="D242:E242"/>
    <mergeCell ref="F242:F263"/>
    <mergeCell ref="I242:I263"/>
    <mergeCell ref="J242:N242"/>
    <mergeCell ref="D243:D245"/>
    <mergeCell ref="J243:N243"/>
    <mergeCell ref="J244:N244"/>
    <mergeCell ref="C241:E241"/>
    <mergeCell ref="G241:G243"/>
    <mergeCell ref="J241:N241"/>
    <mergeCell ref="Q241:Q263"/>
    <mergeCell ref="J245:N245"/>
    <mergeCell ref="D246:D248"/>
    <mergeCell ref="J246:N246"/>
    <mergeCell ref="J247:N247"/>
    <mergeCell ref="C260:C263"/>
    <mergeCell ref="D260:E260"/>
    <mergeCell ref="J260:N260"/>
    <mergeCell ref="J261:N261"/>
    <mergeCell ref="J262:N262"/>
    <mergeCell ref="J263:N263"/>
    <mergeCell ref="C255:C259"/>
    <mergeCell ref="D255:E255"/>
    <mergeCell ref="J255:N255"/>
    <mergeCell ref="J256:N256"/>
    <mergeCell ref="J257:N257"/>
    <mergeCell ref="J258:N258"/>
    <mergeCell ref="J259:N259"/>
    <mergeCell ref="J248:N248"/>
    <mergeCell ref="J237:N237"/>
    <mergeCell ref="J238:N238"/>
    <mergeCell ref="C239:C240"/>
    <mergeCell ref="D239:E239"/>
    <mergeCell ref="J239:N239"/>
    <mergeCell ref="J240:N240"/>
    <mergeCell ref="J231:N231"/>
    <mergeCell ref="J232:N232"/>
    <mergeCell ref="J233:N233"/>
    <mergeCell ref="J234:N234"/>
    <mergeCell ref="C235:C238"/>
    <mergeCell ref="D235:E235"/>
    <mergeCell ref="G235:G236"/>
    <mergeCell ref="J235:N235"/>
    <mergeCell ref="D236:D238"/>
    <mergeCell ref="J236:N236"/>
    <mergeCell ref="J225:N225"/>
    <mergeCell ref="J226:N226"/>
    <mergeCell ref="J227:N227"/>
    <mergeCell ref="J228:N228"/>
    <mergeCell ref="J229:N229"/>
    <mergeCell ref="C230:C234"/>
    <mergeCell ref="D230:E230"/>
    <mergeCell ref="G230:G231"/>
    <mergeCell ref="J230:N230"/>
    <mergeCell ref="D231:D234"/>
    <mergeCell ref="J219:N219"/>
    <mergeCell ref="J220:N220"/>
    <mergeCell ref="J221:N221"/>
    <mergeCell ref="J222:N222"/>
    <mergeCell ref="C223:C229"/>
    <mergeCell ref="D223:E223"/>
    <mergeCell ref="G223:G224"/>
    <mergeCell ref="J223:N223"/>
    <mergeCell ref="D224:D229"/>
    <mergeCell ref="J224:N224"/>
    <mergeCell ref="C213:C222"/>
    <mergeCell ref="D213:E213"/>
    <mergeCell ref="G213:G214"/>
    <mergeCell ref="J213:N213"/>
    <mergeCell ref="D214:D222"/>
    <mergeCell ref="J214:N214"/>
    <mergeCell ref="J215:N215"/>
    <mergeCell ref="J216:N216"/>
    <mergeCell ref="J217:N217"/>
    <mergeCell ref="J218:N218"/>
    <mergeCell ref="J208:N208"/>
    <mergeCell ref="J209:N209"/>
    <mergeCell ref="J210:N210"/>
    <mergeCell ref="J211:N211"/>
    <mergeCell ref="J212:N212"/>
    <mergeCell ref="J201:N201"/>
    <mergeCell ref="J202:N202"/>
    <mergeCell ref="J203:N203"/>
    <mergeCell ref="J204:N204"/>
    <mergeCell ref="J205:N205"/>
    <mergeCell ref="J206:N206"/>
    <mergeCell ref="J195:N195"/>
    <mergeCell ref="J196:N196"/>
    <mergeCell ref="J197:N197"/>
    <mergeCell ref="J198:N198"/>
    <mergeCell ref="C199:C211"/>
    <mergeCell ref="D199:E199"/>
    <mergeCell ref="G199:G200"/>
    <mergeCell ref="J199:N199"/>
    <mergeCell ref="D200:D211"/>
    <mergeCell ref="J200:N200"/>
    <mergeCell ref="J186:N186"/>
    <mergeCell ref="J187:N187"/>
    <mergeCell ref="J188:N188"/>
    <mergeCell ref="J189:N189"/>
    <mergeCell ref="C179:C181"/>
    <mergeCell ref="D179:E179"/>
    <mergeCell ref="J179:N179"/>
    <mergeCell ref="J180:N180"/>
    <mergeCell ref="J181:N181"/>
    <mergeCell ref="C182:C183"/>
    <mergeCell ref="D182:E182"/>
    <mergeCell ref="J182:N182"/>
    <mergeCell ref="J183:N183"/>
    <mergeCell ref="R190:R240"/>
    <mergeCell ref="B191:B240"/>
    <mergeCell ref="C191:C192"/>
    <mergeCell ref="D191:E191"/>
    <mergeCell ref="F191:F240"/>
    <mergeCell ref="I191:I240"/>
    <mergeCell ref="J191:N191"/>
    <mergeCell ref="J192:N192"/>
    <mergeCell ref="C193:C198"/>
    <mergeCell ref="D193:E193"/>
    <mergeCell ref="C190:E190"/>
    <mergeCell ref="G190:G191"/>
    <mergeCell ref="J190:N190"/>
    <mergeCell ref="Q190:Q240"/>
    <mergeCell ref="G193:G194"/>
    <mergeCell ref="J193:N193"/>
    <mergeCell ref="D194:D198"/>
    <mergeCell ref="J194:N194"/>
    <mergeCell ref="J207:N207"/>
    <mergeCell ref="C175:C176"/>
    <mergeCell ref="D175:E175"/>
    <mergeCell ref="J175:N175"/>
    <mergeCell ref="J176:N176"/>
    <mergeCell ref="C177:C178"/>
    <mergeCell ref="D177:E177"/>
    <mergeCell ref="J177:N177"/>
    <mergeCell ref="J178:N178"/>
    <mergeCell ref="R168:R189"/>
    <mergeCell ref="B169:B189"/>
    <mergeCell ref="C169:C174"/>
    <mergeCell ref="D169:E169"/>
    <mergeCell ref="F169:F189"/>
    <mergeCell ref="I169:I189"/>
    <mergeCell ref="J169:N169"/>
    <mergeCell ref="D170:D171"/>
    <mergeCell ref="J170:N170"/>
    <mergeCell ref="J171:N171"/>
    <mergeCell ref="C168:E168"/>
    <mergeCell ref="G168:G170"/>
    <mergeCell ref="J168:N168"/>
    <mergeCell ref="Q168:Q189"/>
    <mergeCell ref="D172:D174"/>
    <mergeCell ref="J172:N172"/>
    <mergeCell ref="J173:N173"/>
    <mergeCell ref="J174:N174"/>
    <mergeCell ref="C184:C189"/>
    <mergeCell ref="D184:E184"/>
    <mergeCell ref="G184:G185"/>
    <mergeCell ref="J184:N184"/>
    <mergeCell ref="D185:D189"/>
    <mergeCell ref="J185:N185"/>
    <mergeCell ref="D148:D150"/>
    <mergeCell ref="J148:N148"/>
    <mergeCell ref="J149:N149"/>
    <mergeCell ref="C146:E146"/>
    <mergeCell ref="G146:G148"/>
    <mergeCell ref="J146:N146"/>
    <mergeCell ref="Q146:Q167"/>
    <mergeCell ref="J150:N150"/>
    <mergeCell ref="D151:D153"/>
    <mergeCell ref="J151:N151"/>
    <mergeCell ref="J152:N152"/>
    <mergeCell ref="C160:C167"/>
    <mergeCell ref="D160:E160"/>
    <mergeCell ref="J160:N160"/>
    <mergeCell ref="J161:N161"/>
    <mergeCell ref="J162:N162"/>
    <mergeCell ref="J163:N163"/>
    <mergeCell ref="J164:N164"/>
    <mergeCell ref="J165:N165"/>
    <mergeCell ref="J166:N166"/>
    <mergeCell ref="J167:N167"/>
    <mergeCell ref="J153:N153"/>
    <mergeCell ref="D154:D156"/>
    <mergeCell ref="J154:N154"/>
    <mergeCell ref="J155:N155"/>
    <mergeCell ref="J156:N156"/>
    <mergeCell ref="D157:D159"/>
    <mergeCell ref="J157:N157"/>
    <mergeCell ref="J158:N158"/>
    <mergeCell ref="J159:N159"/>
    <mergeCell ref="D142:E142"/>
    <mergeCell ref="J142:N142"/>
    <mergeCell ref="J143:N143"/>
    <mergeCell ref="C144:C145"/>
    <mergeCell ref="D144:E144"/>
    <mergeCell ref="J144:N144"/>
    <mergeCell ref="J145:N145"/>
    <mergeCell ref="R135:R145"/>
    <mergeCell ref="S135:S289"/>
    <mergeCell ref="T135:T289"/>
    <mergeCell ref="B136:B145"/>
    <mergeCell ref="C136:C141"/>
    <mergeCell ref="D136:E136"/>
    <mergeCell ref="F136:F145"/>
    <mergeCell ref="I136:I145"/>
    <mergeCell ref="J136:N136"/>
    <mergeCell ref="J137:N137"/>
    <mergeCell ref="C135:E135"/>
    <mergeCell ref="G135:G136"/>
    <mergeCell ref="J135:N135"/>
    <mergeCell ref="Q135:Q145"/>
    <mergeCell ref="J138:N138"/>
    <mergeCell ref="J139:N139"/>
    <mergeCell ref="J141:N141"/>
    <mergeCell ref="C142:C143"/>
    <mergeCell ref="R146:R167"/>
    <mergeCell ref="B147:B167"/>
    <mergeCell ref="C147:C159"/>
    <mergeCell ref="D147:E147"/>
    <mergeCell ref="F147:F167"/>
    <mergeCell ref="I147:I167"/>
    <mergeCell ref="J147:N147"/>
    <mergeCell ref="J130:N130"/>
    <mergeCell ref="J131:N131"/>
    <mergeCell ref="J132:N132"/>
    <mergeCell ref="J133:N133"/>
    <mergeCell ref="B127:B128"/>
    <mergeCell ref="C127:C128"/>
    <mergeCell ref="D127:E127"/>
    <mergeCell ref="F127:F128"/>
    <mergeCell ref="I127:I128"/>
    <mergeCell ref="J127:N127"/>
    <mergeCell ref="J128:N128"/>
    <mergeCell ref="C126:E126"/>
    <mergeCell ref="J126:N126"/>
    <mergeCell ref="Q126:Q128"/>
    <mergeCell ref="R126:R128"/>
    <mergeCell ref="J121:N121"/>
    <mergeCell ref="J122:N122"/>
    <mergeCell ref="J123:N123"/>
    <mergeCell ref="J124:N124"/>
    <mergeCell ref="J125:N125"/>
    <mergeCell ref="Q103:Q125"/>
    <mergeCell ref="R103:R125"/>
    <mergeCell ref="B104:B125"/>
    <mergeCell ref="J103:N103"/>
    <mergeCell ref="J106:N106"/>
    <mergeCell ref="J107:N107"/>
    <mergeCell ref="J108:N108"/>
    <mergeCell ref="C120:C125"/>
    <mergeCell ref="D120:E120"/>
    <mergeCell ref="G120:G121"/>
    <mergeCell ref="J120:N120"/>
    <mergeCell ref="D121:D124"/>
    <mergeCell ref="C113:C119"/>
    <mergeCell ref="D113:E113"/>
    <mergeCell ref="J113:N113"/>
    <mergeCell ref="J114:N114"/>
    <mergeCell ref="J115:N115"/>
    <mergeCell ref="J116:N116"/>
    <mergeCell ref="J117:N117"/>
    <mergeCell ref="D118:D119"/>
    <mergeCell ref="J118:N118"/>
    <mergeCell ref="J119:N119"/>
    <mergeCell ref="C129:E129"/>
    <mergeCell ref="J129:N129"/>
    <mergeCell ref="D95:E95"/>
    <mergeCell ref="G95:G96"/>
    <mergeCell ref="J95:N95"/>
    <mergeCell ref="D96:D97"/>
    <mergeCell ref="J96:N96"/>
    <mergeCell ref="J109:N109"/>
    <mergeCell ref="C110:C112"/>
    <mergeCell ref="D110:E110"/>
    <mergeCell ref="J110:N110"/>
    <mergeCell ref="J111:N111"/>
    <mergeCell ref="J112:N112"/>
    <mergeCell ref="C104:C109"/>
    <mergeCell ref="D104:E104"/>
    <mergeCell ref="F104:F125"/>
    <mergeCell ref="I104:I125"/>
    <mergeCell ref="J104:N104"/>
    <mergeCell ref="D105:D108"/>
    <mergeCell ref="J105:N105"/>
    <mergeCell ref="C103:E103"/>
    <mergeCell ref="G103:G105"/>
    <mergeCell ref="Q90:Q102"/>
    <mergeCell ref="R90:R102"/>
    <mergeCell ref="B91:B102"/>
    <mergeCell ref="C91:C94"/>
    <mergeCell ref="D91:E91"/>
    <mergeCell ref="F91:F102"/>
    <mergeCell ref="I91:I102"/>
    <mergeCell ref="J87:N87"/>
    <mergeCell ref="C88:C89"/>
    <mergeCell ref="D88:E88"/>
    <mergeCell ref="J88:N88"/>
    <mergeCell ref="J89:N89"/>
    <mergeCell ref="C90:E90"/>
    <mergeCell ref="G90:G92"/>
    <mergeCell ref="J90:N90"/>
    <mergeCell ref="J91:N91"/>
    <mergeCell ref="T12:T89"/>
    <mergeCell ref="J97:N97"/>
    <mergeCell ref="J98:N98"/>
    <mergeCell ref="J99:N99"/>
    <mergeCell ref="C100:C102"/>
    <mergeCell ref="D100:E100"/>
    <mergeCell ref="J100:N100"/>
    <mergeCell ref="J101:N101"/>
    <mergeCell ref="J102:N102"/>
    <mergeCell ref="D92:D94"/>
    <mergeCell ref="J92:N92"/>
    <mergeCell ref="J93:N93"/>
    <mergeCell ref="J94:N94"/>
    <mergeCell ref="C95:C99"/>
    <mergeCell ref="Q67:Q77"/>
    <mergeCell ref="J81:N81"/>
    <mergeCell ref="J82:N82"/>
    <mergeCell ref="J83:N83"/>
    <mergeCell ref="C84:C87"/>
    <mergeCell ref="D84:E84"/>
    <mergeCell ref="G84:G85"/>
    <mergeCell ref="J84:N84"/>
    <mergeCell ref="D85:D87"/>
    <mergeCell ref="J85:N85"/>
    <mergeCell ref="J86:N86"/>
    <mergeCell ref="Q78:Q89"/>
    <mergeCell ref="R78:R89"/>
    <mergeCell ref="B79:B89"/>
    <mergeCell ref="C79:C80"/>
    <mergeCell ref="D79:E79"/>
    <mergeCell ref="F79:F89"/>
    <mergeCell ref="I79:I89"/>
    <mergeCell ref="J79:N79"/>
    <mergeCell ref="J80:N80"/>
    <mergeCell ref="C81:C83"/>
    <mergeCell ref="C64:C66"/>
    <mergeCell ref="D64:E64"/>
    <mergeCell ref="G64:G65"/>
    <mergeCell ref="J64:N64"/>
    <mergeCell ref="D65:D66"/>
    <mergeCell ref="J75:N75"/>
    <mergeCell ref="C76:C77"/>
    <mergeCell ref="D76:E76"/>
    <mergeCell ref="J76:N76"/>
    <mergeCell ref="J77:N77"/>
    <mergeCell ref="C78:E78"/>
    <mergeCell ref="J78:N78"/>
    <mergeCell ref="D81:E81"/>
    <mergeCell ref="J70:N70"/>
    <mergeCell ref="J71:N71"/>
    <mergeCell ref="C72:C74"/>
    <mergeCell ref="D72:E72"/>
    <mergeCell ref="J72:N72"/>
    <mergeCell ref="D73:D74"/>
    <mergeCell ref="J73:N73"/>
    <mergeCell ref="J74:N74"/>
    <mergeCell ref="J53:N53"/>
    <mergeCell ref="J54:N54"/>
    <mergeCell ref="D55:D57"/>
    <mergeCell ref="J55:N55"/>
    <mergeCell ref="J56:N56"/>
    <mergeCell ref="J57:N57"/>
    <mergeCell ref="B48:B66"/>
    <mergeCell ref="C48:C57"/>
    <mergeCell ref="D48:E48"/>
    <mergeCell ref="F48:F66"/>
    <mergeCell ref="I48:I66"/>
    <mergeCell ref="D50:D54"/>
    <mergeCell ref="R67:R77"/>
    <mergeCell ref="B68:B77"/>
    <mergeCell ref="C68:C69"/>
    <mergeCell ref="D68:E68"/>
    <mergeCell ref="F68:F77"/>
    <mergeCell ref="I68:I77"/>
    <mergeCell ref="J68:N68"/>
    <mergeCell ref="J69:N69"/>
    <mergeCell ref="C70:C71"/>
    <mergeCell ref="J65:N65"/>
    <mergeCell ref="J66:N66"/>
    <mergeCell ref="C67:E67"/>
    <mergeCell ref="G67:G68"/>
    <mergeCell ref="J67:N67"/>
    <mergeCell ref="D70:E70"/>
    <mergeCell ref="J60:N60"/>
    <mergeCell ref="D61:D63"/>
    <mergeCell ref="J61:N61"/>
    <mergeCell ref="J62:N62"/>
    <mergeCell ref="J63:N63"/>
    <mergeCell ref="J26:N26"/>
    <mergeCell ref="D23:D26"/>
    <mergeCell ref="Q37:Q46"/>
    <mergeCell ref="J40:N40"/>
    <mergeCell ref="J41:N41"/>
    <mergeCell ref="C42:C44"/>
    <mergeCell ref="D42:E42"/>
    <mergeCell ref="C47:E47"/>
    <mergeCell ref="G47:G48"/>
    <mergeCell ref="J47:N47"/>
    <mergeCell ref="Q47:Q66"/>
    <mergeCell ref="R47:R66"/>
    <mergeCell ref="J48:N48"/>
    <mergeCell ref="J49:N49"/>
    <mergeCell ref="J50:N50"/>
    <mergeCell ref="J51:N51"/>
    <mergeCell ref="J42:N42"/>
    <mergeCell ref="J43:N43"/>
    <mergeCell ref="J44:N44"/>
    <mergeCell ref="C45:C46"/>
    <mergeCell ref="D45:E45"/>
    <mergeCell ref="J45:N45"/>
    <mergeCell ref="J46:N46"/>
    <mergeCell ref="R37:R46"/>
    <mergeCell ref="C58:C59"/>
    <mergeCell ref="D58:E58"/>
    <mergeCell ref="J58:N58"/>
    <mergeCell ref="J59:N59"/>
    <mergeCell ref="C60:C63"/>
    <mergeCell ref="D60:E60"/>
    <mergeCell ref="G60:G61"/>
    <mergeCell ref="J52:N52"/>
    <mergeCell ref="J27:N27"/>
    <mergeCell ref="C28:C36"/>
    <mergeCell ref="D28:E28"/>
    <mergeCell ref="G28:G29"/>
    <mergeCell ref="J28:N28"/>
    <mergeCell ref="D29:D34"/>
    <mergeCell ref="J29:N29"/>
    <mergeCell ref="J30:N30"/>
    <mergeCell ref="B38:B46"/>
    <mergeCell ref="C38:C39"/>
    <mergeCell ref="D38:E38"/>
    <mergeCell ref="F38:F46"/>
    <mergeCell ref="I38:I46"/>
    <mergeCell ref="J38:N38"/>
    <mergeCell ref="J39:N39"/>
    <mergeCell ref="C40:C41"/>
    <mergeCell ref="D40:E40"/>
    <mergeCell ref="C37:E37"/>
    <mergeCell ref="G37:G38"/>
    <mergeCell ref="J37:N37"/>
    <mergeCell ref="J16:N16"/>
    <mergeCell ref="P10:P11"/>
    <mergeCell ref="Q10:Q11"/>
    <mergeCell ref="R10:R11"/>
    <mergeCell ref="S10:S11"/>
    <mergeCell ref="T10:T11"/>
    <mergeCell ref="U10:U11"/>
    <mergeCell ref="C20:C21"/>
    <mergeCell ref="D20:E20"/>
    <mergeCell ref="J20:N20"/>
    <mergeCell ref="J21:N21"/>
    <mergeCell ref="C22:C27"/>
    <mergeCell ref="D22:E22"/>
    <mergeCell ref="G22:G23"/>
    <mergeCell ref="J22:N22"/>
    <mergeCell ref="J23:N23"/>
    <mergeCell ref="C17:C19"/>
    <mergeCell ref="D17:E17"/>
    <mergeCell ref="J17:N17"/>
    <mergeCell ref="D18:D19"/>
    <mergeCell ref="J18:N18"/>
    <mergeCell ref="J19:N19"/>
    <mergeCell ref="S12:S89"/>
    <mergeCell ref="J31:N31"/>
    <mergeCell ref="J32:N32"/>
    <mergeCell ref="J33:N33"/>
    <mergeCell ref="J34:N34"/>
    <mergeCell ref="D35:D36"/>
    <mergeCell ref="J35:N35"/>
    <mergeCell ref="J36:N36"/>
    <mergeCell ref="J24:N24"/>
    <mergeCell ref="J25:N25"/>
    <mergeCell ref="B6:D6"/>
    <mergeCell ref="F6:G6"/>
    <mergeCell ref="H6:I6"/>
    <mergeCell ref="J6:M6"/>
    <mergeCell ref="B10:B11"/>
    <mergeCell ref="C10:D11"/>
    <mergeCell ref="E10:E11"/>
    <mergeCell ref="F10:H10"/>
    <mergeCell ref="I10:I11"/>
    <mergeCell ref="J10:N11"/>
    <mergeCell ref="B2:D2"/>
    <mergeCell ref="J2:L4"/>
    <mergeCell ref="M2:M4"/>
    <mergeCell ref="P2:U4"/>
    <mergeCell ref="B3:D3"/>
    <mergeCell ref="B4:D4"/>
    <mergeCell ref="J140:N140"/>
    <mergeCell ref="U12:U518"/>
    <mergeCell ref="B13:B36"/>
    <mergeCell ref="C13:C16"/>
    <mergeCell ref="D13:E13"/>
    <mergeCell ref="F13:F36"/>
    <mergeCell ref="I13:I36"/>
    <mergeCell ref="J13:N13"/>
    <mergeCell ref="C12:E12"/>
    <mergeCell ref="G12:G14"/>
    <mergeCell ref="J12:N12"/>
    <mergeCell ref="Q12:Q36"/>
    <mergeCell ref="R12:R36"/>
    <mergeCell ref="D14:D16"/>
    <mergeCell ref="J14:N14"/>
    <mergeCell ref="J15:N15"/>
  </mergeCells>
  <dataValidations count="1">
    <dataValidation type="decimal" operator="lessThanOrEqual" allowBlank="1" showInputMessage="1" showErrorMessage="1" sqref="G12:G518" xr:uid="{A520D7D5-DA60-472C-BA1C-B8B55C3321A7}">
      <formula1>H12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83DB2A28-024E-430D-9BDA-F90CBD4BD894}">
          <x14:formula1>
            <xm:f>IF(Deckblatt!$C$12=Language!$C$1,Language!$C$171:$C$181,IF(Deckblatt!$C$12=Language!$D$1,Language!$D$171:$D$181))</xm:f>
          </x14:formula1>
          <xm:sqref>E130:E132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2A7D7-DF6A-47EE-B362-A2AFFBF8AFBF}">
  <sheetPr codeName="Sheet5">
    <tabColor rgb="FF4DAA50"/>
  </sheetPr>
  <dimension ref="B1:V421"/>
  <sheetViews>
    <sheetView zoomScale="90" zoomScaleNormal="90" workbookViewId="0">
      <pane ySplit="3" topLeftCell="A389" activePane="bottomLeft" state="frozen"/>
      <selection pane="bottomLeft" sqref="A1:W424"/>
    </sheetView>
  </sheetViews>
  <sheetFormatPr defaultColWidth="11.44140625" defaultRowHeight="13.2" outlineLevelCol="1" x14ac:dyDescent="0.25"/>
  <cols>
    <col min="1" max="1" width="1.6640625" style="17" customWidth="1"/>
    <col min="2" max="2" width="8.6640625" style="17" customWidth="1"/>
    <col min="3" max="3" width="6.6640625" style="17" customWidth="1"/>
    <col min="4" max="4" width="11.33203125" style="17" customWidth="1"/>
    <col min="5" max="5" width="63.33203125" style="17" customWidth="1"/>
    <col min="6" max="9" width="12.6640625" style="17" customWidth="1"/>
    <col min="10" max="11" width="3.6640625" style="170" customWidth="1"/>
    <col min="12" max="12" width="6.6640625" style="170" customWidth="1"/>
    <col min="13" max="13" width="12.6640625" style="170" customWidth="1"/>
    <col min="14" max="14" width="50.6640625" style="170"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7.33203125" style="182" customWidth="1" collapsed="1"/>
    <col min="23" max="16384" width="11.44140625" style="17"/>
  </cols>
  <sheetData>
    <row r="1" spans="2:21" ht="19.5" customHeight="1" thickBot="1" x14ac:dyDescent="0.3"/>
    <row r="2" spans="2:21" ht="26.1" customHeight="1" thickBot="1" x14ac:dyDescent="0.3">
      <c r="B2" s="467" t="str">
        <f>Deckblatt!B6</f>
        <v>Vertragsnummer</v>
      </c>
      <c r="C2" s="457"/>
      <c r="D2" s="457"/>
      <c r="E2" s="35">
        <f>Deckblatt!C6</f>
        <v>0</v>
      </c>
      <c r="F2" s="250" t="str">
        <f>Deckblatt!C15</f>
        <v>Ökologische Qualität</v>
      </c>
      <c r="G2" s="118">
        <f>ROUNDDOWN(T12,3)</f>
        <v>0</v>
      </c>
      <c r="H2" s="250" t="str">
        <f>Deckblatt!C18</f>
        <v>Technische Qualität</v>
      </c>
      <c r="I2" s="37">
        <f>ROUNDDOWN(T256,3)</f>
        <v>0</v>
      </c>
      <c r="J2" s="447" t="str">
        <f>Deckblatt!C21</f>
        <v>Gesamterfüllungsgrad</v>
      </c>
      <c r="K2" s="448"/>
      <c r="L2" s="508"/>
      <c r="M2" s="533">
        <f>ROUNDDOWN(U12,3)</f>
        <v>0</v>
      </c>
      <c r="N2" s="171" t="str">
        <f>HLOOKUP(Deckblatt!$C$12,Language!G1:H102,46,FALSE)</f>
        <v>Bitte wählen Sie unter die Variante für den Industriestandort</v>
      </c>
      <c r="P2" s="420" t="s">
        <v>43</v>
      </c>
      <c r="Q2" s="421"/>
      <c r="R2" s="421"/>
      <c r="S2" s="421"/>
      <c r="T2" s="421"/>
      <c r="U2" s="422"/>
    </row>
    <row r="3" spans="2:21" ht="26.1" customHeight="1" thickBot="1" x14ac:dyDescent="0.3">
      <c r="B3" s="468" t="str">
        <f>Deckblatt!B7</f>
        <v>Bauvorhaben</v>
      </c>
      <c r="C3" s="469"/>
      <c r="D3" s="469"/>
      <c r="E3" s="38" t="str">
        <f>Deckblatt!C7</f>
        <v>Superquartier</v>
      </c>
      <c r="F3" s="250" t="str">
        <f>Deckblatt!C16</f>
        <v>Ökonomische Qualität</v>
      </c>
      <c r="G3" s="119">
        <f>ROUNDDOWN(T92,3)</f>
        <v>0</v>
      </c>
      <c r="H3" s="250" t="str">
        <f>Deckblatt!C19</f>
        <v>Prozessqualität</v>
      </c>
      <c r="I3" s="41">
        <f>ROUNDDOWN(T358,3)</f>
        <v>0</v>
      </c>
      <c r="J3" s="450"/>
      <c r="K3" s="451"/>
      <c r="L3" s="509"/>
      <c r="M3" s="534"/>
      <c r="N3" s="172" t="s">
        <v>1833</v>
      </c>
      <c r="P3" s="423"/>
      <c r="Q3" s="424"/>
      <c r="R3" s="424"/>
      <c r="S3" s="424"/>
      <c r="T3" s="424"/>
      <c r="U3" s="425"/>
    </row>
    <row r="4" spans="2:21" ht="26.1" customHeight="1" thickBot="1" x14ac:dyDescent="0.3">
      <c r="B4" s="402" t="str">
        <f>Deckblatt!B9</f>
        <v>DGNB Auditor</v>
      </c>
      <c r="C4" s="403"/>
      <c r="D4" s="403"/>
      <c r="E4" s="42">
        <f>Deckblatt!C9</f>
        <v>0</v>
      </c>
      <c r="F4" s="250" t="str">
        <f>Deckblatt!C17</f>
        <v>Soziokulturelle und Funktionale Qualität</v>
      </c>
      <c r="G4" s="120">
        <f>ROUNDDOWN(T143,3)</f>
        <v>0</v>
      </c>
      <c r="H4" s="44"/>
      <c r="I4" s="34"/>
      <c r="J4" s="453"/>
      <c r="K4" s="454"/>
      <c r="L4" s="510"/>
      <c r="M4" s="535"/>
      <c r="N4" s="173" t="str">
        <f>IF(N3="Neubau","Variante 1: New Buildings",IF(N3="Bestand","Variante 3: Existing Buildings 3","Variante 2: Mixed"))</f>
        <v>Variante 2: Mixed</v>
      </c>
      <c r="P4" s="426"/>
      <c r="Q4" s="427"/>
      <c r="R4" s="427"/>
      <c r="S4" s="427"/>
      <c r="T4" s="427"/>
      <c r="U4" s="428"/>
    </row>
    <row r="5" spans="2:21" ht="27.75" customHeight="1" thickBot="1" x14ac:dyDescent="0.3"/>
    <row r="6" spans="2:21" ht="13.8" thickBot="1" x14ac:dyDescent="0.3">
      <c r="B6" s="429" t="str">
        <f>HLOOKUP(Deckblatt!$C$12,Language!G1:H102,41,FALSE)</f>
        <v>Legende:</v>
      </c>
      <c r="C6" s="430"/>
      <c r="D6" s="431"/>
      <c r="E6" s="45" t="str">
        <f>HLOOKUP(Deckblatt!$C$12,Language!G1:H102,42,FALSE)</f>
        <v>ist einzutragen</v>
      </c>
      <c r="F6" s="410" t="str">
        <f>HLOOKUP(Deckblatt!$C$12,Language!G1:H102,43,FALSE)</f>
        <v>wird autom. berechnet</v>
      </c>
      <c r="G6" s="411"/>
      <c r="H6" s="429" t="str">
        <f>HLOOKUP(Deckblatt!$C$12,Language!G1:H102,44,FALSE)</f>
        <v>Systemvorgaben</v>
      </c>
      <c r="I6" s="462"/>
      <c r="J6" s="463" t="str">
        <f>HLOOKUP(Deckblatt!$C$12,Language!G1:H102,45,FALSE)</f>
        <v>Zelle ohne Inhalt</v>
      </c>
      <c r="K6" s="464"/>
      <c r="L6" s="464"/>
      <c r="M6" s="465"/>
      <c r="N6" s="130" t="s">
        <v>1007</v>
      </c>
    </row>
    <row r="7" spans="2:21" ht="5.25" customHeight="1" x14ac:dyDescent="0.25">
      <c r="J7" s="17"/>
      <c r="K7" s="17"/>
      <c r="L7" s="17"/>
      <c r="M7" s="17"/>
      <c r="N7" s="17"/>
    </row>
    <row r="8" spans="2:21" x14ac:dyDescent="0.25">
      <c r="B8" s="419" t="s">
        <v>1836</v>
      </c>
      <c r="C8" s="419"/>
      <c r="D8" s="419"/>
      <c r="E8" s="419"/>
      <c r="F8" s="419"/>
      <c r="G8" s="419"/>
      <c r="H8" s="419"/>
      <c r="I8" s="419"/>
      <c r="J8" s="419"/>
      <c r="K8" s="419"/>
      <c r="L8" s="419"/>
      <c r="M8" s="419"/>
      <c r="N8" s="419"/>
    </row>
    <row r="9" spans="2:21" ht="3.75" customHeight="1" thickBot="1" x14ac:dyDescent="0.3">
      <c r="J9" s="17"/>
      <c r="K9" s="17"/>
      <c r="L9" s="17"/>
      <c r="M9" s="17"/>
      <c r="N9" s="17"/>
    </row>
    <row r="10" spans="2:21" ht="48" customHeight="1" x14ac:dyDescent="0.25">
      <c r="B10" s="404" t="str">
        <f>HLOOKUP(Deckblatt!$C$12,Language!G1:H102,47,FALSE)</f>
        <v>Nr</v>
      </c>
      <c r="C10" s="406" t="str">
        <f>HLOOKUP(Deckblatt!$C$12,Language!G1:H102,48,FALSE)</f>
        <v>Kriterium</v>
      </c>
      <c r="D10" s="406"/>
      <c r="E10" s="408" t="str">
        <f>HLOOKUP(Deckblatt!$C$12,Language!G1:H102,49,FALSE)</f>
        <v>Indikator</v>
      </c>
      <c r="F10" s="466" t="str">
        <f>HLOOKUP(Deckblatt!$C$12,Language!G1:H102,50,FALSE)</f>
        <v>Punkte
(Auditor)</v>
      </c>
      <c r="G10" s="406"/>
      <c r="H10" s="406"/>
      <c r="I10" s="442" t="str">
        <f>HLOOKUP(Deckblatt!$C$12,Language!G1:H102,54,FALSE)</f>
        <v>spezifischer
Bedeutungsfaktor</v>
      </c>
      <c r="J10" s="456" t="str">
        <f>HLOOKUP(Deckblatt!$C$12,Language!G1:H102,55,FALSE)</f>
        <v>Kommentar / Bemerkung
AUDITOR</v>
      </c>
      <c r="K10" s="457"/>
      <c r="L10" s="457"/>
      <c r="M10" s="457"/>
      <c r="N10" s="458"/>
      <c r="P10" s="440" t="s">
        <v>80</v>
      </c>
      <c r="Q10" s="432" t="s">
        <v>597</v>
      </c>
      <c r="R10" s="432" t="s">
        <v>45</v>
      </c>
      <c r="S10" s="432" t="s">
        <v>44</v>
      </c>
      <c r="T10" s="432" t="s">
        <v>46</v>
      </c>
      <c r="U10" s="470" t="s">
        <v>29</v>
      </c>
    </row>
    <row r="11" spans="2:21" ht="48" customHeight="1" thickBot="1" x14ac:dyDescent="0.3">
      <c r="B11" s="405"/>
      <c r="C11" s="407"/>
      <c r="D11" s="407"/>
      <c r="E11" s="409"/>
      <c r="F11" s="47" t="str">
        <f>HLOOKUP(Deckblatt!$C$12,Language!G1:H102,51,FALSE)</f>
        <v>IST-Punkte (Kriterium)</v>
      </c>
      <c r="G11" s="48" t="str">
        <f>HLOOKUP(Deckblatt!$C$12,Language!G1:H102,52,FALSE)</f>
        <v>IST-Punkte (Indikator)</v>
      </c>
      <c r="H11" s="48" t="str">
        <f>HLOOKUP(Deckblatt!$C$12,Language!G1:H102,53,FALSE)</f>
        <v>Max. Punkte</v>
      </c>
      <c r="I11" s="443"/>
      <c r="J11" s="459"/>
      <c r="K11" s="460"/>
      <c r="L11" s="460"/>
      <c r="M11" s="460"/>
      <c r="N11" s="461"/>
      <c r="P11" s="441"/>
      <c r="Q11" s="433"/>
      <c r="R11" s="433"/>
      <c r="S11" s="433"/>
      <c r="T11" s="433"/>
      <c r="U11" s="471"/>
    </row>
    <row r="12" spans="2:21" x14ac:dyDescent="0.25">
      <c r="B12" s="49" t="s">
        <v>52</v>
      </c>
      <c r="C12" s="438" t="str">
        <f>HLOOKUP(Deckblatt!$C$12,Language!$C$1:$D$730,2,FALSE)</f>
        <v>Ökobilanz</v>
      </c>
      <c r="D12" s="438"/>
      <c r="E12" s="439"/>
      <c r="F12" s="50">
        <f>Q12</f>
        <v>0</v>
      </c>
      <c r="G12" s="434"/>
      <c r="H12" s="51">
        <v>150</v>
      </c>
      <c r="I12" s="136">
        <v>9</v>
      </c>
      <c r="J12" s="435"/>
      <c r="K12" s="436"/>
      <c r="L12" s="436"/>
      <c r="M12" s="436"/>
      <c r="N12" s="437"/>
      <c r="P12" s="18">
        <f>IF(G12&gt;H12,H12,G12)</f>
        <v>0</v>
      </c>
      <c r="Q12" s="493">
        <f>IF(SUM(IF(P15+P16&gt;10,10,P15+P16),P19,P21+P22)&gt;100,100+P25+P26+P27+P28,SUM(IF(P15+P16&gt;10,10,P15+P16),P19,P21,P22,P25,P26,P27,P28))</f>
        <v>0</v>
      </c>
      <c r="R12" s="474">
        <f>Q12/100</f>
        <v>0</v>
      </c>
      <c r="S12" s="474">
        <v>0.2</v>
      </c>
      <c r="T12" s="343">
        <f>IF((R12*I12+R29*I29+R34*I34+R44*I44+R68*I68+R79*I79)/(I12+I29+I34+I44+I68+I79)&gt;1,1,(R12*I12+R29*I29+R34*I34+R44*I44+R68*I68+R79*I79)/(I12+I29+I34+I44+I68+I79))</f>
        <v>0</v>
      </c>
      <c r="U12" s="343">
        <f>(1/5*T12+1/5*T92+1/5*T143+1/5*T256+1/5*T358)</f>
        <v>0</v>
      </c>
    </row>
    <row r="13" spans="2:21" x14ac:dyDescent="0.25">
      <c r="B13" s="375"/>
      <c r="C13" s="351" t="s">
        <v>54</v>
      </c>
      <c r="D13" s="352" t="str">
        <f>HLOOKUP(Deckblatt!$C$12,Language!$C$1:$D$730,3,FALSE)</f>
        <v>Ökobilanz in der Planung</v>
      </c>
      <c r="E13" s="353"/>
      <c r="F13" s="514"/>
      <c r="G13" s="356"/>
      <c r="H13" s="21">
        <v>10</v>
      </c>
      <c r="I13" s="478"/>
      <c r="J13" s="340"/>
      <c r="K13" s="341"/>
      <c r="L13" s="341"/>
      <c r="M13" s="341"/>
      <c r="N13" s="342"/>
      <c r="P13" s="18">
        <f t="shared" ref="P13:P83" si="0">IF(G13&gt;H13,H13,G13)</f>
        <v>0</v>
      </c>
      <c r="Q13" s="493"/>
      <c r="R13" s="474"/>
      <c r="S13" s="474"/>
      <c r="T13" s="344"/>
      <c r="U13" s="475"/>
    </row>
    <row r="14" spans="2:21" x14ac:dyDescent="0.25">
      <c r="B14" s="375"/>
      <c r="C14" s="351"/>
      <c r="D14" s="361" t="s">
        <v>58</v>
      </c>
      <c r="E14" s="150" t="str">
        <f>HLOOKUP(Deckblatt!$C$12,Language!$C$1:$D$730,4,FALSE)</f>
        <v>Integration von Ökobilanzen in den Planungsprozess</v>
      </c>
      <c r="F14" s="514"/>
      <c r="G14" s="356"/>
      <c r="H14" s="21">
        <v>10</v>
      </c>
      <c r="I14" s="478"/>
      <c r="J14" s="340"/>
      <c r="K14" s="341"/>
      <c r="L14" s="341"/>
      <c r="M14" s="341"/>
      <c r="N14" s="342"/>
      <c r="P14" s="18">
        <f t="shared" si="0"/>
        <v>0</v>
      </c>
      <c r="Q14" s="493"/>
      <c r="R14" s="474"/>
      <c r="S14" s="474"/>
      <c r="T14" s="344"/>
      <c r="U14" s="475"/>
    </row>
    <row r="15" spans="2:21" ht="39.6" x14ac:dyDescent="0.25">
      <c r="B15" s="375"/>
      <c r="C15" s="351"/>
      <c r="D15" s="361"/>
      <c r="E15" s="188" t="str">
        <f>HLOOKUP(Deckblatt!$C$12,Language!$C$1:$D$730,5,FALSE)</f>
        <v xml:space="preserve">In der frühen Planungsphase: Pro analysiertem Handlungsfeld können 2 Punkte vergeben werden.
</v>
      </c>
      <c r="F15" s="514"/>
      <c r="G15" s="69"/>
      <c r="H15" s="18">
        <v>6</v>
      </c>
      <c r="I15" s="478"/>
      <c r="J15" s="340"/>
      <c r="K15" s="341"/>
      <c r="L15" s="341"/>
      <c r="M15" s="341"/>
      <c r="N15" s="342"/>
      <c r="P15" s="18">
        <f t="shared" si="0"/>
        <v>0</v>
      </c>
      <c r="Q15" s="493"/>
      <c r="R15" s="474"/>
      <c r="S15" s="474"/>
      <c r="T15" s="344"/>
      <c r="U15" s="475"/>
    </row>
    <row r="16" spans="2:21" ht="26.4" x14ac:dyDescent="0.25">
      <c r="B16" s="375"/>
      <c r="C16" s="351"/>
      <c r="D16" s="361"/>
      <c r="E16" s="188" t="str">
        <f>HLOOKUP(Deckblatt!$C$12,Language!$C$1:$D$730,6,FALSE)</f>
        <v xml:space="preserve">Ökobilanziellen Auswirkungen von Planungsänderungen planungsbegleitend
</v>
      </c>
      <c r="F16" s="514"/>
      <c r="G16" s="69"/>
      <c r="H16" s="18">
        <v>4</v>
      </c>
      <c r="I16" s="478"/>
      <c r="J16" s="340"/>
      <c r="K16" s="341"/>
      <c r="L16" s="341"/>
      <c r="M16" s="341"/>
      <c r="N16" s="342"/>
      <c r="P16" s="18">
        <f t="shared" si="0"/>
        <v>0</v>
      </c>
      <c r="Q16" s="493"/>
      <c r="R16" s="474"/>
      <c r="S16" s="474"/>
      <c r="T16" s="344"/>
      <c r="U16" s="475"/>
    </row>
    <row r="17" spans="2:21" x14ac:dyDescent="0.25">
      <c r="B17" s="375"/>
      <c r="C17" s="359" t="s">
        <v>61</v>
      </c>
      <c r="D17" s="352" t="str">
        <f>HLOOKUP(Deckblatt!$C$12,Language!$C$1:$D$730,7,FALSE)</f>
        <v>Ökobilanz-Optimierung</v>
      </c>
      <c r="E17" s="353"/>
      <c r="F17" s="514"/>
      <c r="G17" s="113"/>
      <c r="H17" s="21">
        <v>10</v>
      </c>
      <c r="I17" s="478"/>
      <c r="J17" s="340"/>
      <c r="K17" s="341"/>
      <c r="L17" s="341"/>
      <c r="M17" s="341"/>
      <c r="N17" s="342"/>
      <c r="P17" s="18">
        <f t="shared" si="0"/>
        <v>0</v>
      </c>
      <c r="Q17" s="493"/>
      <c r="R17" s="474"/>
      <c r="S17" s="474"/>
      <c r="T17" s="344"/>
      <c r="U17" s="475"/>
    </row>
    <row r="18" spans="2:21" x14ac:dyDescent="0.25">
      <c r="B18" s="375"/>
      <c r="C18" s="390"/>
      <c r="D18" s="398" t="s">
        <v>63</v>
      </c>
      <c r="E18" s="150" t="str">
        <f>HLOOKUP(Deckblatt!$C$12,Language!$C$1:$D$730,8,FALSE)</f>
        <v>Planungsbegleitende Ökobilanz-Optimierung</v>
      </c>
      <c r="F18" s="514"/>
      <c r="G18" s="113"/>
      <c r="H18" s="21">
        <v>10</v>
      </c>
      <c r="I18" s="478"/>
      <c r="J18" s="340"/>
      <c r="K18" s="341"/>
      <c r="L18" s="341"/>
      <c r="M18" s="341"/>
      <c r="N18" s="342"/>
      <c r="P18" s="18">
        <f t="shared" si="0"/>
        <v>0</v>
      </c>
      <c r="Q18" s="493"/>
      <c r="R18" s="474"/>
      <c r="S18" s="474"/>
      <c r="T18" s="344"/>
      <c r="U18" s="475"/>
    </row>
    <row r="19" spans="2:21" ht="48.75" customHeight="1" x14ac:dyDescent="0.25">
      <c r="B19" s="375"/>
      <c r="C19" s="390"/>
      <c r="D19" s="414"/>
      <c r="E19" s="188" t="str">
        <f>HLOOKUP(Deckblatt!$C$12,Language!$C$1:$D$730,9,FALSE)</f>
        <v>- Umfassende Betrachtung  (10 Punkte)
ODER
- Teilbetrachtung (5 Punkte)</v>
      </c>
      <c r="F19" s="514"/>
      <c r="G19" s="69"/>
      <c r="H19" s="18">
        <v>10</v>
      </c>
      <c r="I19" s="478"/>
      <c r="J19" s="340"/>
      <c r="K19" s="341"/>
      <c r="L19" s="341"/>
      <c r="M19" s="341"/>
      <c r="N19" s="342"/>
      <c r="P19" s="18">
        <f t="shared" si="0"/>
        <v>0</v>
      </c>
      <c r="Q19" s="493"/>
      <c r="R19" s="474"/>
      <c r="S19" s="474"/>
      <c r="T19" s="344"/>
      <c r="U19" s="475"/>
    </row>
    <row r="20" spans="2:21" x14ac:dyDescent="0.25">
      <c r="B20" s="375"/>
      <c r="C20" s="359" t="s">
        <v>64</v>
      </c>
      <c r="D20" s="352" t="str">
        <f>HLOOKUP(Deckblatt!$C$12,Language!$C$1:$D$730,10,FALSE)</f>
        <v>Ökobilanz Vergleichsrechnung</v>
      </c>
      <c r="E20" s="353"/>
      <c r="F20" s="514"/>
      <c r="G20" s="113"/>
      <c r="H20" s="21">
        <v>100</v>
      </c>
      <c r="I20" s="478"/>
      <c r="J20" s="340"/>
      <c r="K20" s="341"/>
      <c r="L20" s="341"/>
      <c r="M20" s="341"/>
      <c r="N20" s="342"/>
      <c r="P20" s="18">
        <f t="shared" si="0"/>
        <v>0</v>
      </c>
      <c r="Q20" s="493"/>
      <c r="R20" s="474"/>
      <c r="S20" s="474"/>
      <c r="T20" s="344"/>
      <c r="U20" s="475"/>
    </row>
    <row r="21" spans="2:21" ht="31.5" customHeight="1" x14ac:dyDescent="0.25">
      <c r="B21" s="375"/>
      <c r="C21" s="390"/>
      <c r="D21" s="71" t="s">
        <v>188</v>
      </c>
      <c r="E21" s="150" t="str">
        <f>HLOOKUP(Deckblatt!$C$12,Language!$C$1:$D$730,12,FALSE)</f>
        <v xml:space="preserve">Gewichtete Umweltwirkungen: der Energieversorgung
Bewertung der Ökobilanz-Ergebnisse
</v>
      </c>
      <c r="F21" s="514"/>
      <c r="G21" s="69"/>
      <c r="H21" s="18">
        <v>80</v>
      </c>
      <c r="I21" s="478"/>
      <c r="J21" s="340"/>
      <c r="K21" s="341"/>
      <c r="L21" s="341"/>
      <c r="M21" s="341"/>
      <c r="N21" s="342"/>
      <c r="P21" s="18">
        <f t="shared" si="0"/>
        <v>0</v>
      </c>
      <c r="Q21" s="493"/>
      <c r="R21" s="474"/>
      <c r="S21" s="474"/>
      <c r="T21" s="344"/>
      <c r="U21" s="475"/>
    </row>
    <row r="22" spans="2:21" ht="41.4" customHeight="1" x14ac:dyDescent="0.25">
      <c r="B22" s="375"/>
      <c r="C22" s="124"/>
      <c r="D22" s="71" t="s">
        <v>150</v>
      </c>
      <c r="E22" s="150" t="str">
        <f>HLOOKUP(Deckblatt!$C$12,Language!$C$1:$D$730,13,FALSE)</f>
        <v xml:space="preserve">Gewichtete Umweltwirkungen: Gebäude
Bewertung der Ökobilanz-Ergebnisse des größten Gebäudes (BGF) am Standort
</v>
      </c>
      <c r="F22" s="514"/>
      <c r="G22" s="69"/>
      <c r="H22" s="18">
        <v>20</v>
      </c>
      <c r="I22" s="478"/>
      <c r="J22" s="340"/>
      <c r="K22" s="341"/>
      <c r="L22" s="341"/>
      <c r="M22" s="341"/>
      <c r="N22" s="342"/>
      <c r="P22" s="18">
        <f t="shared" si="0"/>
        <v>0</v>
      </c>
      <c r="Q22" s="493"/>
      <c r="R22" s="474"/>
      <c r="S22" s="474"/>
      <c r="T22" s="344"/>
      <c r="U22" s="475"/>
    </row>
    <row r="23" spans="2:21" x14ac:dyDescent="0.25">
      <c r="B23" s="375"/>
      <c r="C23" s="351" t="s">
        <v>67</v>
      </c>
      <c r="D23" s="531" t="str">
        <f>HLOOKUP(Deckblatt!$C$12,Language!$C$1:$D$730,14,FALSE)</f>
        <v>AGENDA 2030 BONUS - KLIMASCHUTZZIELE</v>
      </c>
      <c r="E23" s="532"/>
      <c r="F23" s="514"/>
      <c r="G23" s="356"/>
      <c r="H23" s="21">
        <v>30</v>
      </c>
      <c r="I23" s="478"/>
      <c r="J23" s="340"/>
      <c r="K23" s="341"/>
      <c r="L23" s="341"/>
      <c r="M23" s="341"/>
      <c r="N23" s="342"/>
      <c r="P23" s="18">
        <f t="shared" si="0"/>
        <v>0</v>
      </c>
      <c r="Q23" s="493"/>
      <c r="R23" s="474"/>
      <c r="S23" s="474"/>
      <c r="T23" s="344"/>
      <c r="U23" s="475"/>
    </row>
    <row r="24" spans="2:21" x14ac:dyDescent="0.25">
      <c r="B24" s="375"/>
      <c r="C24" s="351"/>
      <c r="D24" s="398" t="s">
        <v>69</v>
      </c>
      <c r="E24" s="53" t="str">
        <f>HLOOKUP(Deckblatt!$C$12,Language!$C$1:$D$730,15,FALSE)</f>
        <v>Ambitionen zum Erreichen von Klimaneutralität</v>
      </c>
      <c r="F24" s="514"/>
      <c r="G24" s="356"/>
      <c r="H24" s="21">
        <v>50</v>
      </c>
      <c r="I24" s="478"/>
      <c r="J24" s="340"/>
      <c r="K24" s="341"/>
      <c r="L24" s="341"/>
      <c r="M24" s="341"/>
      <c r="N24" s="342"/>
      <c r="P24" s="18">
        <f t="shared" si="0"/>
        <v>0</v>
      </c>
      <c r="Q24" s="493"/>
      <c r="R24" s="474"/>
      <c r="S24" s="474"/>
      <c r="T24" s="344"/>
      <c r="U24" s="475"/>
    </row>
    <row r="25" spans="2:21" ht="26.4" x14ac:dyDescent="0.25">
      <c r="B25" s="375"/>
      <c r="C25" s="351"/>
      <c r="D25" s="414"/>
      <c r="E25" s="134" t="str">
        <f>HLOOKUP(Deckblatt!$C$12,Language!$C$1:$D$730,16,FALSE)</f>
        <v xml:space="preserve">Klimaneutraler Energiebedarf
</v>
      </c>
      <c r="F25" s="514"/>
      <c r="G25" s="69"/>
      <c r="H25" s="18">
        <v>24</v>
      </c>
      <c r="I25" s="478"/>
      <c r="J25" s="340"/>
      <c r="K25" s="341"/>
      <c r="L25" s="341"/>
      <c r="M25" s="341"/>
      <c r="N25" s="342"/>
      <c r="P25" s="18">
        <f t="shared" si="0"/>
        <v>0</v>
      </c>
      <c r="Q25" s="493"/>
      <c r="R25" s="474"/>
      <c r="S25" s="474"/>
      <c r="T25" s="344"/>
      <c r="U25" s="475"/>
    </row>
    <row r="26" spans="2:21" ht="26.4" x14ac:dyDescent="0.25">
      <c r="B26" s="375"/>
      <c r="C26" s="351"/>
      <c r="D26" s="414"/>
      <c r="E26" s="134" t="str">
        <f>HLOOKUP(Deckblatt!$C$12,Language!$C$1:$D$730,17,FALSE)</f>
        <v xml:space="preserve">Klimaneutraler Energiebedarf Nutzer
</v>
      </c>
      <c r="F26" s="514"/>
      <c r="G26" s="69"/>
      <c r="H26" s="18">
        <v>14</v>
      </c>
      <c r="I26" s="478"/>
      <c r="J26" s="340"/>
      <c r="K26" s="341"/>
      <c r="L26" s="341"/>
      <c r="M26" s="341"/>
      <c r="N26" s="342"/>
      <c r="P26" s="18">
        <f t="shared" si="0"/>
        <v>0</v>
      </c>
      <c r="Q26" s="493"/>
      <c r="R26" s="474"/>
      <c r="S26" s="474"/>
      <c r="T26" s="344"/>
      <c r="U26" s="475"/>
    </row>
    <row r="27" spans="2:21" x14ac:dyDescent="0.25">
      <c r="B27" s="375"/>
      <c r="C27" s="351"/>
      <c r="D27" s="399"/>
      <c r="E27" s="134" t="str">
        <f>HLOOKUP(Deckblatt!$C$12,Language!$E$1:$F$730,17,FALSE)</f>
        <v>Klimaneutraler Energiebedarf Mobilität MIV (Motorisierter Individualverkehr)</v>
      </c>
      <c r="F27" s="514"/>
      <c r="G27" s="69"/>
      <c r="H27" s="18">
        <v>10</v>
      </c>
      <c r="I27" s="478"/>
      <c r="J27" s="340"/>
      <c r="K27" s="341"/>
      <c r="L27" s="341"/>
      <c r="M27" s="341"/>
      <c r="N27" s="342"/>
      <c r="P27" s="18">
        <f t="shared" si="0"/>
        <v>0</v>
      </c>
      <c r="Q27" s="493"/>
      <c r="R27" s="474"/>
      <c r="S27" s="474"/>
      <c r="T27" s="344"/>
      <c r="U27" s="475"/>
    </row>
    <row r="28" spans="2:21" ht="36" customHeight="1" x14ac:dyDescent="0.25">
      <c r="B28" s="375"/>
      <c r="C28" s="351"/>
      <c r="D28" s="71" t="s">
        <v>78</v>
      </c>
      <c r="E28" s="54" t="str">
        <f>HLOOKUP(Deckblatt!$C$12,Language!$C$1:$D$730,18,FALSE)</f>
        <v xml:space="preserve">Halogenierte Kohlenwasserstoffe in Kältemitteln
Keine Nutzung von Kältemitteln mit einem GWP-Faktor ≥ 150 kg CO2-Äq.
</v>
      </c>
      <c r="F28" s="514"/>
      <c r="G28" s="69"/>
      <c r="H28" s="18">
        <v>2</v>
      </c>
      <c r="I28" s="478"/>
      <c r="J28" s="340"/>
      <c r="K28" s="341"/>
      <c r="L28" s="341"/>
      <c r="M28" s="341"/>
      <c r="N28" s="342"/>
      <c r="P28" s="18">
        <f t="shared" si="0"/>
        <v>0</v>
      </c>
      <c r="Q28" s="493"/>
      <c r="R28" s="474"/>
      <c r="S28" s="474"/>
      <c r="T28" s="344"/>
      <c r="U28" s="475"/>
    </row>
    <row r="29" spans="2:21" x14ac:dyDescent="0.25">
      <c r="B29" s="55" t="s">
        <v>777</v>
      </c>
      <c r="C29" s="354" t="str">
        <f>HLOOKUP(Deckblatt!$C$12,Language!$C$1:$D$730,28,FALSE)</f>
        <v>Schad- und Risikostoffe</v>
      </c>
      <c r="D29" s="354"/>
      <c r="E29" s="355"/>
      <c r="F29" s="56">
        <f>Q29</f>
        <v>0</v>
      </c>
      <c r="G29" s="356"/>
      <c r="H29" s="21">
        <v>100</v>
      </c>
      <c r="I29" s="177">
        <v>4</v>
      </c>
      <c r="J29" s="340"/>
      <c r="K29" s="341"/>
      <c r="L29" s="341"/>
      <c r="M29" s="341"/>
      <c r="N29" s="342"/>
      <c r="P29" s="18">
        <f t="shared" ref="P29:P33" si="1">IF(G29&gt;H29,H29,G29)</f>
        <v>0</v>
      </c>
      <c r="Q29" s="337">
        <f>IF(SUM(P31,P33)&gt;100,100,SUM(P31,P33))</f>
        <v>0</v>
      </c>
      <c r="R29" s="343">
        <f>Q29/100</f>
        <v>0</v>
      </c>
      <c r="S29" s="474"/>
      <c r="T29" s="344"/>
      <c r="U29" s="475"/>
    </row>
    <row r="30" spans="2:21" x14ac:dyDescent="0.25">
      <c r="B30" s="345"/>
      <c r="C30" s="351" t="s">
        <v>54</v>
      </c>
      <c r="D30" s="352" t="str">
        <f>HLOOKUP(Deckblatt!$C$12,Language!$C$1:$D$730,29,FALSE)</f>
        <v>Umweltschadstoffe Neubau / Modernisierung</v>
      </c>
      <c r="E30" s="353"/>
      <c r="F30" s="526"/>
      <c r="G30" s="356"/>
      <c r="H30" s="21">
        <v>100</v>
      </c>
      <c r="I30" s="415"/>
      <c r="J30" s="340"/>
      <c r="K30" s="341"/>
      <c r="L30" s="341"/>
      <c r="M30" s="341"/>
      <c r="N30" s="342"/>
      <c r="P30" s="18">
        <f t="shared" si="1"/>
        <v>0</v>
      </c>
      <c r="Q30" s="338"/>
      <c r="R30" s="344"/>
      <c r="S30" s="474"/>
      <c r="T30" s="344"/>
      <c r="U30" s="475"/>
    </row>
    <row r="31" spans="2:21" x14ac:dyDescent="0.25">
      <c r="B31" s="346"/>
      <c r="C31" s="351"/>
      <c r="D31" s="71" t="s">
        <v>56</v>
      </c>
      <c r="E31" s="132" t="str">
        <f>IF($N$3="Bestand","Nicht relevant für Bestand",HLOOKUP(Deckblatt!$C$12,Language!$C$1:$D$730,30,FALSE))</f>
        <v>Umweltverträgliche Materialien Neubau</v>
      </c>
      <c r="F31" s="527"/>
      <c r="G31" s="69"/>
      <c r="H31" s="18">
        <f>IF($N$3="Neubau",100,IF($N$3="Mischung",50,0))</f>
        <v>50</v>
      </c>
      <c r="I31" s="416"/>
      <c r="J31" s="340"/>
      <c r="K31" s="341"/>
      <c r="L31" s="341"/>
      <c r="M31" s="341"/>
      <c r="N31" s="342"/>
      <c r="P31" s="18">
        <f t="shared" si="1"/>
        <v>0</v>
      </c>
      <c r="Q31" s="338"/>
      <c r="R31" s="344"/>
      <c r="S31" s="474"/>
      <c r="T31" s="344"/>
      <c r="U31" s="475"/>
    </row>
    <row r="32" spans="2:21" x14ac:dyDescent="0.25">
      <c r="B32" s="346"/>
      <c r="C32" s="351" t="s">
        <v>61</v>
      </c>
      <c r="D32" s="352" t="str">
        <f>HLOOKUP(Deckblatt!$C$12,Language!$C$1:$D$730,31,FALSE)</f>
        <v>Umweltschadstoffe Bestand / Altbausubstanz</v>
      </c>
      <c r="E32" s="353"/>
      <c r="F32" s="527"/>
      <c r="G32" s="117"/>
      <c r="H32" s="21">
        <v>100</v>
      </c>
      <c r="I32" s="416"/>
      <c r="J32" s="340"/>
      <c r="K32" s="341"/>
      <c r="L32" s="341"/>
      <c r="M32" s="341"/>
      <c r="N32" s="342"/>
      <c r="P32" s="18">
        <f t="shared" si="1"/>
        <v>0</v>
      </c>
      <c r="Q32" s="338"/>
      <c r="R32" s="344"/>
      <c r="S32" s="474"/>
      <c r="T32" s="344"/>
      <c r="U32" s="475"/>
    </row>
    <row r="33" spans="2:21" x14ac:dyDescent="0.25">
      <c r="B33" s="346"/>
      <c r="C33" s="351"/>
      <c r="D33" s="71" t="s">
        <v>94</v>
      </c>
      <c r="E33" s="132" t="str">
        <f>IF($N$3="Neubau","Nicht relevant für Neubau",HLOOKUP(Deckblatt!$C$12,Language!$C$1:$D$730,32,FALSE))</f>
        <v>Umweltverträgliche Materialien Bestand</v>
      </c>
      <c r="F33" s="527"/>
      <c r="G33" s="69"/>
      <c r="H33" s="18">
        <f>IF($N$3="Neubau",0,IF($N$3="Mischung",50,100))</f>
        <v>50</v>
      </c>
      <c r="I33" s="416"/>
      <c r="J33" s="340"/>
      <c r="K33" s="341"/>
      <c r="L33" s="341"/>
      <c r="M33" s="341"/>
      <c r="N33" s="342"/>
      <c r="P33" s="18">
        <f t="shared" si="1"/>
        <v>0</v>
      </c>
      <c r="Q33" s="338"/>
      <c r="R33" s="344"/>
      <c r="S33" s="474"/>
      <c r="T33" s="344"/>
      <c r="U33" s="475"/>
    </row>
    <row r="34" spans="2:21" x14ac:dyDescent="0.25">
      <c r="B34" s="55" t="s">
        <v>81</v>
      </c>
      <c r="C34" s="354" t="str">
        <f>HLOOKUP(Deckblatt!$C$12,Language!$C$1:$D$730,33,FALSE)</f>
        <v>Stadtklima – Mesoklima</v>
      </c>
      <c r="D34" s="354"/>
      <c r="E34" s="355"/>
      <c r="F34" s="56">
        <f>Q34</f>
        <v>0</v>
      </c>
      <c r="G34" s="356"/>
      <c r="H34" s="21">
        <v>120</v>
      </c>
      <c r="I34" s="177">
        <v>4</v>
      </c>
      <c r="J34" s="340"/>
      <c r="K34" s="341"/>
      <c r="L34" s="341"/>
      <c r="M34" s="341"/>
      <c r="N34" s="342"/>
      <c r="P34" s="18">
        <f t="shared" si="0"/>
        <v>0</v>
      </c>
      <c r="Q34" s="337">
        <f>SUM(P36,P38,P40,P41,P43)</f>
        <v>0</v>
      </c>
      <c r="R34" s="474">
        <f>Q34/100</f>
        <v>0</v>
      </c>
      <c r="S34" s="474"/>
      <c r="T34" s="344"/>
      <c r="U34" s="475"/>
    </row>
    <row r="35" spans="2:21" x14ac:dyDescent="0.25">
      <c r="B35" s="375"/>
      <c r="C35" s="351" t="s">
        <v>54</v>
      </c>
      <c r="D35" s="352" t="str">
        <f>HLOOKUP(Deckblatt!$C$12,Language!$C$1:$D$730,34,FALSE)</f>
        <v>Stadtklimatische Analyse des Quartiers</v>
      </c>
      <c r="E35" s="353"/>
      <c r="F35" s="477"/>
      <c r="G35" s="356"/>
      <c r="H35" s="21">
        <v>30</v>
      </c>
      <c r="I35" s="478"/>
      <c r="J35" s="340"/>
      <c r="K35" s="341"/>
      <c r="L35" s="341"/>
      <c r="M35" s="341"/>
      <c r="N35" s="342"/>
      <c r="P35" s="18">
        <f t="shared" si="0"/>
        <v>0</v>
      </c>
      <c r="Q35" s="338"/>
      <c r="R35" s="474"/>
      <c r="S35" s="474"/>
      <c r="T35" s="344"/>
      <c r="U35" s="475"/>
    </row>
    <row r="36" spans="2:21" ht="87" customHeight="1" x14ac:dyDescent="0.25">
      <c r="B36" s="375"/>
      <c r="C36" s="351"/>
      <c r="D36" s="71" t="s">
        <v>58</v>
      </c>
      <c r="E36"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6" s="477"/>
      <c r="G36" s="69"/>
      <c r="H36" s="18">
        <v>30</v>
      </c>
      <c r="I36" s="478"/>
      <c r="J36" s="340"/>
      <c r="K36" s="341"/>
      <c r="L36" s="341"/>
      <c r="M36" s="341"/>
      <c r="N36" s="342"/>
      <c r="P36" s="18">
        <f t="shared" si="0"/>
        <v>0</v>
      </c>
      <c r="Q36" s="338"/>
      <c r="R36" s="474"/>
      <c r="S36" s="474"/>
      <c r="T36" s="344"/>
      <c r="U36" s="475"/>
    </row>
    <row r="37" spans="2:21" x14ac:dyDescent="0.25">
      <c r="B37" s="375"/>
      <c r="C37" s="351" t="s">
        <v>61</v>
      </c>
      <c r="D37" s="352" t="str">
        <f>HLOOKUP(Deckblatt!$C$12,Language!$C$1:$D$730,36,FALSE)</f>
        <v>Thermische Qualität der Quartiersoberflächen / Werksoberflächen</v>
      </c>
      <c r="E37" s="353"/>
      <c r="F37" s="477"/>
      <c r="G37" s="117"/>
      <c r="H37" s="21">
        <f>IF($N$3="Bestand",50,40)</f>
        <v>40</v>
      </c>
      <c r="I37" s="478"/>
      <c r="J37" s="340"/>
      <c r="K37" s="341"/>
      <c r="L37" s="341"/>
      <c r="M37" s="341"/>
      <c r="N37" s="342"/>
      <c r="P37" s="18">
        <f t="shared" si="0"/>
        <v>0</v>
      </c>
      <c r="Q37" s="338"/>
      <c r="R37" s="474"/>
      <c r="S37" s="474"/>
      <c r="T37" s="344"/>
      <c r="U37" s="475"/>
    </row>
    <row r="38" spans="2:21" ht="36" customHeight="1" x14ac:dyDescent="0.25">
      <c r="B38" s="375"/>
      <c r="C38" s="351"/>
      <c r="D38" s="71" t="s">
        <v>186</v>
      </c>
      <c r="E38" s="150" t="str">
        <f>IF($N$3="Bestand",HLOOKUP(Deckblatt!$C$12,Language!$C$1:$D$730,40,FALSE),HLOOKUP(Deckblatt!$C$12,Language!$C$1:$D$730,39,FALSE))</f>
        <v>Stadtklimafaktor Industriestandorte / Event Areale</v>
      </c>
      <c r="F38" s="477"/>
      <c r="G38" s="69"/>
      <c r="H38" s="18">
        <f>IF($N$3="Bestand",50,40)</f>
        <v>40</v>
      </c>
      <c r="I38" s="478"/>
      <c r="J38" s="340"/>
      <c r="K38" s="341"/>
      <c r="L38" s="341"/>
      <c r="M38" s="341"/>
      <c r="N38" s="342"/>
      <c r="P38" s="18">
        <f t="shared" si="0"/>
        <v>0</v>
      </c>
      <c r="Q38" s="338"/>
      <c r="R38" s="474"/>
      <c r="S38" s="474"/>
      <c r="T38" s="344"/>
      <c r="U38" s="475"/>
    </row>
    <row r="39" spans="2:21" x14ac:dyDescent="0.25">
      <c r="B39" s="375"/>
      <c r="C39" s="351" t="s">
        <v>64</v>
      </c>
      <c r="D39" s="352" t="str">
        <f>HLOOKUP(Deckblatt!$C$12,Language!$C$1:$D$730,41,FALSE)</f>
        <v>Belüftung</v>
      </c>
      <c r="E39" s="353"/>
      <c r="F39" s="477"/>
      <c r="G39" s="117"/>
      <c r="H39" s="21">
        <v>30</v>
      </c>
      <c r="I39" s="478"/>
      <c r="J39" s="340"/>
      <c r="K39" s="341"/>
      <c r="L39" s="341"/>
      <c r="M39" s="341"/>
      <c r="N39" s="342"/>
      <c r="P39" s="18">
        <f t="shared" si="0"/>
        <v>0</v>
      </c>
      <c r="Q39" s="338"/>
      <c r="R39" s="474"/>
      <c r="S39" s="474"/>
      <c r="T39" s="344"/>
      <c r="U39" s="475"/>
    </row>
    <row r="40" spans="2:21" ht="26.4" x14ac:dyDescent="0.25">
      <c r="B40" s="375"/>
      <c r="C40" s="351"/>
      <c r="D40" s="57" t="s">
        <v>66</v>
      </c>
      <c r="E40" s="150" t="str">
        <f>HLOOKUP(Deckblatt!$C$12,Language!$C$1:$D$730,42,FALSE)</f>
        <v xml:space="preserve">Berücksichtigung des Belüftungspotentials
</v>
      </c>
      <c r="F40" s="477"/>
      <c r="G40" s="69"/>
      <c r="H40" s="18">
        <v>15</v>
      </c>
      <c r="I40" s="478"/>
      <c r="J40" s="340"/>
      <c r="K40" s="341"/>
      <c r="L40" s="341"/>
      <c r="M40" s="341"/>
      <c r="N40" s="342"/>
      <c r="P40" s="18">
        <f t="shared" si="0"/>
        <v>0</v>
      </c>
      <c r="Q40" s="338"/>
      <c r="R40" s="474"/>
      <c r="S40" s="474"/>
      <c r="T40" s="344"/>
      <c r="U40" s="475"/>
    </row>
    <row r="41" spans="2:21" ht="26.4" x14ac:dyDescent="0.25">
      <c r="B41" s="375"/>
      <c r="C41" s="351"/>
      <c r="D41" s="71" t="s">
        <v>188</v>
      </c>
      <c r="E41" s="150" t="str">
        <f>HLOOKUP(Deckblatt!$C$12,Language!$C$1:$D$730,43,FALSE)</f>
        <v xml:space="preserve">Gutachten zum Belüftungspotential
</v>
      </c>
      <c r="F41" s="477"/>
      <c r="G41" s="69"/>
      <c r="H41" s="18">
        <v>15</v>
      </c>
      <c r="I41" s="478"/>
      <c r="J41" s="340"/>
      <c r="K41" s="341"/>
      <c r="L41" s="341"/>
      <c r="M41" s="341"/>
      <c r="N41" s="342"/>
      <c r="P41" s="18">
        <f t="shared" si="0"/>
        <v>0</v>
      </c>
      <c r="Q41" s="338"/>
      <c r="R41" s="474"/>
      <c r="S41" s="474"/>
      <c r="T41" s="344"/>
      <c r="U41" s="475"/>
    </row>
    <row r="42" spans="2:21" ht="62.4" customHeight="1" x14ac:dyDescent="0.25">
      <c r="B42" s="375"/>
      <c r="C42" s="351" t="s">
        <v>67</v>
      </c>
      <c r="D42" s="472"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42" s="473"/>
      <c r="F42" s="477"/>
      <c r="G42" s="117"/>
      <c r="H42" s="21">
        <v>20</v>
      </c>
      <c r="I42" s="478"/>
      <c r="J42" s="340"/>
      <c r="K42" s="341"/>
      <c r="L42" s="341"/>
      <c r="M42" s="341"/>
      <c r="N42" s="342"/>
      <c r="P42" s="18">
        <f t="shared" si="0"/>
        <v>0</v>
      </c>
      <c r="Q42" s="338"/>
      <c r="R42" s="474"/>
      <c r="S42" s="474"/>
      <c r="T42" s="344"/>
      <c r="U42" s="475"/>
    </row>
    <row r="43" spans="2:21" ht="96.6" customHeight="1" x14ac:dyDescent="0.25">
      <c r="B43" s="375"/>
      <c r="C43" s="351"/>
      <c r="D43" s="71" t="s">
        <v>69</v>
      </c>
      <c r="E43"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43" s="477"/>
      <c r="G43" s="69"/>
      <c r="H43" s="18">
        <v>20</v>
      </c>
      <c r="I43" s="478"/>
      <c r="J43" s="340"/>
      <c r="K43" s="341"/>
      <c r="L43" s="341"/>
      <c r="M43" s="341"/>
      <c r="N43" s="342"/>
      <c r="P43" s="18">
        <f t="shared" si="0"/>
        <v>0</v>
      </c>
      <c r="Q43" s="339"/>
      <c r="R43" s="474"/>
      <c r="S43" s="474"/>
      <c r="T43" s="344"/>
      <c r="U43" s="475"/>
    </row>
    <row r="44" spans="2:21" x14ac:dyDescent="0.25">
      <c r="B44" s="55" t="s">
        <v>113</v>
      </c>
      <c r="C44" s="354" t="str">
        <f>HLOOKUP(Deckblatt!$C$12,Language!$C$1:$D$730,46,FALSE)</f>
        <v>Wasserkreislaufsysteme</v>
      </c>
      <c r="D44" s="354"/>
      <c r="E44" s="355"/>
      <c r="F44" s="56">
        <f>Q44</f>
        <v>0</v>
      </c>
      <c r="G44" s="362"/>
      <c r="H44" s="21">
        <v>120</v>
      </c>
      <c r="I44" s="176">
        <v>5</v>
      </c>
      <c r="J44" s="340"/>
      <c r="K44" s="341"/>
      <c r="L44" s="341"/>
      <c r="M44" s="341"/>
      <c r="N44" s="342"/>
      <c r="P44" s="18">
        <f t="shared" si="0"/>
        <v>0</v>
      </c>
      <c r="Q44" s="337">
        <f>SUM(P46,P48:P51,P53:P55,P57:P58,P60,IF(P63+P64&gt;20,20,P63+P64),P67)</f>
        <v>0</v>
      </c>
      <c r="R44" s="343">
        <f>Q44/100</f>
        <v>0</v>
      </c>
      <c r="S44" s="474"/>
      <c r="T44" s="344"/>
      <c r="U44" s="475"/>
    </row>
    <row r="45" spans="2:21" x14ac:dyDescent="0.25">
      <c r="B45" s="345"/>
      <c r="C45" s="392" t="s">
        <v>54</v>
      </c>
      <c r="D45" s="352" t="str">
        <f>HLOOKUP(Deckblatt!$C$12,Language!$C$1:$D$730,47,FALSE)</f>
        <v>Reduzierung des Trinkwasserverbrauchs</v>
      </c>
      <c r="E45" s="353"/>
      <c r="F45" s="347"/>
      <c r="G45" s="362"/>
      <c r="H45" s="21">
        <v>60</v>
      </c>
      <c r="I45" s="349"/>
      <c r="J45" s="340"/>
      <c r="K45" s="341"/>
      <c r="L45" s="341"/>
      <c r="M45" s="341"/>
      <c r="N45" s="342"/>
      <c r="P45" s="18">
        <f t="shared" si="0"/>
        <v>0</v>
      </c>
      <c r="Q45" s="338"/>
      <c r="R45" s="344"/>
      <c r="S45" s="474"/>
      <c r="T45" s="344"/>
      <c r="U45" s="475"/>
    </row>
    <row r="46" spans="2:21" ht="28.2" customHeight="1" x14ac:dyDescent="0.25">
      <c r="B46" s="346"/>
      <c r="C46" s="392"/>
      <c r="D46" s="71" t="s">
        <v>58</v>
      </c>
      <c r="E46" s="150" t="str">
        <f>HLOOKUP(Deckblatt!$C$12,Language!$C$1:$D$730,48,FALSE)</f>
        <v xml:space="preserve">Wassernutzungskonzept
</v>
      </c>
      <c r="F46" s="348"/>
      <c r="G46" s="69"/>
      <c r="H46" s="18">
        <v>5</v>
      </c>
      <c r="I46" s="350"/>
      <c r="J46" s="340"/>
      <c r="K46" s="341"/>
      <c r="L46" s="341"/>
      <c r="M46" s="341"/>
      <c r="N46" s="342"/>
      <c r="P46" s="18">
        <f t="shared" si="0"/>
        <v>0</v>
      </c>
      <c r="Q46" s="338"/>
      <c r="R46" s="344"/>
      <c r="S46" s="474"/>
      <c r="T46" s="344"/>
      <c r="U46" s="475"/>
    </row>
    <row r="47" spans="2:21" x14ac:dyDescent="0.25">
      <c r="B47" s="346"/>
      <c r="C47" s="392"/>
      <c r="D47" s="481" t="s">
        <v>181</v>
      </c>
      <c r="E47" s="150" t="str">
        <f>HLOOKUP(Deckblatt!$C$12,Language!$C$1:$D$730,49,FALSE)</f>
        <v>Maßnahmen zur Reduktion des Trinkwasserverbrauchs</v>
      </c>
      <c r="F47" s="348"/>
      <c r="G47" s="117"/>
      <c r="H47" s="21">
        <v>25</v>
      </c>
      <c r="I47" s="350"/>
      <c r="J47" s="340"/>
      <c r="K47" s="341"/>
      <c r="L47" s="341"/>
      <c r="M47" s="341"/>
      <c r="N47" s="342"/>
      <c r="P47" s="18">
        <f t="shared" si="0"/>
        <v>0</v>
      </c>
      <c r="Q47" s="338"/>
      <c r="R47" s="344"/>
      <c r="S47" s="474"/>
      <c r="T47" s="344"/>
      <c r="U47" s="475"/>
    </row>
    <row r="48" spans="2:21" ht="48.6" customHeight="1" x14ac:dyDescent="0.25">
      <c r="B48" s="346"/>
      <c r="C48" s="392"/>
      <c r="D48" s="481"/>
      <c r="E48" s="134" t="str">
        <f>HLOOKUP(Deckblatt!$C$12,Language!$C$1:$D$730,50,FALSE)</f>
        <v xml:space="preserve">Maßnahme die den Trinkwasserbedarf im Quartier (Gebäude + Freiraum) reduzieren sind umgesetzt und in einem übergeordneten Konzept dargestellt. 
</v>
      </c>
      <c r="F48" s="348"/>
      <c r="G48" s="69"/>
      <c r="H48" s="18">
        <v>5</v>
      </c>
      <c r="I48" s="350"/>
      <c r="J48" s="340"/>
      <c r="K48" s="341"/>
      <c r="L48" s="341"/>
      <c r="M48" s="341"/>
      <c r="N48" s="342"/>
      <c r="P48" s="18">
        <f t="shared" si="0"/>
        <v>0</v>
      </c>
      <c r="Q48" s="338"/>
      <c r="R48" s="344"/>
      <c r="S48" s="474"/>
      <c r="T48" s="344"/>
      <c r="U48" s="475"/>
    </row>
    <row r="49" spans="2:21" ht="33" customHeight="1" x14ac:dyDescent="0.25">
      <c r="B49" s="346"/>
      <c r="C49" s="392"/>
      <c r="D49" s="481"/>
      <c r="E49" s="134" t="str">
        <f>HLOOKUP(Deckblatt!$C$12,Language!$C$1:$D$730,51,FALSE)</f>
        <v xml:space="preserve">Regelmäßige Information an die Nutzer des Quartiers
</v>
      </c>
      <c r="F49" s="348"/>
      <c r="G49" s="69"/>
      <c r="H49" s="18">
        <v>5</v>
      </c>
      <c r="I49" s="350"/>
      <c r="J49" s="340"/>
      <c r="K49" s="341"/>
      <c r="L49" s="341"/>
      <c r="M49" s="341"/>
      <c r="N49" s="342"/>
      <c r="P49" s="18">
        <f t="shared" si="0"/>
        <v>0</v>
      </c>
      <c r="Q49" s="338"/>
      <c r="R49" s="344"/>
      <c r="S49" s="474"/>
      <c r="T49" s="344"/>
      <c r="U49" s="475"/>
    </row>
    <row r="50" spans="2:21" ht="33" customHeight="1" x14ac:dyDescent="0.25">
      <c r="B50" s="346"/>
      <c r="C50" s="392"/>
      <c r="D50" s="481"/>
      <c r="E50" s="134" t="str">
        <f>HLOOKUP(Deckblatt!$C$12,Language!$C$1:$D$730,52,FALSE)</f>
        <v xml:space="preserve">Max. 20% des Wasserbedarfs der WCs im Quartier werden über Trinkwasser versorgt. 
</v>
      </c>
      <c r="F50" s="348"/>
      <c r="G50" s="69"/>
      <c r="H50" s="18">
        <v>10</v>
      </c>
      <c r="I50" s="350"/>
      <c r="J50" s="340"/>
      <c r="K50" s="341"/>
      <c r="L50" s="341"/>
      <c r="M50" s="341"/>
      <c r="N50" s="342"/>
      <c r="P50" s="18">
        <f t="shared" si="0"/>
        <v>0</v>
      </c>
      <c r="Q50" s="338"/>
      <c r="R50" s="344"/>
      <c r="S50" s="474"/>
      <c r="T50" s="344"/>
      <c r="U50" s="475"/>
    </row>
    <row r="51" spans="2:21" ht="33" customHeight="1" x14ac:dyDescent="0.25">
      <c r="B51" s="346"/>
      <c r="C51" s="392"/>
      <c r="D51" s="481"/>
      <c r="E51" s="134" t="str">
        <f>HLOOKUP(Deckblatt!$C$12,Language!$C$1:$D$730,53,FALSE)</f>
        <v xml:space="preserve">Nutzung von Regen- bzw. Betriebswasser* bei 100 % der öffentlichen Freiflächen 
</v>
      </c>
      <c r="F51" s="348"/>
      <c r="G51" s="69"/>
      <c r="H51" s="18">
        <v>5</v>
      </c>
      <c r="I51" s="350"/>
      <c r="J51" s="340"/>
      <c r="K51" s="341"/>
      <c r="L51" s="341"/>
      <c r="M51" s="341"/>
      <c r="N51" s="342"/>
      <c r="P51" s="18">
        <f t="shared" si="0"/>
        <v>0</v>
      </c>
      <c r="Q51" s="338"/>
      <c r="R51" s="344"/>
      <c r="S51" s="474"/>
      <c r="T51" s="344"/>
      <c r="U51" s="475"/>
    </row>
    <row r="52" spans="2:21" ht="40.950000000000003" customHeight="1" x14ac:dyDescent="0.25">
      <c r="B52" s="346"/>
      <c r="C52" s="392"/>
      <c r="D52" s="398" t="s">
        <v>246</v>
      </c>
      <c r="E52" s="150" t="str">
        <f>HLOOKUP(Deckblatt!$C$12,Language!$C$1:$D$730,54,FALSE)</f>
        <v>Maßnahmen zur Reduktion des Trinkwasserverbrauchs bei Produktionsprozessen*</v>
      </c>
      <c r="F52" s="348"/>
      <c r="G52" s="117"/>
      <c r="H52" s="18">
        <v>10</v>
      </c>
      <c r="I52" s="350"/>
      <c r="J52" s="340"/>
      <c r="K52" s="341"/>
      <c r="L52" s="341"/>
      <c r="M52" s="341"/>
      <c r="N52" s="342"/>
      <c r="P52" s="18">
        <f t="shared" si="0"/>
        <v>0</v>
      </c>
      <c r="Q52" s="338"/>
      <c r="R52" s="344"/>
      <c r="S52" s="474"/>
      <c r="T52" s="344"/>
      <c r="U52" s="475"/>
    </row>
    <row r="53" spans="2:21" ht="51" customHeight="1" x14ac:dyDescent="0.25">
      <c r="B53" s="346"/>
      <c r="C53" s="392"/>
      <c r="D53" s="414"/>
      <c r="E53" s="134" t="str">
        <f>HLOOKUP(Deckblatt!$C$12,Language!$C$1:$D$730,55,FALSE)</f>
        <v xml:space="preserve">Es gibt ein Konzept, in dem untersucht wurde (ökonomisch-energetische Betrachtung), wie Prozesswasser durch Nicht-Trinkwasser substituiert und/oder wiederaufbereitet werden kann.
</v>
      </c>
      <c r="F53" s="348"/>
      <c r="G53" s="69"/>
      <c r="H53" s="18">
        <v>5</v>
      </c>
      <c r="I53" s="350"/>
      <c r="J53" s="340"/>
      <c r="K53" s="341"/>
      <c r="L53" s="341"/>
      <c r="M53" s="341"/>
      <c r="N53" s="342"/>
      <c r="P53" s="18">
        <f t="shared" si="0"/>
        <v>0</v>
      </c>
      <c r="Q53" s="338"/>
      <c r="R53" s="344"/>
      <c r="S53" s="474"/>
      <c r="T53" s="344"/>
      <c r="U53" s="475"/>
    </row>
    <row r="54" spans="2:21" ht="51" customHeight="1" x14ac:dyDescent="0.25">
      <c r="B54" s="346"/>
      <c r="C54" s="392"/>
      <c r="D54" s="399"/>
      <c r="E54" s="134" t="str">
        <f>HLOOKUP(Deckblatt!$C$12,Language!$C$1:$D$730,56,FALSE)</f>
        <v xml:space="preserve">Maßnahmen zur Wiederaufbereitung von Prozesswasser und/oder Substitution von Trinkwasser (Regenwasseraufbereitung u. -nutzung) wurden in signifikantem Maße umgesetzt (mindestens 50 %. Begründung auf Basis des Wassernutzungskonzepts. 
</v>
      </c>
      <c r="F54" s="348"/>
      <c r="G54" s="69"/>
      <c r="H54" s="18">
        <v>5</v>
      </c>
      <c r="I54" s="350"/>
      <c r="J54" s="340"/>
      <c r="K54" s="341"/>
      <c r="L54" s="341"/>
      <c r="M54" s="341"/>
      <c r="N54" s="342"/>
      <c r="P54" s="18">
        <f t="shared" si="0"/>
        <v>0</v>
      </c>
      <c r="Q54" s="338"/>
      <c r="R54" s="344"/>
      <c r="S54" s="474"/>
      <c r="T54" s="344"/>
      <c r="U54" s="475"/>
    </row>
    <row r="55" spans="2:21" ht="72.599999999999994" customHeight="1" x14ac:dyDescent="0.25">
      <c r="B55" s="346"/>
      <c r="C55" s="392"/>
      <c r="D55" s="71" t="s">
        <v>250</v>
      </c>
      <c r="E55" s="68" t="str">
        <f>HLOOKUP(Deckblatt!$C$12,Language!$C$1:$D$730,57,FALSE)</f>
        <v xml:space="preserve">CIRCULAR ECONOMY BONUS – WIEDERVERWENDUNG PROZESSWASSER
Wenn mehr als 50 % des in der Produktion eingesetzten Prozesswassers über Aufbereitung / Recycling im Kreislauf gehalten werden, kann pro zusätzliche 5 % im Kreislauf gehaltenes Prozesswasser 1 Punkt angerechnet werden.
</v>
      </c>
      <c r="F55" s="348"/>
      <c r="G55" s="69"/>
      <c r="H55" s="21">
        <v>10</v>
      </c>
      <c r="I55" s="350"/>
      <c r="J55" s="340"/>
      <c r="K55" s="341"/>
      <c r="L55" s="341"/>
      <c r="M55" s="341"/>
      <c r="N55" s="342"/>
      <c r="P55" s="18">
        <f t="shared" ref="P55" si="2">IF(G55&gt;H55,H55,G55)</f>
        <v>0</v>
      </c>
      <c r="Q55" s="338"/>
      <c r="R55" s="344"/>
      <c r="S55" s="474"/>
      <c r="T55" s="344"/>
      <c r="U55" s="475"/>
    </row>
    <row r="56" spans="2:21" ht="39.6" x14ac:dyDescent="0.25">
      <c r="B56" s="346"/>
      <c r="C56" s="392"/>
      <c r="D56" s="361" t="s">
        <v>121</v>
      </c>
      <c r="E56" s="68" t="str">
        <f>HLOOKUP(Deckblatt!$C$12,Language!$C$1:$D$730,58,FALSE)</f>
        <v xml:space="preserve">CIRCULAR ECONOMY BONUS - WIEDERVERWENDUNG SCHWARZWASSER
</v>
      </c>
      <c r="F56" s="348"/>
      <c r="G56" s="117"/>
      <c r="H56" s="21">
        <v>10</v>
      </c>
      <c r="I56" s="350"/>
      <c r="J56" s="340"/>
      <c r="K56" s="341"/>
      <c r="L56" s="341"/>
      <c r="M56" s="341"/>
      <c r="N56" s="342"/>
      <c r="P56" s="18">
        <f t="shared" si="0"/>
        <v>0</v>
      </c>
      <c r="Q56" s="338"/>
      <c r="R56" s="344"/>
      <c r="S56" s="474"/>
      <c r="T56" s="344"/>
      <c r="U56" s="475"/>
    </row>
    <row r="57" spans="2:21" ht="25.95" customHeight="1" x14ac:dyDescent="0.25">
      <c r="B57" s="346"/>
      <c r="C57" s="392"/>
      <c r="D57" s="361"/>
      <c r="E57" s="134" t="str">
        <f>HLOOKUP(Deckblatt!$C$12,Language!$C$1:$D$730,59,FALSE)</f>
        <v xml:space="preserve">Aufbereitung von Schwarzwasser für Bewässerung
</v>
      </c>
      <c r="F57" s="348"/>
      <c r="G57" s="69"/>
      <c r="H57" s="18">
        <v>5</v>
      </c>
      <c r="I57" s="350"/>
      <c r="J57" s="340"/>
      <c r="K57" s="341"/>
      <c r="L57" s="341"/>
      <c r="M57" s="341"/>
      <c r="N57" s="342"/>
      <c r="P57" s="18">
        <f t="shared" si="0"/>
        <v>0</v>
      </c>
      <c r="Q57" s="338"/>
      <c r="R57" s="344"/>
      <c r="S57" s="474"/>
      <c r="T57" s="344"/>
      <c r="U57" s="475"/>
    </row>
    <row r="58" spans="2:21" ht="25.95" customHeight="1" x14ac:dyDescent="0.25">
      <c r="B58" s="346"/>
      <c r="C58" s="392"/>
      <c r="D58" s="361"/>
      <c r="E58" s="134" t="str">
        <f>HLOOKUP(Deckblatt!$C$12,Language!$C$1:$D$730,60,FALSE)</f>
        <v xml:space="preserve">Aufbereitung von Schwarzwasser für Nutzungen die über Bewässerung hinaus gehen
</v>
      </c>
      <c r="F58" s="348"/>
      <c r="G58" s="69"/>
      <c r="H58" s="18">
        <v>5</v>
      </c>
      <c r="I58" s="350"/>
      <c r="J58" s="340"/>
      <c r="K58" s="341"/>
      <c r="L58" s="341"/>
      <c r="M58" s="341"/>
      <c r="N58" s="342"/>
      <c r="P58" s="18">
        <f t="shared" si="0"/>
        <v>0</v>
      </c>
      <c r="Q58" s="338"/>
      <c r="R58" s="344"/>
      <c r="S58" s="474"/>
      <c r="T58" s="344"/>
      <c r="U58" s="475"/>
    </row>
    <row r="59" spans="2:21" x14ac:dyDescent="0.25">
      <c r="B59" s="346"/>
      <c r="C59" s="369" t="s">
        <v>61</v>
      </c>
      <c r="D59" s="352" t="str">
        <f>HLOOKUP(Deckblatt!$C$12,Language!$C$1:$D$730,61,FALSE)</f>
        <v>Quartierswasserbilanz</v>
      </c>
      <c r="E59" s="353"/>
      <c r="F59" s="348"/>
      <c r="G59" s="117"/>
      <c r="H59" s="21">
        <v>30</v>
      </c>
      <c r="I59" s="350"/>
      <c r="J59" s="340"/>
      <c r="K59" s="341"/>
      <c r="L59" s="341"/>
      <c r="M59" s="341"/>
      <c r="N59" s="342"/>
      <c r="P59" s="18">
        <f t="shared" si="0"/>
        <v>0</v>
      </c>
      <c r="Q59" s="338"/>
      <c r="R59" s="344"/>
      <c r="S59" s="474"/>
      <c r="T59" s="344"/>
      <c r="U59" s="475"/>
    </row>
    <row r="60" spans="2:21" ht="22.95" customHeight="1" x14ac:dyDescent="0.25">
      <c r="B60" s="346"/>
      <c r="C60" s="479"/>
      <c r="D60" s="71" t="s">
        <v>63</v>
      </c>
      <c r="E60" s="150" t="str">
        <f>HLOOKUP(Deckblatt!$C$12,Language!$C$1:$D$730,62,FALSE)</f>
        <v xml:space="preserve">Prozentuale Anteil des Niederschlags am Abfluss (A) im Verhältnis zur Referenzfläche
</v>
      </c>
      <c r="F60" s="348"/>
      <c r="G60" s="69"/>
      <c r="H60" s="18">
        <v>30</v>
      </c>
      <c r="I60" s="350"/>
      <c r="J60" s="340"/>
      <c r="K60" s="341"/>
      <c r="L60" s="341"/>
      <c r="M60" s="341"/>
      <c r="N60" s="342"/>
      <c r="P60" s="18">
        <f t="shared" si="0"/>
        <v>0</v>
      </c>
      <c r="Q60" s="338"/>
      <c r="R60" s="344"/>
      <c r="S60" s="474"/>
      <c r="T60" s="344"/>
      <c r="U60" s="475"/>
    </row>
    <row r="61" spans="2:21" x14ac:dyDescent="0.25">
      <c r="B61" s="346"/>
      <c r="C61" s="392" t="s">
        <v>64</v>
      </c>
      <c r="D61" s="352" t="str">
        <f>HLOOKUP(Deckblatt!$C$12,Language!$C$1:$D$730,63,FALSE)</f>
        <v>Rückhaltung bzw. Drosselung von Regenwasser</v>
      </c>
      <c r="E61" s="353"/>
      <c r="F61" s="348"/>
      <c r="G61" s="362"/>
      <c r="H61" s="21">
        <v>20</v>
      </c>
      <c r="I61" s="350"/>
      <c r="J61" s="340"/>
      <c r="K61" s="341"/>
      <c r="L61" s="341"/>
      <c r="M61" s="341"/>
      <c r="N61" s="342"/>
      <c r="P61" s="18">
        <f t="shared" si="0"/>
        <v>0</v>
      </c>
      <c r="Q61" s="338"/>
      <c r="R61" s="344"/>
      <c r="S61" s="474"/>
      <c r="T61" s="344"/>
      <c r="U61" s="475"/>
    </row>
    <row r="62" spans="2:21" ht="22.95" customHeight="1" x14ac:dyDescent="0.25">
      <c r="B62" s="346"/>
      <c r="C62" s="392"/>
      <c r="D62" s="361" t="s">
        <v>66</v>
      </c>
      <c r="E62" s="150" t="str">
        <f>HLOOKUP(Deckblatt!$C$12,Language!$C$1:$D$730,64,FALSE)</f>
        <v>Rückhaltung Regenwasser</v>
      </c>
      <c r="F62" s="348"/>
      <c r="G62" s="362"/>
      <c r="H62" s="21">
        <v>20</v>
      </c>
      <c r="I62" s="350"/>
      <c r="J62" s="340"/>
      <c r="K62" s="341"/>
      <c r="L62" s="341"/>
      <c r="M62" s="341"/>
      <c r="N62" s="342"/>
      <c r="P62" s="18">
        <f t="shared" si="0"/>
        <v>0</v>
      </c>
      <c r="Q62" s="338"/>
      <c r="R62" s="344"/>
      <c r="S62" s="474"/>
      <c r="T62" s="344"/>
      <c r="U62" s="475"/>
    </row>
    <row r="63" spans="2:21" ht="39" customHeight="1" x14ac:dyDescent="0.25">
      <c r="B63" s="346"/>
      <c r="C63" s="392"/>
      <c r="D63" s="361"/>
      <c r="E63" s="134" t="str">
        <f>HLOOKUP(Deckblatt!$C$12,Language!$C$1:$D$730,65,FALSE)</f>
        <v xml:space="preserve">Regenwasserretention im Quartier. (und ggf. durch Maßnahmen außerhalb des Quartiers ergänzt)
</v>
      </c>
      <c r="F63" s="348"/>
      <c r="G63" s="69"/>
      <c r="H63" s="18">
        <v>20</v>
      </c>
      <c r="I63" s="350"/>
      <c r="J63" s="340"/>
      <c r="K63" s="341"/>
      <c r="L63" s="341"/>
      <c r="M63" s="341"/>
      <c r="N63" s="342"/>
      <c r="P63" s="18">
        <f t="shared" si="0"/>
        <v>0</v>
      </c>
      <c r="Q63" s="338"/>
      <c r="R63" s="344"/>
      <c r="S63" s="474"/>
      <c r="T63" s="344"/>
      <c r="U63" s="475"/>
    </row>
    <row r="64" spans="2:21" ht="26.4" x14ac:dyDescent="0.25">
      <c r="B64" s="346"/>
      <c r="C64" s="392"/>
      <c r="D64" s="361"/>
      <c r="E64" s="134" t="str">
        <f>HLOOKUP(Deckblatt!$C$12,Language!$C$1:$D$730,66,FALSE)</f>
        <v xml:space="preserve">Regenwasserretention ausschließlich außerhalb des Quartiers
</v>
      </c>
      <c r="F64" s="348"/>
      <c r="G64" s="69"/>
      <c r="H64" s="18">
        <v>10</v>
      </c>
      <c r="I64" s="350"/>
      <c r="J64" s="340"/>
      <c r="K64" s="341"/>
      <c r="L64" s="341"/>
      <c r="M64" s="341"/>
      <c r="N64" s="342"/>
      <c r="P64" s="18">
        <f>IF(P63&gt;0,0,IF(G64&gt;H64,H64,G64))</f>
        <v>0</v>
      </c>
      <c r="Q64" s="338"/>
      <c r="R64" s="344"/>
      <c r="S64" s="474"/>
      <c r="T64" s="344"/>
      <c r="U64" s="475"/>
    </row>
    <row r="65" spans="2:21" x14ac:dyDescent="0.25">
      <c r="B65" s="346"/>
      <c r="C65" s="392" t="s">
        <v>67</v>
      </c>
      <c r="D65" s="352" t="str">
        <f>HLOOKUP(Deckblatt!$C$12,Language!$C$1:$D$730,67,FALSE)</f>
        <v>Gestalterische Integration der Wasserinfrastruktur in das Freiraumkonzept</v>
      </c>
      <c r="E65" s="353"/>
      <c r="F65" s="348"/>
      <c r="G65" s="362"/>
      <c r="H65" s="21">
        <v>10</v>
      </c>
      <c r="I65" s="350"/>
      <c r="J65" s="340"/>
      <c r="K65" s="341"/>
      <c r="L65" s="341"/>
      <c r="M65" s="341"/>
      <c r="N65" s="342"/>
      <c r="P65" s="18">
        <f t="shared" si="0"/>
        <v>0</v>
      </c>
      <c r="Q65" s="338"/>
      <c r="R65" s="344"/>
      <c r="S65" s="474"/>
      <c r="T65" s="344"/>
      <c r="U65" s="475"/>
    </row>
    <row r="66" spans="2:21" ht="22.95" customHeight="1" x14ac:dyDescent="0.25">
      <c r="B66" s="346"/>
      <c r="C66" s="392"/>
      <c r="D66" s="361" t="s">
        <v>98</v>
      </c>
      <c r="E66" s="150" t="str">
        <f>HLOOKUP(Deckblatt!$C$12,Language!$C$1:$D$730,68,FALSE)</f>
        <v>Gestalterische Integration</v>
      </c>
      <c r="F66" s="348"/>
      <c r="G66" s="362"/>
      <c r="H66" s="21">
        <v>10</v>
      </c>
      <c r="I66" s="350"/>
      <c r="J66" s="340"/>
      <c r="K66" s="341"/>
      <c r="L66" s="341"/>
      <c r="M66" s="341"/>
      <c r="N66" s="342"/>
      <c r="P66" s="18">
        <f t="shared" si="0"/>
        <v>0</v>
      </c>
      <c r="Q66" s="338"/>
      <c r="R66" s="344"/>
      <c r="S66" s="474"/>
      <c r="T66" s="344"/>
      <c r="U66" s="475"/>
    </row>
    <row r="67" spans="2:21" ht="26.4" x14ac:dyDescent="0.25">
      <c r="B67" s="346"/>
      <c r="C67" s="392"/>
      <c r="D67" s="361"/>
      <c r="E67" s="134" t="str">
        <f>HLOOKUP(Deckblatt!$C$12,Language!$C$1:$D$730,69,FALSE)</f>
        <v xml:space="preserve">Die Regenwasserinfrastruktur ist gestalterisch in das Freiraumkonzept integriert. </v>
      </c>
      <c r="F67" s="348"/>
      <c r="G67" s="69"/>
      <c r="H67" s="18">
        <v>10</v>
      </c>
      <c r="I67" s="350"/>
      <c r="J67" s="340"/>
      <c r="K67" s="341"/>
      <c r="L67" s="341"/>
      <c r="M67" s="341"/>
      <c r="N67" s="342"/>
      <c r="P67" s="18">
        <f t="shared" si="0"/>
        <v>0</v>
      </c>
      <c r="Q67" s="338"/>
      <c r="R67" s="344"/>
      <c r="S67" s="474"/>
      <c r="T67" s="344"/>
      <c r="U67" s="475"/>
    </row>
    <row r="68" spans="2:21" x14ac:dyDescent="0.25">
      <c r="B68" s="55" t="s">
        <v>134</v>
      </c>
      <c r="C68" s="354" t="str">
        <f>HLOOKUP(Deckblatt!$C$12,Language!$C$1:$D$730,70,FALSE)</f>
        <v>Flächeninanspruchnahme</v>
      </c>
      <c r="D68" s="354"/>
      <c r="E68" s="355"/>
      <c r="F68" s="56">
        <f>Q68</f>
        <v>0</v>
      </c>
      <c r="G68" s="356"/>
      <c r="H68" s="21">
        <v>100</v>
      </c>
      <c r="I68" s="176">
        <v>4</v>
      </c>
      <c r="J68" s="340"/>
      <c r="K68" s="341"/>
      <c r="L68" s="341"/>
      <c r="M68" s="341"/>
      <c r="N68" s="342"/>
      <c r="P68" s="18">
        <f t="shared" si="0"/>
        <v>0</v>
      </c>
      <c r="Q68" s="337">
        <f>IF(SUM(P70,P72,IF(P75+P76&gt;15,15,P75+P76),P78)&gt;100,100,SUM(P70,P72,IF(P75+P76&gt;15,15,P75+P76),P78))</f>
        <v>0</v>
      </c>
      <c r="R68" s="343">
        <f>Q68/100</f>
        <v>0</v>
      </c>
      <c r="S68" s="474"/>
      <c r="T68" s="344"/>
      <c r="U68" s="475"/>
    </row>
    <row r="69" spans="2:21" x14ac:dyDescent="0.25">
      <c r="B69" s="375"/>
      <c r="C69" s="392" t="s">
        <v>54</v>
      </c>
      <c r="D69" s="352" t="str">
        <f>HLOOKUP(Deckblatt!$C$12,Language!$C$1:$D$730,71,FALSE)</f>
        <v>Brachflächenanteil</v>
      </c>
      <c r="E69" s="353"/>
      <c r="F69" s="363"/>
      <c r="G69" s="356"/>
      <c r="H69" s="21">
        <v>40</v>
      </c>
      <c r="I69" s="379"/>
      <c r="J69" s="340"/>
      <c r="K69" s="341"/>
      <c r="L69" s="341"/>
      <c r="M69" s="341"/>
      <c r="N69" s="342"/>
      <c r="P69" s="18">
        <f t="shared" si="0"/>
        <v>0</v>
      </c>
      <c r="Q69" s="338"/>
      <c r="R69" s="344"/>
      <c r="S69" s="474"/>
      <c r="T69" s="344"/>
      <c r="U69" s="475"/>
    </row>
    <row r="70" spans="2:21" ht="26.4" x14ac:dyDescent="0.25">
      <c r="B70" s="375"/>
      <c r="C70" s="392"/>
      <c r="D70" s="71" t="s">
        <v>58</v>
      </c>
      <c r="E70" s="150" t="str">
        <f>HLOOKUP(Deckblatt!$C$12,Language!$C$1:$D$730,72,FALSE)</f>
        <v xml:space="preserve">Brachflächenanteil in Prozent
</v>
      </c>
      <c r="F70" s="363"/>
      <c r="G70" s="69"/>
      <c r="H70" s="18">
        <v>40</v>
      </c>
      <c r="I70" s="379"/>
      <c r="J70" s="340"/>
      <c r="K70" s="341"/>
      <c r="L70" s="341"/>
      <c r="M70" s="341"/>
      <c r="N70" s="342"/>
      <c r="P70" s="18">
        <f t="shared" si="0"/>
        <v>0</v>
      </c>
      <c r="Q70" s="338"/>
      <c r="R70" s="344"/>
      <c r="S70" s="474"/>
      <c r="T70" s="344"/>
      <c r="U70" s="475"/>
    </row>
    <row r="71" spans="2:21" x14ac:dyDescent="0.25">
      <c r="B71" s="375"/>
      <c r="C71" s="392" t="s">
        <v>61</v>
      </c>
      <c r="D71" s="352" t="str">
        <f>HLOOKUP(Deckblatt!$C$12,Language!$C$1:$D$730,73,FALSE)</f>
        <v>Flächeneinbindung</v>
      </c>
      <c r="E71" s="353"/>
      <c r="F71" s="363"/>
      <c r="G71" s="113"/>
      <c r="H71" s="21">
        <v>20</v>
      </c>
      <c r="I71" s="379"/>
      <c r="J71" s="340"/>
      <c r="K71" s="341"/>
      <c r="L71" s="341"/>
      <c r="M71" s="341"/>
      <c r="N71" s="342"/>
      <c r="P71" s="18">
        <f t="shared" si="0"/>
        <v>0</v>
      </c>
      <c r="Q71" s="338"/>
      <c r="R71" s="344"/>
      <c r="S71" s="474"/>
      <c r="T71" s="344"/>
      <c r="U71" s="475"/>
    </row>
    <row r="72" spans="2:21" ht="26.4" x14ac:dyDescent="0.25">
      <c r="B72" s="375"/>
      <c r="C72" s="392"/>
      <c r="D72" s="71" t="s">
        <v>63</v>
      </c>
      <c r="E72" s="150" t="str">
        <f>HLOOKUP(Deckblatt!$C$12,Language!$C$1:$D$730,74,FALSE)</f>
        <v xml:space="preserve">Flächeneinbindung in Prozent
</v>
      </c>
      <c r="F72" s="363"/>
      <c r="G72" s="69"/>
      <c r="H72" s="18">
        <v>20</v>
      </c>
      <c r="I72" s="379"/>
      <c r="J72" s="340"/>
      <c r="K72" s="341"/>
      <c r="L72" s="341"/>
      <c r="M72" s="341"/>
      <c r="N72" s="342"/>
      <c r="P72" s="18">
        <f t="shared" si="0"/>
        <v>0</v>
      </c>
      <c r="Q72" s="338"/>
      <c r="R72" s="344"/>
      <c r="S72" s="474"/>
      <c r="T72" s="344"/>
      <c r="U72" s="475"/>
    </row>
    <row r="73" spans="2:21" x14ac:dyDescent="0.25">
      <c r="B73" s="375"/>
      <c r="C73" s="369" t="s">
        <v>64</v>
      </c>
      <c r="D73" s="352" t="str">
        <f>HLOOKUP(Deckblatt!$C$12,Language!$C$1:$D$730,75,FALSE)</f>
        <v>Flächenbelastung</v>
      </c>
      <c r="E73" s="353"/>
      <c r="F73" s="363"/>
      <c r="G73" s="113"/>
      <c r="H73" s="21">
        <v>15</v>
      </c>
      <c r="I73" s="379"/>
      <c r="J73" s="340"/>
      <c r="K73" s="341"/>
      <c r="L73" s="341"/>
      <c r="M73" s="341"/>
      <c r="N73" s="342"/>
      <c r="P73" s="18">
        <f t="shared" si="0"/>
        <v>0</v>
      </c>
      <c r="Q73" s="338"/>
      <c r="R73" s="344"/>
      <c r="S73" s="474"/>
      <c r="T73" s="344"/>
      <c r="U73" s="475"/>
    </row>
    <row r="74" spans="2:21" x14ac:dyDescent="0.25">
      <c r="B74" s="375"/>
      <c r="C74" s="480"/>
      <c r="D74" s="398" t="s">
        <v>66</v>
      </c>
      <c r="E74" s="150" t="str">
        <f>HLOOKUP(Deckblatt!$C$12,Language!$C$1:$D$730,76,FALSE)</f>
        <v>Flächenbelastung durch Altlasten</v>
      </c>
      <c r="F74" s="363"/>
      <c r="G74" s="113"/>
      <c r="H74" s="21">
        <v>15</v>
      </c>
      <c r="I74" s="379"/>
      <c r="J74" s="340"/>
      <c r="K74" s="341"/>
      <c r="L74" s="341"/>
      <c r="M74" s="341"/>
      <c r="N74" s="342"/>
      <c r="P74" s="18">
        <f t="shared" si="0"/>
        <v>0</v>
      </c>
      <c r="Q74" s="338"/>
      <c r="R74" s="344"/>
      <c r="S74" s="474"/>
      <c r="T74" s="344"/>
      <c r="U74" s="475"/>
    </row>
    <row r="75" spans="2:21" ht="181.95" customHeight="1" x14ac:dyDescent="0.25">
      <c r="B75" s="375"/>
      <c r="C75" s="480"/>
      <c r="D75" s="414"/>
      <c r="E75"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75" s="363"/>
      <c r="G75" s="69"/>
      <c r="H75" s="18">
        <v>15</v>
      </c>
      <c r="I75" s="379"/>
      <c r="J75" s="340"/>
      <c r="K75" s="341"/>
      <c r="L75" s="341"/>
      <c r="M75" s="341"/>
      <c r="N75" s="342"/>
      <c r="P75" s="18">
        <f t="shared" si="0"/>
        <v>0</v>
      </c>
      <c r="Q75" s="338"/>
      <c r="R75" s="344"/>
      <c r="S75" s="474"/>
      <c r="T75" s="344"/>
      <c r="U75" s="475"/>
    </row>
    <row r="76" spans="2:21" ht="94.95" customHeight="1" x14ac:dyDescent="0.25">
      <c r="B76" s="375"/>
      <c r="C76" s="142"/>
      <c r="D76" s="141" t="s">
        <v>740</v>
      </c>
      <c r="E76"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76" s="363"/>
      <c r="G76" s="69"/>
      <c r="H76" s="18">
        <v>10</v>
      </c>
      <c r="I76" s="379"/>
      <c r="J76" s="340"/>
      <c r="K76" s="341"/>
      <c r="L76" s="341"/>
      <c r="M76" s="341"/>
      <c r="N76" s="342"/>
      <c r="P76" s="18">
        <f>IF(P75&gt;5,0,IF(G76&gt;H76,H76,G76))</f>
        <v>0</v>
      </c>
      <c r="Q76" s="338"/>
      <c r="R76" s="344"/>
      <c r="S76" s="474"/>
      <c r="T76" s="344"/>
      <c r="U76" s="475"/>
    </row>
    <row r="77" spans="2:21" x14ac:dyDescent="0.25">
      <c r="B77" s="375"/>
      <c r="C77" s="392" t="s">
        <v>67</v>
      </c>
      <c r="D77" s="352" t="str">
        <f>HLOOKUP(Deckblatt!$C$12,Language!$C$1:$D$730,79,FALSE)</f>
        <v>Versiegelungsgrad</v>
      </c>
      <c r="E77" s="353"/>
      <c r="F77" s="363"/>
      <c r="G77" s="113"/>
      <c r="H77" s="21">
        <v>35</v>
      </c>
      <c r="I77" s="379"/>
      <c r="J77" s="340"/>
      <c r="K77" s="341"/>
      <c r="L77" s="341"/>
      <c r="M77" s="341"/>
      <c r="N77" s="342"/>
      <c r="P77" s="18">
        <f t="shared" si="0"/>
        <v>0</v>
      </c>
      <c r="Q77" s="338"/>
      <c r="R77" s="344"/>
      <c r="S77" s="474"/>
      <c r="T77" s="344"/>
      <c r="U77" s="475"/>
    </row>
    <row r="78" spans="2:21" ht="26.4" x14ac:dyDescent="0.25">
      <c r="B78" s="375"/>
      <c r="C78" s="392"/>
      <c r="D78" s="71" t="s">
        <v>69</v>
      </c>
      <c r="E78" s="150" t="str">
        <f>HLOOKUP(Deckblatt!$C$12,Language!$C$1:$D$730,80,FALSE)</f>
        <v xml:space="preserve">Versiegelungsgrad
</v>
      </c>
      <c r="F78" s="363"/>
      <c r="G78" s="69"/>
      <c r="H78" s="18">
        <v>35</v>
      </c>
      <c r="I78" s="379"/>
      <c r="J78" s="340"/>
      <c r="K78" s="341"/>
      <c r="L78" s="341"/>
      <c r="M78" s="341"/>
      <c r="N78" s="342"/>
      <c r="P78" s="18">
        <f t="shared" si="0"/>
        <v>0</v>
      </c>
      <c r="Q78" s="339"/>
      <c r="R78" s="365"/>
      <c r="S78" s="474"/>
      <c r="T78" s="344"/>
      <c r="U78" s="475"/>
    </row>
    <row r="79" spans="2:21" x14ac:dyDescent="0.25">
      <c r="B79" s="55" t="s">
        <v>143</v>
      </c>
      <c r="C79" s="354" t="str">
        <f>HLOOKUP(Deckblatt!$C$12,Language!$C$1:$D$730,81,FALSE)</f>
        <v>Biodiversität</v>
      </c>
      <c r="D79" s="354"/>
      <c r="E79" s="355"/>
      <c r="F79" s="56">
        <f>Q79</f>
        <v>0</v>
      </c>
      <c r="G79" s="364"/>
      <c r="H79" s="21">
        <v>110</v>
      </c>
      <c r="I79" s="176">
        <v>5</v>
      </c>
      <c r="J79" s="340"/>
      <c r="K79" s="341"/>
      <c r="L79" s="341"/>
      <c r="M79" s="341"/>
      <c r="N79" s="342"/>
      <c r="P79" s="18">
        <f t="shared" si="0"/>
        <v>0</v>
      </c>
      <c r="Q79" s="337">
        <f>SUM(P81,P83,P85:P86,P88,P90:P91)</f>
        <v>0</v>
      </c>
      <c r="R79" s="343">
        <f>Q79/100</f>
        <v>0</v>
      </c>
      <c r="S79" s="474"/>
      <c r="T79" s="344"/>
      <c r="U79" s="475"/>
    </row>
    <row r="80" spans="2:21" x14ac:dyDescent="0.25">
      <c r="B80" s="375"/>
      <c r="C80" s="351" t="s">
        <v>54</v>
      </c>
      <c r="D80" s="352" t="str">
        <f>HLOOKUP(Deckblatt!$C$12,Language!$C$1:$D$730,82,FALSE)</f>
        <v>Biodiversitätsstategie</v>
      </c>
      <c r="E80" s="353"/>
      <c r="F80" s="363"/>
      <c r="G80" s="364"/>
      <c r="H80" s="21">
        <v>10</v>
      </c>
      <c r="I80" s="379"/>
      <c r="J80" s="340"/>
      <c r="K80" s="341"/>
      <c r="L80" s="341"/>
      <c r="M80" s="341"/>
      <c r="N80" s="342"/>
      <c r="P80" s="18">
        <f t="shared" si="0"/>
        <v>0</v>
      </c>
      <c r="Q80" s="338"/>
      <c r="R80" s="344"/>
      <c r="S80" s="474"/>
      <c r="T80" s="344"/>
      <c r="U80" s="475"/>
    </row>
    <row r="81" spans="2:21" ht="26.4" x14ac:dyDescent="0.25">
      <c r="B81" s="375"/>
      <c r="C81" s="351"/>
      <c r="D81" s="71" t="s">
        <v>58</v>
      </c>
      <c r="E81" s="150" t="str">
        <f>HLOOKUP(Deckblatt!$C$12,Language!$C$1:$D$730,83,FALSE)</f>
        <v xml:space="preserve">Erstellung und Umsetzung einer Biodiversitätsstrategie
</v>
      </c>
      <c r="F81" s="363"/>
      <c r="G81" s="69"/>
      <c r="H81" s="18">
        <v>10</v>
      </c>
      <c r="I81" s="379"/>
      <c r="J81" s="340"/>
      <c r="K81" s="341"/>
      <c r="L81" s="341"/>
      <c r="M81" s="341"/>
      <c r="N81" s="342"/>
      <c r="P81" s="18">
        <f t="shared" si="0"/>
        <v>0</v>
      </c>
      <c r="Q81" s="338"/>
      <c r="R81" s="344"/>
      <c r="S81" s="474"/>
      <c r="T81" s="344"/>
      <c r="U81" s="475"/>
    </row>
    <row r="82" spans="2:21" x14ac:dyDescent="0.25">
      <c r="B82" s="375"/>
      <c r="C82" s="351" t="s">
        <v>61</v>
      </c>
      <c r="D82" s="352" t="str">
        <f>HLOOKUP(Deckblatt!$C$12,Language!$C$1:$D$730,84,FALSE)</f>
        <v>Gezielte Maßnahmen zur aktiven Ansiedlung neuer und heimischer Tierarten</v>
      </c>
      <c r="E82" s="353"/>
      <c r="F82" s="363"/>
      <c r="G82" s="113"/>
      <c r="H82" s="21">
        <v>30</v>
      </c>
      <c r="I82" s="379"/>
      <c r="J82" s="340"/>
      <c r="K82" s="341"/>
      <c r="L82" s="341"/>
      <c r="M82" s="341"/>
      <c r="N82" s="342"/>
      <c r="P82" s="18">
        <f t="shared" si="0"/>
        <v>0</v>
      </c>
      <c r="Q82" s="338"/>
      <c r="R82" s="344"/>
      <c r="S82" s="474"/>
      <c r="T82" s="344"/>
      <c r="U82" s="475"/>
    </row>
    <row r="83" spans="2:21" ht="26.4" x14ac:dyDescent="0.25">
      <c r="B83" s="375"/>
      <c r="C83" s="351"/>
      <c r="D83" s="71" t="s">
        <v>63</v>
      </c>
      <c r="E83" s="150" t="str">
        <f>HLOOKUP(Deckblatt!$C$12,Language!$C$1:$D$730,85,FALSE)</f>
        <v xml:space="preserve">Aktive Ansiedlung neuer heimischer Arten
</v>
      </c>
      <c r="F83" s="363"/>
      <c r="G83" s="69"/>
      <c r="H83" s="18">
        <v>30</v>
      </c>
      <c r="I83" s="379"/>
      <c r="J83" s="340"/>
      <c r="K83" s="341"/>
      <c r="L83" s="341"/>
      <c r="M83" s="341"/>
      <c r="N83" s="342"/>
      <c r="P83" s="18">
        <f t="shared" si="0"/>
        <v>0</v>
      </c>
      <c r="Q83" s="338"/>
      <c r="R83" s="344"/>
      <c r="S83" s="474"/>
      <c r="T83" s="344"/>
      <c r="U83" s="475"/>
    </row>
    <row r="84" spans="2:21" x14ac:dyDescent="0.25">
      <c r="B84" s="375"/>
      <c r="C84" s="351" t="s">
        <v>64</v>
      </c>
      <c r="D84" s="352" t="str">
        <f>HLOOKUP(Deckblatt!$C$12,Language!$C$1:$D$730,86,FALSE)</f>
        <v>Biotopflächenfaktor</v>
      </c>
      <c r="E84" s="353"/>
      <c r="F84" s="363"/>
      <c r="G84" s="113"/>
      <c r="H84" s="21">
        <v>50</v>
      </c>
      <c r="I84" s="379"/>
      <c r="J84" s="340"/>
      <c r="K84" s="341"/>
      <c r="L84" s="341"/>
      <c r="M84" s="341"/>
      <c r="N84" s="342"/>
      <c r="P84" s="18">
        <f t="shared" ref="P84:P133" si="3">IF(G84&gt;H84,H84,G84)</f>
        <v>0</v>
      </c>
      <c r="Q84" s="338"/>
      <c r="R84" s="344"/>
      <c r="S84" s="474"/>
      <c r="T84" s="344"/>
      <c r="U84" s="475"/>
    </row>
    <row r="85" spans="2:21" ht="26.4" x14ac:dyDescent="0.25">
      <c r="B85" s="375"/>
      <c r="C85" s="351"/>
      <c r="D85" s="71" t="s">
        <v>66</v>
      </c>
      <c r="E85" s="150" t="str">
        <f>HLOOKUP(Deckblatt!$C$12,Language!$C$1:$D$730,87,FALSE)</f>
        <v xml:space="preserve">Biotopflächenfaktor Gesamt
</v>
      </c>
      <c r="F85" s="363"/>
      <c r="G85" s="69"/>
      <c r="H85" s="18">
        <v>40</v>
      </c>
      <c r="I85" s="379"/>
      <c r="J85" s="340"/>
      <c r="K85" s="341"/>
      <c r="L85" s="341"/>
      <c r="M85" s="341"/>
      <c r="N85" s="342"/>
      <c r="P85" s="18">
        <f t="shared" si="3"/>
        <v>0</v>
      </c>
      <c r="Q85" s="338"/>
      <c r="R85" s="344"/>
      <c r="S85" s="474"/>
      <c r="T85" s="344"/>
      <c r="U85" s="475"/>
    </row>
    <row r="86" spans="2:21" ht="66" x14ac:dyDescent="0.25">
      <c r="B86" s="375"/>
      <c r="C86" s="351"/>
      <c r="D86" s="71" t="s">
        <v>188</v>
      </c>
      <c r="E86" s="54" t="str">
        <f>HLOOKUP(Deckblatt!$C$12,Language!$C$1:$D$730,88,FALSE)</f>
        <v>AGENDA 2030 BONUS – KLIMA- UND ARTENSCHUTZZIELE
Biotopflächenfaktor  &gt; 0,35 (je 0,015 Überschreitung 1 Bonuspunkt, max. Bonuspunkte = 10)
Bei Event / Gewerbe / Industrie: Biotopflächenfaktor  &gt; 0,3</v>
      </c>
      <c r="F86" s="363"/>
      <c r="G86" s="69"/>
      <c r="H86" s="18">
        <v>10</v>
      </c>
      <c r="I86" s="379"/>
      <c r="J86" s="340"/>
      <c r="K86" s="341"/>
      <c r="L86" s="341"/>
      <c r="M86" s="341"/>
      <c r="N86" s="342"/>
      <c r="P86" s="18">
        <f t="shared" si="3"/>
        <v>0</v>
      </c>
      <c r="Q86" s="338"/>
      <c r="R86" s="344"/>
      <c r="S86" s="474"/>
      <c r="T86" s="344"/>
      <c r="U86" s="475"/>
    </row>
    <row r="87" spans="2:21" x14ac:dyDescent="0.25">
      <c r="B87" s="375"/>
      <c r="C87" s="351" t="s">
        <v>154</v>
      </c>
      <c r="D87" s="352" t="str">
        <f>HLOOKUP(Deckblatt!$C$12,Language!$C$1:$D$730,93,FALSE)</f>
        <v>Vermeidung invasiver Pflanzenarten</v>
      </c>
      <c r="E87" s="353"/>
      <c r="F87" s="363"/>
      <c r="G87" s="113"/>
      <c r="H87" s="21">
        <v>10</v>
      </c>
      <c r="I87" s="379"/>
      <c r="J87" s="340"/>
      <c r="K87" s="341"/>
      <c r="L87" s="341"/>
      <c r="M87" s="341"/>
      <c r="N87" s="342"/>
      <c r="P87" s="18">
        <f t="shared" si="3"/>
        <v>0</v>
      </c>
      <c r="Q87" s="338"/>
      <c r="R87" s="344"/>
      <c r="S87" s="474"/>
      <c r="T87" s="344"/>
      <c r="U87" s="475"/>
    </row>
    <row r="88" spans="2:21" ht="26.4" x14ac:dyDescent="0.25">
      <c r="B88" s="375"/>
      <c r="C88" s="351"/>
      <c r="D88" s="71" t="s">
        <v>156</v>
      </c>
      <c r="E88" s="150" t="str">
        <f>HLOOKUP(Deckblatt!$C$12,Language!$C$1:$D$730,94,FALSE)</f>
        <v xml:space="preserve">Vermeidung invasiver Pflanzenarten
</v>
      </c>
      <c r="F88" s="363"/>
      <c r="G88" s="69"/>
      <c r="H88" s="18">
        <v>10</v>
      </c>
      <c r="I88" s="379"/>
      <c r="J88" s="340"/>
      <c r="K88" s="341"/>
      <c r="L88" s="341"/>
      <c r="M88" s="341"/>
      <c r="N88" s="342"/>
      <c r="P88" s="18">
        <f t="shared" si="3"/>
        <v>0</v>
      </c>
      <c r="Q88" s="338"/>
      <c r="R88" s="344"/>
      <c r="S88" s="474"/>
      <c r="T88" s="344"/>
      <c r="U88" s="475"/>
    </row>
    <row r="89" spans="2:21" x14ac:dyDescent="0.25">
      <c r="B89" s="375"/>
      <c r="C89" s="351" t="s">
        <v>157</v>
      </c>
      <c r="D89" s="352" t="str">
        <f>HLOOKUP(Deckblatt!$C$12,Language!$C$1:$D$730,95,FALSE)</f>
        <v>Entwicklungs- und Unterhaltungspflege</v>
      </c>
      <c r="E89" s="353"/>
      <c r="F89" s="363"/>
      <c r="G89" s="113"/>
      <c r="H89" s="21">
        <v>10</v>
      </c>
      <c r="I89" s="379"/>
      <c r="J89" s="340"/>
      <c r="K89" s="341"/>
      <c r="L89" s="341"/>
      <c r="M89" s="341"/>
      <c r="N89" s="342"/>
      <c r="P89" s="18">
        <f t="shared" si="3"/>
        <v>0</v>
      </c>
      <c r="Q89" s="338"/>
      <c r="R89" s="344"/>
      <c r="S89" s="474"/>
      <c r="T89" s="344"/>
      <c r="U89" s="475"/>
    </row>
    <row r="90" spans="2:21" ht="26.4" x14ac:dyDescent="0.25">
      <c r="B90" s="375"/>
      <c r="C90" s="351"/>
      <c r="D90" s="71" t="s">
        <v>159</v>
      </c>
      <c r="E90" s="150" t="str">
        <f>HLOOKUP(Deckblatt!$C$12,Language!$C$1:$D$730,96,FALSE)</f>
        <v xml:space="preserve">Entwicklungspflege-Vertrag
</v>
      </c>
      <c r="F90" s="363"/>
      <c r="G90" s="69"/>
      <c r="H90" s="18">
        <v>5</v>
      </c>
      <c r="I90" s="379"/>
      <c r="J90" s="340"/>
      <c r="K90" s="341"/>
      <c r="L90" s="341"/>
      <c r="M90" s="341"/>
      <c r="N90" s="342"/>
      <c r="P90" s="18">
        <f t="shared" si="3"/>
        <v>0</v>
      </c>
      <c r="Q90" s="338"/>
      <c r="R90" s="344"/>
      <c r="S90" s="474"/>
      <c r="T90" s="344"/>
      <c r="U90" s="475"/>
    </row>
    <row r="91" spans="2:21" ht="27" thickBot="1" x14ac:dyDescent="0.3">
      <c r="B91" s="377"/>
      <c r="C91" s="389"/>
      <c r="D91" s="121" t="s">
        <v>160</v>
      </c>
      <c r="E91" s="150" t="str">
        <f>HLOOKUP(Deckblatt!$C$12,Language!$C$1:$D$730,97,FALSE)</f>
        <v xml:space="preserve">Unterhaltungspflege-Vertrag
</v>
      </c>
      <c r="F91" s="378"/>
      <c r="G91" s="70"/>
      <c r="H91" s="59">
        <v>5</v>
      </c>
      <c r="I91" s="380"/>
      <c r="J91" s="340"/>
      <c r="K91" s="341"/>
      <c r="L91" s="341"/>
      <c r="M91" s="341"/>
      <c r="N91" s="342"/>
      <c r="P91" s="18">
        <f t="shared" si="3"/>
        <v>0</v>
      </c>
      <c r="Q91" s="339"/>
      <c r="R91" s="365"/>
      <c r="S91" s="474"/>
      <c r="T91" s="365"/>
      <c r="U91" s="475"/>
    </row>
    <row r="92" spans="2:21" x14ac:dyDescent="0.25">
      <c r="B92" s="49" t="s">
        <v>163</v>
      </c>
      <c r="C92" s="354" t="str">
        <f>HLOOKUP(Deckblatt!$C$12,Language!$C$1:$D$730,98,FALSE)</f>
        <v>Lebenszykluskosten</v>
      </c>
      <c r="D92" s="354"/>
      <c r="E92" s="355"/>
      <c r="F92" s="50">
        <f>Q92</f>
        <v>0</v>
      </c>
      <c r="G92" s="434"/>
      <c r="H92" s="136">
        <v>100</v>
      </c>
      <c r="I92" s="178">
        <v>4</v>
      </c>
      <c r="J92" s="340"/>
      <c r="K92" s="341"/>
      <c r="L92" s="341"/>
      <c r="M92" s="341"/>
      <c r="N92" s="342"/>
      <c r="P92" s="18">
        <f t="shared" si="3"/>
        <v>0</v>
      </c>
      <c r="Q92" s="337">
        <f>SUM(P95,P96,IF(P99+P100+P101&gt;40,40,P99+P100+P101),P104)</f>
        <v>0</v>
      </c>
      <c r="R92" s="343">
        <f>Q92/100</f>
        <v>0</v>
      </c>
      <c r="S92" s="343">
        <v>0.2</v>
      </c>
      <c r="T92" s="343">
        <f>IF((R92*I92+R105*I105+R122*I122+R127*I127+R137*I137)/(I92+I105+I122+I127+I137)&gt;1,1,(R92*I92+R105*I105+R122*I122+R127*I127+R137*I137)/(I92+I105+I122+I127+I137))</f>
        <v>0</v>
      </c>
      <c r="U92" s="475"/>
    </row>
    <row r="93" spans="2:21" x14ac:dyDescent="0.25">
      <c r="B93" s="345"/>
      <c r="C93" s="351" t="s">
        <v>54</v>
      </c>
      <c r="D93" s="352" t="str">
        <f>HLOOKUP(Deckblatt!$C$12,Language!$C$1:$D$730,99,FALSE)</f>
        <v>Lebenszykluskostenrechnungen in der Planung</v>
      </c>
      <c r="E93" s="353"/>
      <c r="F93" s="347"/>
      <c r="G93" s="356"/>
      <c r="H93" s="21">
        <v>30</v>
      </c>
      <c r="I93" s="349"/>
      <c r="J93" s="340"/>
      <c r="K93" s="341"/>
      <c r="L93" s="341"/>
      <c r="M93" s="341"/>
      <c r="N93" s="342"/>
      <c r="P93" s="18">
        <f t="shared" si="3"/>
        <v>0</v>
      </c>
      <c r="Q93" s="338"/>
      <c r="R93" s="344"/>
      <c r="S93" s="344"/>
      <c r="T93" s="344"/>
      <c r="U93" s="475"/>
    </row>
    <row r="94" spans="2:21" ht="26.4" x14ac:dyDescent="0.25">
      <c r="B94" s="346"/>
      <c r="C94" s="351"/>
      <c r="D94" s="398" t="s">
        <v>58</v>
      </c>
      <c r="E94" s="150" t="str">
        <f>HLOOKUP(Deckblatt!$C$12,Language!$C$1:$D$730,100,FALSE)</f>
        <v>Integration von Lebenszykluskostenrechnungen in den Planungsprozess</v>
      </c>
      <c r="F94" s="348"/>
      <c r="G94" s="356"/>
      <c r="H94" s="21">
        <v>30</v>
      </c>
      <c r="I94" s="350"/>
      <c r="J94" s="340"/>
      <c r="K94" s="341"/>
      <c r="L94" s="341"/>
      <c r="M94" s="341"/>
      <c r="N94" s="342"/>
      <c r="P94" s="18">
        <f t="shared" si="3"/>
        <v>0</v>
      </c>
      <c r="Q94" s="338"/>
      <c r="R94" s="344"/>
      <c r="S94" s="344"/>
      <c r="T94" s="344"/>
      <c r="U94" s="475"/>
    </row>
    <row r="95" spans="2:21" ht="65.400000000000006" customHeight="1" x14ac:dyDescent="0.25">
      <c r="B95" s="346"/>
      <c r="C95" s="351"/>
      <c r="D95" s="414"/>
      <c r="E95"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5" s="348"/>
      <c r="G95" s="69"/>
      <c r="H95" s="18">
        <v>15</v>
      </c>
      <c r="I95" s="350"/>
      <c r="J95" s="340"/>
      <c r="K95" s="341"/>
      <c r="L95" s="341"/>
      <c r="M95" s="341"/>
      <c r="N95" s="342"/>
      <c r="P95" s="18">
        <f t="shared" si="3"/>
        <v>0</v>
      </c>
      <c r="Q95" s="338"/>
      <c r="R95" s="344"/>
      <c r="S95" s="344"/>
      <c r="T95" s="344"/>
      <c r="U95" s="475"/>
    </row>
    <row r="96" spans="2:21" ht="48" customHeight="1" x14ac:dyDescent="0.25">
      <c r="B96" s="346"/>
      <c r="C96" s="351"/>
      <c r="D96" s="399"/>
      <c r="E96" s="134" t="str">
        <f>HLOOKUP(Deckblatt!$C$12,Language!$C$1:$D$730,102,FALSE)</f>
        <v xml:space="preserve">Maßnahmen mit Einfluss auf die Lebenszykluskosten werden planungsbegleitend regelmäßig (an den jeweiligen Planungsstand angepasst) ermittelt und im Planungsteam kommuniziert. </v>
      </c>
      <c r="F96" s="348"/>
      <c r="G96" s="69"/>
      <c r="H96" s="18">
        <v>15</v>
      </c>
      <c r="I96" s="350"/>
      <c r="J96" s="340"/>
      <c r="K96" s="341"/>
      <c r="L96" s="341"/>
      <c r="M96" s="341"/>
      <c r="N96" s="342"/>
      <c r="P96" s="18">
        <f t="shared" si="3"/>
        <v>0</v>
      </c>
      <c r="Q96" s="338"/>
      <c r="R96" s="344"/>
      <c r="S96" s="344"/>
      <c r="T96" s="344"/>
      <c r="U96" s="475"/>
    </row>
    <row r="97" spans="2:21" x14ac:dyDescent="0.25">
      <c r="B97" s="346"/>
      <c r="C97" s="351" t="s">
        <v>61</v>
      </c>
      <c r="D97" s="352" t="str">
        <f>HLOOKUP(Deckblatt!$C$12,Language!$C$1:$D$730,103,FALSE)</f>
        <v>Lebenszykluskostenoptimierung</v>
      </c>
      <c r="E97" s="353"/>
      <c r="F97" s="348"/>
      <c r="G97" s="356"/>
      <c r="H97" s="21">
        <v>40</v>
      </c>
      <c r="I97" s="350"/>
      <c r="J97" s="340"/>
      <c r="K97" s="341"/>
      <c r="L97" s="341"/>
      <c r="M97" s="341"/>
      <c r="N97" s="342"/>
      <c r="P97" s="18">
        <f t="shared" si="3"/>
        <v>0</v>
      </c>
      <c r="Q97" s="338"/>
      <c r="R97" s="344"/>
      <c r="S97" s="344"/>
      <c r="T97" s="344"/>
      <c r="U97" s="475"/>
    </row>
    <row r="98" spans="2:21" x14ac:dyDescent="0.25">
      <c r="B98" s="346"/>
      <c r="C98" s="351"/>
      <c r="D98" s="398" t="s">
        <v>63</v>
      </c>
      <c r="E98" s="150" t="str">
        <f>HLOOKUP(Deckblatt!$C$12,Language!$C$1:$D$730,104,FALSE)</f>
        <v>Planungsbegleitende Lebenszykluskostenoptimierung</v>
      </c>
      <c r="F98" s="348"/>
      <c r="G98" s="356"/>
      <c r="H98" s="21">
        <v>40</v>
      </c>
      <c r="I98" s="350"/>
      <c r="J98" s="340"/>
      <c r="K98" s="341"/>
      <c r="L98" s="341"/>
      <c r="M98" s="341"/>
      <c r="N98" s="342"/>
      <c r="P98" s="18">
        <f t="shared" si="3"/>
        <v>0</v>
      </c>
      <c r="Q98" s="338"/>
      <c r="R98" s="344"/>
      <c r="S98" s="344"/>
      <c r="T98" s="344"/>
      <c r="U98" s="475"/>
    </row>
    <row r="99" spans="2:21" ht="57" customHeight="1" x14ac:dyDescent="0.25">
      <c r="B99" s="346"/>
      <c r="C99" s="351"/>
      <c r="D99" s="399"/>
      <c r="E99" s="134" t="str">
        <f>HLOOKUP(Deckblatt!$C$12,Language!$C$1:$D$730,105,FALSE)</f>
        <v>- Umfassende Betrachtung  (10 Punkte)
ODER
- Teilbetrachtung (5 Punkte)</v>
      </c>
      <c r="F99" s="348"/>
      <c r="G99" s="69"/>
      <c r="H99" s="18">
        <v>40</v>
      </c>
      <c r="I99" s="350"/>
      <c r="J99" s="340"/>
      <c r="K99" s="341"/>
      <c r="L99" s="341"/>
      <c r="M99" s="341"/>
      <c r="N99" s="342"/>
      <c r="P99" s="18">
        <f t="shared" si="3"/>
        <v>0</v>
      </c>
      <c r="Q99" s="338"/>
      <c r="R99" s="344"/>
      <c r="S99" s="344"/>
      <c r="T99" s="344"/>
      <c r="U99" s="475"/>
    </row>
    <row r="100" spans="2:21" ht="127.2" customHeight="1" x14ac:dyDescent="0.25">
      <c r="B100" s="346"/>
      <c r="C100" s="351"/>
      <c r="D100" s="141" t="s">
        <v>173</v>
      </c>
      <c r="E100"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100" s="348"/>
      <c r="G100" s="69"/>
      <c r="H100" s="18">
        <v>40</v>
      </c>
      <c r="I100" s="350"/>
      <c r="J100" s="340"/>
      <c r="K100" s="341"/>
      <c r="L100" s="341"/>
      <c r="M100" s="341"/>
      <c r="N100" s="342"/>
      <c r="P100" s="18">
        <f t="shared" si="3"/>
        <v>0</v>
      </c>
      <c r="Q100" s="338"/>
      <c r="R100" s="344"/>
      <c r="S100" s="344"/>
      <c r="T100" s="344"/>
      <c r="U100" s="475"/>
    </row>
    <row r="101" spans="2:21" ht="109.2" customHeight="1" x14ac:dyDescent="0.25">
      <c r="B101" s="346"/>
      <c r="C101" s="351"/>
      <c r="D101" s="57" t="s">
        <v>173</v>
      </c>
      <c r="E101"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101" s="348"/>
      <c r="G101" s="69"/>
      <c r="H101" s="18">
        <v>40</v>
      </c>
      <c r="I101" s="350"/>
      <c r="J101" s="340"/>
      <c r="K101" s="341"/>
      <c r="L101" s="341"/>
      <c r="M101" s="341"/>
      <c r="N101" s="342"/>
      <c r="P101" s="18">
        <f t="shared" si="3"/>
        <v>0</v>
      </c>
      <c r="Q101" s="338"/>
      <c r="R101" s="344"/>
      <c r="S101" s="344"/>
      <c r="T101" s="344"/>
      <c r="U101" s="475"/>
    </row>
    <row r="102" spans="2:21" x14ac:dyDescent="0.25">
      <c r="B102" s="346"/>
      <c r="C102" s="392" t="s">
        <v>64</v>
      </c>
      <c r="D102" s="352" t="str">
        <f>HLOOKUP(Deckblatt!$C$12,Language!$C$1:$D$730,108,FALSE)</f>
        <v>Betriebskostenoptimierung</v>
      </c>
      <c r="E102" s="353"/>
      <c r="F102" s="348"/>
      <c r="G102" s="488"/>
      <c r="H102" s="21">
        <v>30</v>
      </c>
      <c r="I102" s="350"/>
      <c r="J102" s="340"/>
      <c r="K102" s="341"/>
      <c r="L102" s="341"/>
      <c r="M102" s="341"/>
      <c r="N102" s="342"/>
      <c r="P102" s="18">
        <f t="shared" si="3"/>
        <v>0</v>
      </c>
      <c r="Q102" s="338"/>
      <c r="R102" s="344"/>
      <c r="S102" s="344"/>
      <c r="T102" s="344"/>
      <c r="U102" s="475"/>
    </row>
    <row r="103" spans="2:21" x14ac:dyDescent="0.25">
      <c r="B103" s="346"/>
      <c r="C103" s="351"/>
      <c r="D103" s="398" t="s">
        <v>66</v>
      </c>
      <c r="E103" s="150" t="str">
        <f>HLOOKUP(Deckblatt!$C$12,Language!$C$1:$D$730,109,FALSE)</f>
        <v xml:space="preserve">Optimierung der Lebenszykluskosten durch optimierten Betrieb  </v>
      </c>
      <c r="F103" s="348"/>
      <c r="G103" s="489"/>
      <c r="H103" s="18">
        <v>30</v>
      </c>
      <c r="I103" s="350"/>
      <c r="J103" s="340"/>
      <c r="K103" s="341"/>
      <c r="L103" s="341"/>
      <c r="M103" s="341"/>
      <c r="N103" s="342"/>
      <c r="P103" s="18">
        <f t="shared" si="3"/>
        <v>0</v>
      </c>
      <c r="Q103" s="338"/>
      <c r="R103" s="344"/>
      <c r="S103" s="344"/>
      <c r="T103" s="344"/>
      <c r="U103" s="475"/>
    </row>
    <row r="104" spans="2:21" ht="39.6" x14ac:dyDescent="0.25">
      <c r="B104" s="346"/>
      <c r="C104" s="351"/>
      <c r="D104" s="399"/>
      <c r="E104" s="134" t="str">
        <f>HLOOKUP(Deckblatt!$C$12,Language!$C$1:$D$730,110,FALSE)</f>
        <v xml:space="preserve">Für die Bewertung der Subindikatoren ist in Anlage 3 eine Bewertungsmatrix bereitgestellt.
</v>
      </c>
      <c r="F104" s="348"/>
      <c r="G104" s="69"/>
      <c r="H104" s="18">
        <v>30</v>
      </c>
      <c r="I104" s="350"/>
      <c r="J104" s="340"/>
      <c r="K104" s="341"/>
      <c r="L104" s="341"/>
      <c r="M104" s="341"/>
      <c r="N104" s="342"/>
      <c r="P104" s="18">
        <f t="shared" si="3"/>
        <v>0</v>
      </c>
      <c r="Q104" s="338"/>
      <c r="R104" s="344"/>
      <c r="S104" s="344"/>
      <c r="T104" s="344"/>
      <c r="U104" s="475"/>
    </row>
    <row r="105" spans="2:21" x14ac:dyDescent="0.25">
      <c r="B105" s="55" t="s">
        <v>178</v>
      </c>
      <c r="C105" s="354" t="str">
        <f>HLOOKUP(Deckblatt!$C$12,Language!$C$1:$D$730,114,FALSE)</f>
        <v>Resilienz und Wandlungsfähigkeit</v>
      </c>
      <c r="D105" s="354"/>
      <c r="E105" s="355"/>
      <c r="F105" s="56">
        <f>Q105</f>
        <v>0</v>
      </c>
      <c r="G105" s="364"/>
      <c r="H105" s="21">
        <v>100</v>
      </c>
      <c r="I105" s="176">
        <v>4</v>
      </c>
      <c r="J105" s="340"/>
      <c r="K105" s="341"/>
      <c r="L105" s="341"/>
      <c r="M105" s="341"/>
      <c r="N105" s="342"/>
      <c r="P105" s="18">
        <f t="shared" si="3"/>
        <v>0</v>
      </c>
      <c r="Q105" s="337">
        <f>SUM(P108:P111,P113:P114,P116:P119,P121)</f>
        <v>0</v>
      </c>
      <c r="R105" s="343">
        <f>Q105/100</f>
        <v>0</v>
      </c>
      <c r="S105" s="344"/>
      <c r="T105" s="344"/>
      <c r="U105" s="475"/>
    </row>
    <row r="106" spans="2:21" x14ac:dyDescent="0.25">
      <c r="B106" s="345"/>
      <c r="C106" s="351" t="s">
        <v>54</v>
      </c>
      <c r="D106" s="352" t="str">
        <f>HLOOKUP(Deckblatt!$C$12,Language!$C$1:$D$730,115,FALSE)</f>
        <v>Klima</v>
      </c>
      <c r="E106" s="353"/>
      <c r="F106" s="347"/>
      <c r="G106" s="364"/>
      <c r="H106" s="21">
        <v>25</v>
      </c>
      <c r="I106" s="349"/>
      <c r="J106" s="340"/>
      <c r="K106" s="341"/>
      <c r="L106" s="341"/>
      <c r="M106" s="341"/>
      <c r="N106" s="342"/>
      <c r="P106" s="18">
        <f t="shared" si="3"/>
        <v>0</v>
      </c>
      <c r="Q106" s="338"/>
      <c r="R106" s="344"/>
      <c r="S106" s="344"/>
      <c r="T106" s="344"/>
      <c r="U106" s="475"/>
    </row>
    <row r="107" spans="2:21" x14ac:dyDescent="0.25">
      <c r="B107" s="346"/>
      <c r="C107" s="351"/>
      <c r="D107" s="361" t="s">
        <v>58</v>
      </c>
      <c r="E107" s="150" t="str">
        <f>HLOOKUP(Deckblatt!$C$12,Language!$C$1:$D$730,116,FALSE)</f>
        <v>Klima</v>
      </c>
      <c r="F107" s="348"/>
      <c r="G107" s="364"/>
      <c r="H107" s="21">
        <v>19.5</v>
      </c>
      <c r="I107" s="350"/>
      <c r="J107" s="340"/>
      <c r="K107" s="341"/>
      <c r="L107" s="341"/>
      <c r="M107" s="341"/>
      <c r="N107" s="342"/>
      <c r="P107" s="18">
        <f t="shared" si="3"/>
        <v>0</v>
      </c>
      <c r="Q107" s="338"/>
      <c r="R107" s="344"/>
      <c r="S107" s="344"/>
      <c r="T107" s="344"/>
      <c r="U107" s="475"/>
    </row>
    <row r="108" spans="2:21" ht="26.4" x14ac:dyDescent="0.25">
      <c r="B108" s="346"/>
      <c r="C108" s="351"/>
      <c r="D108" s="361"/>
      <c r="E108" s="134" t="str">
        <f>HLOOKUP(Deckblatt!$C$12,Language!$C$1:$D$730,117,FALSE)</f>
        <v xml:space="preserve">Stadtklima (PUNKTE aus ENV1.5/100) * 6,5
</v>
      </c>
      <c r="F108" s="348"/>
      <c r="G108" s="69"/>
      <c r="H108" s="18">
        <v>6.5</v>
      </c>
      <c r="I108" s="350"/>
      <c r="J108" s="340"/>
      <c r="K108" s="341"/>
      <c r="L108" s="341"/>
      <c r="M108" s="341"/>
      <c r="N108" s="342"/>
      <c r="P108" s="18">
        <f t="shared" si="3"/>
        <v>0</v>
      </c>
      <c r="Q108" s="338"/>
      <c r="R108" s="344"/>
      <c r="S108" s="344"/>
      <c r="T108" s="344"/>
      <c r="U108" s="475"/>
    </row>
    <row r="109" spans="2:21" ht="26.4" x14ac:dyDescent="0.25">
      <c r="B109" s="346"/>
      <c r="C109" s="351"/>
      <c r="D109" s="361"/>
      <c r="E109" s="134" t="str">
        <f>HLOOKUP(Deckblatt!$C$12,Language!$C$1:$D$730,118,FALSE)</f>
        <v xml:space="preserve">Wasserkreislaufsysteme (PUNKTE aus ENV2.2/100) * 6,5
</v>
      </c>
      <c r="F109" s="348"/>
      <c r="G109" s="69"/>
      <c r="H109" s="18">
        <v>6.5</v>
      </c>
      <c r="I109" s="350"/>
      <c r="J109" s="340"/>
      <c r="K109" s="341"/>
      <c r="L109" s="341"/>
      <c r="M109" s="341"/>
      <c r="N109" s="342"/>
      <c r="P109" s="18">
        <f t="shared" si="3"/>
        <v>0</v>
      </c>
      <c r="Q109" s="338"/>
      <c r="R109" s="344"/>
      <c r="S109" s="344"/>
      <c r="T109" s="344"/>
      <c r="U109" s="475"/>
    </row>
    <row r="110" spans="2:21" ht="26.4" x14ac:dyDescent="0.25">
      <c r="B110" s="346"/>
      <c r="C110" s="351"/>
      <c r="D110" s="361"/>
      <c r="E110" s="134" t="str">
        <f>HLOOKUP(Deckblatt!$C$12,Language!$C$1:$D$730,119,FALSE)</f>
        <v xml:space="preserve">Umweltrisiken (PUNKTE aus ECO2.5/100) * 6,5
</v>
      </c>
      <c r="F110" s="348"/>
      <c r="G110" s="69"/>
      <c r="H110" s="18">
        <v>6.5</v>
      </c>
      <c r="I110" s="350"/>
      <c r="J110" s="340"/>
      <c r="K110" s="341"/>
      <c r="L110" s="341"/>
      <c r="M110" s="341"/>
      <c r="N110" s="342"/>
      <c r="P110" s="18">
        <f t="shared" si="3"/>
        <v>0</v>
      </c>
      <c r="Q110" s="338"/>
      <c r="R110" s="344"/>
      <c r="S110" s="344"/>
      <c r="T110" s="344"/>
      <c r="U110" s="475"/>
    </row>
    <row r="111" spans="2:21" ht="39.6" x14ac:dyDescent="0.25">
      <c r="B111" s="346"/>
      <c r="C111" s="351"/>
      <c r="D111" s="71" t="s">
        <v>181</v>
      </c>
      <c r="E111" s="150" t="str">
        <f>HLOOKUP(Deckblatt!$C$12,Language!$C$1:$D$730,120,FALSE)</f>
        <v xml:space="preserve">Klimaanpassungsplan
Die Kommune hat einen Klimaanpassungsplan
</v>
      </c>
      <c r="F111" s="348"/>
      <c r="G111" s="69"/>
      <c r="H111" s="18">
        <v>5.5</v>
      </c>
      <c r="I111" s="350"/>
      <c r="J111" s="340"/>
      <c r="K111" s="341"/>
      <c r="L111" s="341"/>
      <c r="M111" s="341"/>
      <c r="N111" s="342"/>
      <c r="P111" s="18">
        <f t="shared" si="3"/>
        <v>0</v>
      </c>
      <c r="Q111" s="338"/>
      <c r="R111" s="344"/>
      <c r="S111" s="344"/>
      <c r="T111" s="344"/>
      <c r="U111" s="475"/>
    </row>
    <row r="112" spans="2:21" x14ac:dyDescent="0.25">
      <c r="B112" s="346"/>
      <c r="C112" s="351" t="s">
        <v>61</v>
      </c>
      <c r="D112" s="352" t="str">
        <f>HLOOKUP(Deckblatt!$C$12,Language!$C$1:$D$730,121,FALSE)</f>
        <v>Anpassungsfähigkeit</v>
      </c>
      <c r="E112" s="353"/>
      <c r="F112" s="348"/>
      <c r="G112" s="113"/>
      <c r="H112" s="21">
        <v>20</v>
      </c>
      <c r="I112" s="350"/>
      <c r="J112" s="340"/>
      <c r="K112" s="341"/>
      <c r="L112" s="341"/>
      <c r="M112" s="341"/>
      <c r="N112" s="342"/>
      <c r="P112" s="18">
        <f t="shared" si="3"/>
        <v>0</v>
      </c>
      <c r="Q112" s="338"/>
      <c r="R112" s="344"/>
      <c r="S112" s="344"/>
      <c r="T112" s="344"/>
      <c r="U112" s="475"/>
    </row>
    <row r="113" spans="2:21" ht="52.8" x14ac:dyDescent="0.25">
      <c r="B113" s="346"/>
      <c r="C113" s="351"/>
      <c r="D113" s="71" t="s">
        <v>63</v>
      </c>
      <c r="E113" s="150" t="str">
        <f>HLOOKUP(Deckblatt!$C$12,Language!$C$1:$D$730,122,FALSE)</f>
        <v xml:space="preserve">Trendforschung
Bei der Planung wurde ein Trendbarometer für die Region/Stadt berücksichtigt. 
</v>
      </c>
      <c r="F113" s="348"/>
      <c r="G113" s="69"/>
      <c r="H113" s="18">
        <v>10</v>
      </c>
      <c r="I113" s="350"/>
      <c r="J113" s="340"/>
      <c r="K113" s="341"/>
      <c r="L113" s="341"/>
      <c r="M113" s="341"/>
      <c r="N113" s="342"/>
      <c r="P113" s="18">
        <f t="shared" si="3"/>
        <v>0</v>
      </c>
      <c r="Q113" s="338"/>
      <c r="R113" s="344"/>
      <c r="S113" s="344"/>
      <c r="T113" s="344"/>
      <c r="U113" s="475"/>
    </row>
    <row r="114" spans="2:21" ht="66" x14ac:dyDescent="0.25">
      <c r="B114" s="346"/>
      <c r="C114" s="351"/>
      <c r="D114" s="71" t="s">
        <v>186</v>
      </c>
      <c r="E114" s="150" t="str">
        <f>HLOOKUP(Deckblatt!$C$12,Language!$C$1:$D$730,123,FALSE)</f>
        <v xml:space="preserve">Innovationsmanagement
Bei der Planung des Quartiers wurde darauf geachtet, dass zukünftige technische und soziale Innovationen intergiert werden können. 
</v>
      </c>
      <c r="F114" s="348"/>
      <c r="G114" s="69"/>
      <c r="H114" s="18">
        <v>10</v>
      </c>
      <c r="I114" s="350"/>
      <c r="J114" s="340"/>
      <c r="K114" s="341"/>
      <c r="L114" s="341"/>
      <c r="M114" s="341"/>
      <c r="N114" s="342"/>
      <c r="P114" s="18">
        <f t="shared" si="3"/>
        <v>0</v>
      </c>
      <c r="Q114" s="338"/>
      <c r="R114" s="344"/>
      <c r="S114" s="344"/>
      <c r="T114" s="344"/>
      <c r="U114" s="475"/>
    </row>
    <row r="115" spans="2:21" x14ac:dyDescent="0.25">
      <c r="B115" s="346"/>
      <c r="C115" s="351" t="s">
        <v>64</v>
      </c>
      <c r="D115" s="352" t="str">
        <f>HLOOKUP(Deckblatt!$C$12,Language!$C$1:$D$730,124,FALSE)</f>
        <v>Versorgung und Erschließung</v>
      </c>
      <c r="E115" s="353"/>
      <c r="F115" s="348"/>
      <c r="G115" s="113"/>
      <c r="H115" s="21">
        <v>55</v>
      </c>
      <c r="I115" s="350"/>
      <c r="J115" s="340"/>
      <c r="K115" s="341"/>
      <c r="L115" s="341"/>
      <c r="M115" s="341"/>
      <c r="N115" s="342"/>
      <c r="P115" s="18">
        <f t="shared" si="3"/>
        <v>0</v>
      </c>
      <c r="Q115" s="338"/>
      <c r="R115" s="344"/>
      <c r="S115" s="344"/>
      <c r="T115" s="344"/>
      <c r="U115" s="475"/>
    </row>
    <row r="116" spans="2:21" ht="26.4" x14ac:dyDescent="0.25">
      <c r="B116" s="346"/>
      <c r="C116" s="351"/>
      <c r="D116" s="71" t="s">
        <v>66</v>
      </c>
      <c r="E116" s="150" t="str">
        <f>HLOOKUP(Deckblatt!$C$12,Language!$C$1:$D$730,125,FALSE)</f>
        <v xml:space="preserve">Versorgungssicherheit Trinkwasser
</v>
      </c>
      <c r="F116" s="348"/>
      <c r="G116" s="69"/>
      <c r="H116" s="18">
        <v>10</v>
      </c>
      <c r="I116" s="350"/>
      <c r="J116" s="340"/>
      <c r="K116" s="341"/>
      <c r="L116" s="341"/>
      <c r="M116" s="341"/>
      <c r="N116" s="342"/>
      <c r="P116" s="18">
        <f t="shared" si="3"/>
        <v>0</v>
      </c>
      <c r="Q116" s="338"/>
      <c r="R116" s="344"/>
      <c r="S116" s="344"/>
      <c r="T116" s="344"/>
      <c r="U116" s="475"/>
    </row>
    <row r="117" spans="2:21" ht="26.4" x14ac:dyDescent="0.25">
      <c r="B117" s="346"/>
      <c r="C117" s="351"/>
      <c r="D117" s="71" t="s">
        <v>188</v>
      </c>
      <c r="E117" s="150" t="str">
        <f>HLOOKUP(Deckblatt!$C$12,Language!$C$1:$D$730,126,FALSE)</f>
        <v xml:space="preserve">Versorgungssicherheit Abwasser
</v>
      </c>
      <c r="F117" s="348"/>
      <c r="G117" s="69"/>
      <c r="H117" s="18">
        <v>10</v>
      </c>
      <c r="I117" s="350"/>
      <c r="J117" s="340"/>
      <c r="K117" s="341"/>
      <c r="L117" s="341"/>
      <c r="M117" s="341"/>
      <c r="N117" s="342"/>
      <c r="P117" s="18">
        <f t="shared" si="3"/>
        <v>0</v>
      </c>
      <c r="Q117" s="338"/>
      <c r="R117" s="344"/>
      <c r="S117" s="344"/>
      <c r="T117" s="344"/>
      <c r="U117" s="475"/>
    </row>
    <row r="118" spans="2:21" ht="105.6" x14ac:dyDescent="0.25">
      <c r="B118" s="346"/>
      <c r="C118" s="351"/>
      <c r="D118" s="71" t="s">
        <v>150</v>
      </c>
      <c r="E118"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8" s="348"/>
      <c r="G118" s="69"/>
      <c r="H118" s="18">
        <v>15</v>
      </c>
      <c r="I118" s="350"/>
      <c r="J118" s="340"/>
      <c r="K118" s="341"/>
      <c r="L118" s="341"/>
      <c r="M118" s="341"/>
      <c r="N118" s="342"/>
      <c r="P118" s="18">
        <f t="shared" si="3"/>
        <v>0</v>
      </c>
      <c r="Q118" s="338"/>
      <c r="R118" s="344"/>
      <c r="S118" s="344"/>
      <c r="T118" s="344"/>
      <c r="U118" s="475"/>
    </row>
    <row r="119" spans="2:21" ht="39.6" x14ac:dyDescent="0.25">
      <c r="B119" s="346"/>
      <c r="C119" s="351"/>
      <c r="D119" s="71" t="s">
        <v>189</v>
      </c>
      <c r="E119" s="134" t="str">
        <f>HLOOKUP(Deckblatt!$C$12,Language!$C$1:$D$730,132,FALSE)</f>
        <v xml:space="preserve">Flexibilität und Ausbaureserven der  technischen Quartiersinfrastruktur / Gebäude
</v>
      </c>
      <c r="F119" s="348"/>
      <c r="G119" s="69"/>
      <c r="H119" s="18">
        <v>15</v>
      </c>
      <c r="I119" s="350"/>
      <c r="J119" s="340"/>
      <c r="K119" s="341"/>
      <c r="L119" s="341"/>
      <c r="M119" s="341"/>
      <c r="N119" s="342"/>
      <c r="P119" s="18">
        <f t="shared" si="3"/>
        <v>0</v>
      </c>
      <c r="Q119" s="338"/>
      <c r="R119" s="344"/>
      <c r="S119" s="344"/>
      <c r="T119" s="344"/>
      <c r="U119" s="475"/>
    </row>
    <row r="120" spans="2:21" x14ac:dyDescent="0.25">
      <c r="B120" s="346"/>
      <c r="C120" s="351"/>
      <c r="D120" s="361" t="s">
        <v>190</v>
      </c>
      <c r="E120" s="150" t="str">
        <f>HLOOKUP(Deckblatt!$C$12,Language!$C$1:$D$730,133,FALSE)</f>
        <v>Redundanz und Resilienz der Verkehrssysteme</v>
      </c>
      <c r="F120" s="348"/>
      <c r="G120" s="113"/>
      <c r="H120" s="21">
        <v>5</v>
      </c>
      <c r="I120" s="350"/>
      <c r="J120" s="340"/>
      <c r="K120" s="341"/>
      <c r="L120" s="341"/>
      <c r="M120" s="341"/>
      <c r="N120" s="342"/>
      <c r="P120" s="18">
        <f t="shared" si="3"/>
        <v>0</v>
      </c>
      <c r="Q120" s="338"/>
      <c r="R120" s="344"/>
      <c r="S120" s="344"/>
      <c r="T120" s="344"/>
      <c r="U120" s="475"/>
    </row>
    <row r="121" spans="2:21" ht="66" x14ac:dyDescent="0.25">
      <c r="B121" s="346"/>
      <c r="C121" s="351"/>
      <c r="D121" s="361"/>
      <c r="E121"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21" s="348"/>
      <c r="G121" s="69"/>
      <c r="H121" s="18">
        <v>5</v>
      </c>
      <c r="I121" s="350"/>
      <c r="J121" s="340"/>
      <c r="K121" s="341"/>
      <c r="L121" s="341"/>
      <c r="M121" s="341"/>
      <c r="N121" s="342"/>
      <c r="P121" s="18">
        <f t="shared" si="3"/>
        <v>0</v>
      </c>
      <c r="Q121" s="338"/>
      <c r="R121" s="344"/>
      <c r="S121" s="344"/>
      <c r="T121" s="344"/>
      <c r="U121" s="475"/>
    </row>
    <row r="122" spans="2:21" x14ac:dyDescent="0.25">
      <c r="B122" s="55" t="s">
        <v>201</v>
      </c>
      <c r="C122" s="354" t="str">
        <f>HLOOKUP(Deckblatt!$C$12,Language!$C$1:$D$730,141,FALSE)</f>
        <v>Flächeneffizienz</v>
      </c>
      <c r="D122" s="354"/>
      <c r="E122" s="355"/>
      <c r="F122" s="56">
        <f>Q122</f>
        <v>0</v>
      </c>
      <c r="G122" s="364"/>
      <c r="H122" s="21">
        <v>100</v>
      </c>
      <c r="I122" s="176">
        <v>3</v>
      </c>
      <c r="J122" s="340"/>
      <c r="K122" s="341"/>
      <c r="L122" s="341"/>
      <c r="M122" s="341"/>
      <c r="N122" s="342"/>
      <c r="P122" s="18">
        <f t="shared" si="3"/>
        <v>0</v>
      </c>
      <c r="Q122" s="337">
        <f>P124+P126</f>
        <v>0</v>
      </c>
      <c r="R122" s="343">
        <f>Q122/100</f>
        <v>0</v>
      </c>
      <c r="S122" s="344"/>
      <c r="T122" s="344"/>
      <c r="U122" s="475"/>
    </row>
    <row r="123" spans="2:21" x14ac:dyDescent="0.25">
      <c r="B123" s="375"/>
      <c r="C123" s="351" t="s">
        <v>54</v>
      </c>
      <c r="D123" s="352" t="str">
        <f>HLOOKUP(Deckblatt!$C$12,Language!$C$1:$D$730,142,FALSE)</f>
        <v>Erschließungseffizienz des Quartiers</v>
      </c>
      <c r="E123" s="353"/>
      <c r="F123" s="363"/>
      <c r="G123" s="364"/>
      <c r="H123" s="21">
        <v>40</v>
      </c>
      <c r="I123" s="379"/>
      <c r="J123" s="340"/>
      <c r="K123" s="341"/>
      <c r="L123" s="341"/>
      <c r="M123" s="341"/>
      <c r="N123" s="342"/>
      <c r="P123" s="18">
        <f t="shared" si="3"/>
        <v>0</v>
      </c>
      <c r="Q123" s="338"/>
      <c r="R123" s="344"/>
      <c r="S123" s="344"/>
      <c r="T123" s="344"/>
      <c r="U123" s="475"/>
    </row>
    <row r="124" spans="2:21" x14ac:dyDescent="0.25">
      <c r="B124" s="375"/>
      <c r="C124" s="351"/>
      <c r="D124" s="71" t="s">
        <v>181</v>
      </c>
      <c r="E124" s="150" t="str">
        <f>HLOOKUP(Deckblatt!$C$12,Language!$C$1:$D$730,144,FALSE)</f>
        <v>Erschließungskoeffizient (ErK)</v>
      </c>
      <c r="F124" s="363"/>
      <c r="G124" s="69"/>
      <c r="H124" s="18">
        <v>40</v>
      </c>
      <c r="I124" s="379"/>
      <c r="J124" s="340"/>
      <c r="K124" s="341"/>
      <c r="L124" s="341"/>
      <c r="M124" s="341"/>
      <c r="N124" s="342"/>
      <c r="P124" s="18">
        <f t="shared" si="3"/>
        <v>0</v>
      </c>
      <c r="Q124" s="338"/>
      <c r="R124" s="344"/>
      <c r="S124" s="344"/>
      <c r="T124" s="344"/>
      <c r="U124" s="475"/>
    </row>
    <row r="125" spans="2:21" x14ac:dyDescent="0.25">
      <c r="B125" s="375"/>
      <c r="C125" s="351" t="s">
        <v>61</v>
      </c>
      <c r="D125" s="352" t="str">
        <f>HLOOKUP(Deckblatt!$C$12,Language!$C$1:$D$730,145,FALSE)</f>
        <v>Baudichte</v>
      </c>
      <c r="E125" s="353"/>
      <c r="F125" s="363"/>
      <c r="G125" s="113"/>
      <c r="H125" s="21">
        <v>60</v>
      </c>
      <c r="I125" s="379"/>
      <c r="J125" s="340"/>
      <c r="K125" s="341"/>
      <c r="L125" s="341"/>
      <c r="M125" s="341"/>
      <c r="N125" s="342"/>
      <c r="P125" s="18">
        <f t="shared" si="3"/>
        <v>0</v>
      </c>
      <c r="Q125" s="338"/>
      <c r="R125" s="344"/>
      <c r="S125" s="344"/>
      <c r="T125" s="344"/>
      <c r="U125" s="475"/>
    </row>
    <row r="126" spans="2:21" ht="26.4" x14ac:dyDescent="0.25">
      <c r="B126" s="375"/>
      <c r="C126" s="351"/>
      <c r="D126" s="71" t="s">
        <v>63</v>
      </c>
      <c r="E126" s="150" t="str">
        <f>HLOOKUP(Deckblatt!$C$12,Language!$C$1:$D$730,146,FALSE)</f>
        <v xml:space="preserve">Geschossflächenanzahl (GFZ)
</v>
      </c>
      <c r="F126" s="363"/>
      <c r="G126" s="69"/>
      <c r="H126" s="18">
        <v>60</v>
      </c>
      <c r="I126" s="379"/>
      <c r="J126" s="340"/>
      <c r="K126" s="341"/>
      <c r="L126" s="341"/>
      <c r="M126" s="341"/>
      <c r="N126" s="342"/>
      <c r="P126" s="18">
        <f t="shared" si="3"/>
        <v>0</v>
      </c>
      <c r="Q126" s="339"/>
      <c r="R126" s="365"/>
      <c r="S126" s="344"/>
      <c r="T126" s="344"/>
      <c r="U126" s="475"/>
    </row>
    <row r="127" spans="2:21" x14ac:dyDescent="0.25">
      <c r="B127" s="55" t="s">
        <v>207</v>
      </c>
      <c r="C127" s="354" t="str">
        <f>HLOOKUP(Deckblatt!$C$12,Language!$C$1:$D$730,147,FALSE)</f>
        <v>Wertstabilität</v>
      </c>
      <c r="D127" s="354"/>
      <c r="E127" s="355"/>
      <c r="F127" s="56">
        <f>Q127</f>
        <v>0</v>
      </c>
      <c r="G127" s="364"/>
      <c r="H127" s="21">
        <v>100</v>
      </c>
      <c r="I127" s="176">
        <v>3</v>
      </c>
      <c r="J127" s="340"/>
      <c r="K127" s="341"/>
      <c r="L127" s="341"/>
      <c r="M127" s="341"/>
      <c r="N127" s="342"/>
      <c r="P127" s="18">
        <f t="shared" si="3"/>
        <v>0</v>
      </c>
      <c r="Q127" s="337">
        <f>IF(SUM(P129,P131,P133:P134,P136)&gt;100,100,SUM(P129,P131,P133:P134,P136))</f>
        <v>0</v>
      </c>
      <c r="R127" s="343">
        <f>Q127/100</f>
        <v>0</v>
      </c>
      <c r="S127" s="344"/>
      <c r="T127" s="344"/>
      <c r="U127" s="475"/>
    </row>
    <row r="128" spans="2:21" x14ac:dyDescent="0.25">
      <c r="B128" s="375"/>
      <c r="C128" s="351" t="s">
        <v>54</v>
      </c>
      <c r="D128" s="352" t="str">
        <f>HLOOKUP(Deckblatt!$C$12,Language!$C$1:$D$730,148,FALSE)</f>
        <v>Diversifikation</v>
      </c>
      <c r="E128" s="353"/>
      <c r="F128" s="363"/>
      <c r="G128" s="364"/>
      <c r="H128" s="21">
        <v>40</v>
      </c>
      <c r="I128" s="379"/>
      <c r="J128" s="340"/>
      <c r="K128" s="341"/>
      <c r="L128" s="341"/>
      <c r="M128" s="341"/>
      <c r="N128" s="342"/>
      <c r="P128" s="18">
        <f t="shared" si="3"/>
        <v>0</v>
      </c>
      <c r="Q128" s="338"/>
      <c r="R128" s="344"/>
      <c r="S128" s="344"/>
      <c r="T128" s="344"/>
      <c r="U128" s="475"/>
    </row>
    <row r="129" spans="2:21" ht="26.4" x14ac:dyDescent="0.25">
      <c r="B129" s="375"/>
      <c r="C129" s="351"/>
      <c r="D129" s="71" t="s">
        <v>58</v>
      </c>
      <c r="E129" s="150" t="str">
        <f>HLOOKUP(Deckblatt!$C$12,Language!$C$1:$D$730,149,FALSE)</f>
        <v xml:space="preserve">Diversifikationsgrad
</v>
      </c>
      <c r="F129" s="363"/>
      <c r="G129" s="69"/>
      <c r="H129" s="18">
        <v>40</v>
      </c>
      <c r="I129" s="379"/>
      <c r="J129" s="340"/>
      <c r="K129" s="341"/>
      <c r="L129" s="341"/>
      <c r="M129" s="341"/>
      <c r="N129" s="342"/>
      <c r="P129" s="18">
        <f t="shared" si="3"/>
        <v>0</v>
      </c>
      <c r="Q129" s="338"/>
      <c r="R129" s="344"/>
      <c r="S129" s="344"/>
      <c r="T129" s="344"/>
      <c r="U129" s="475"/>
    </row>
    <row r="130" spans="2:21" x14ac:dyDescent="0.25">
      <c r="B130" s="375"/>
      <c r="C130" s="351" t="s">
        <v>61</v>
      </c>
      <c r="D130" s="352" t="str">
        <f>HLOOKUP(Deckblatt!$C$12,Language!$C$1:$D$730,150,FALSE)</f>
        <v>Kaufkraftkennziffer</v>
      </c>
      <c r="E130" s="353"/>
      <c r="F130" s="363"/>
      <c r="G130" s="113"/>
      <c r="H130" s="21">
        <v>20</v>
      </c>
      <c r="I130" s="379"/>
      <c r="J130" s="340"/>
      <c r="K130" s="341"/>
      <c r="L130" s="341"/>
      <c r="M130" s="341"/>
      <c r="N130" s="342"/>
      <c r="P130" s="18">
        <f t="shared" si="3"/>
        <v>0</v>
      </c>
      <c r="Q130" s="338"/>
      <c r="R130" s="344"/>
      <c r="S130" s="344"/>
      <c r="T130" s="344"/>
      <c r="U130" s="475"/>
    </row>
    <row r="131" spans="2:21" ht="26.4" x14ac:dyDescent="0.25">
      <c r="B131" s="375"/>
      <c r="C131" s="351"/>
      <c r="D131" s="71" t="s">
        <v>63</v>
      </c>
      <c r="E131" s="150" t="str">
        <f>HLOOKUP(Deckblatt!$C$12,Language!$C$1:$D$730,151,FALSE)</f>
        <v xml:space="preserve">Kaufkraftkennziffer
</v>
      </c>
      <c r="F131" s="363"/>
      <c r="G131" s="69"/>
      <c r="H131" s="18">
        <v>20</v>
      </c>
      <c r="I131" s="379"/>
      <c r="J131" s="340"/>
      <c r="K131" s="341"/>
      <c r="L131" s="341"/>
      <c r="M131" s="341"/>
      <c r="N131" s="342"/>
      <c r="P131" s="18">
        <f t="shared" si="3"/>
        <v>0</v>
      </c>
      <c r="Q131" s="338"/>
      <c r="R131" s="344"/>
      <c r="S131" s="344"/>
      <c r="T131" s="344"/>
      <c r="U131" s="475"/>
    </row>
    <row r="132" spans="2:21" x14ac:dyDescent="0.25">
      <c r="B132" s="375"/>
      <c r="C132" s="351" t="s">
        <v>67</v>
      </c>
      <c r="D132" s="352" t="str">
        <f>HLOOKUP(Deckblatt!$C$12,Language!$C$1:$D$730,154,FALSE)</f>
        <v>Markt- und Standortnalyse</v>
      </c>
      <c r="E132" s="353"/>
      <c r="F132" s="363"/>
      <c r="G132" s="113"/>
      <c r="H132" s="21">
        <v>25</v>
      </c>
      <c r="I132" s="379"/>
      <c r="J132" s="340"/>
      <c r="K132" s="341"/>
      <c r="L132" s="341"/>
      <c r="M132" s="341"/>
      <c r="N132" s="342"/>
      <c r="P132" s="18">
        <f t="shared" si="3"/>
        <v>0</v>
      </c>
      <c r="Q132" s="338"/>
      <c r="R132" s="344"/>
      <c r="S132" s="344"/>
      <c r="T132" s="344"/>
      <c r="U132" s="475"/>
    </row>
    <row r="133" spans="2:21" ht="132" x14ac:dyDescent="0.25">
      <c r="B133" s="375"/>
      <c r="C133" s="351"/>
      <c r="D133" s="71" t="s">
        <v>69</v>
      </c>
      <c r="E133"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3" s="363"/>
      <c r="G133" s="69"/>
      <c r="H133" s="18">
        <v>15</v>
      </c>
      <c r="I133" s="379"/>
      <c r="J133" s="340"/>
      <c r="K133" s="341"/>
      <c r="L133" s="341"/>
      <c r="M133" s="341"/>
      <c r="N133" s="342"/>
      <c r="P133" s="18">
        <f t="shared" si="3"/>
        <v>0</v>
      </c>
      <c r="Q133" s="338"/>
      <c r="R133" s="344"/>
      <c r="S133" s="344"/>
      <c r="T133" s="344"/>
      <c r="U133" s="475"/>
    </row>
    <row r="134" spans="2:21" ht="52.8" x14ac:dyDescent="0.25">
      <c r="B134" s="375"/>
      <c r="C134" s="351"/>
      <c r="D134" s="71" t="s">
        <v>214</v>
      </c>
      <c r="E134" s="134" t="str">
        <f>HLOOKUP(Deckblatt!$C$12,Language!$C$1:$D$730,157,FALSE)</f>
        <v xml:space="preserve">Konkurrenzanalyse
liegt vor, wenn in der Analyse auf konkurrierende Projekte eingegangen wird und Folgerungen daraus abgeleitet werden.
</v>
      </c>
      <c r="F134" s="363"/>
      <c r="G134" s="69"/>
      <c r="H134" s="18">
        <v>10</v>
      </c>
      <c r="I134" s="379"/>
      <c r="J134" s="340"/>
      <c r="K134" s="341"/>
      <c r="L134" s="341"/>
      <c r="M134" s="341"/>
      <c r="N134" s="342"/>
      <c r="P134" s="18">
        <f t="shared" ref="P134:P215" si="4">IF(G134&gt;H134,H134,G134)</f>
        <v>0</v>
      </c>
      <c r="Q134" s="338"/>
      <c r="R134" s="344"/>
      <c r="S134" s="344"/>
      <c r="T134" s="344"/>
      <c r="U134" s="475"/>
    </row>
    <row r="135" spans="2:21" x14ac:dyDescent="0.25">
      <c r="B135" s="375"/>
      <c r="C135" s="392" t="s">
        <v>282</v>
      </c>
      <c r="D135" s="352" t="str">
        <f>HLOOKUP(Deckblatt!$C$12,Language!$C$1:$D$730,168,FALSE)</f>
        <v>Ausbildungsmischung</v>
      </c>
      <c r="E135" s="353"/>
      <c r="F135" s="363"/>
      <c r="G135" s="113"/>
      <c r="H135" s="21">
        <v>15</v>
      </c>
      <c r="I135" s="379"/>
      <c r="J135" s="340"/>
      <c r="K135" s="341"/>
      <c r="L135" s="341"/>
      <c r="M135" s="341"/>
      <c r="N135" s="342"/>
      <c r="P135" s="18">
        <f t="shared" si="4"/>
        <v>0</v>
      </c>
      <c r="Q135" s="338"/>
      <c r="R135" s="344"/>
      <c r="S135" s="344"/>
      <c r="T135" s="344"/>
      <c r="U135" s="475"/>
    </row>
    <row r="136" spans="2:21" ht="111" customHeight="1" x14ac:dyDescent="0.25">
      <c r="B136" s="375"/>
      <c r="C136" s="351"/>
      <c r="D136" s="71" t="s">
        <v>284</v>
      </c>
      <c r="E136" s="134" t="str">
        <f>HLOOKUP(Deckblatt!$C$12,Language!$C$1:$D$730,169,FALSE)</f>
        <v>Arbeitsplätze im Betrieb
- Es werden sowohl gelernte als auch ungelernte Arbeitsplätze angeboten. +5
- Das Unternehmen bildet selbst aus. +5
- Unter den Auszubildenden finden sich in der Regel sowohl Absolventen mit Hauptschulabschluss, Mittlerer Reife als auch Abiturienten. +5</v>
      </c>
      <c r="F136" s="363"/>
      <c r="G136" s="69"/>
      <c r="H136" s="18">
        <v>15</v>
      </c>
      <c r="I136" s="379"/>
      <c r="J136" s="340"/>
      <c r="K136" s="341"/>
      <c r="L136" s="341"/>
      <c r="M136" s="341"/>
      <c r="N136" s="342"/>
      <c r="P136" s="18">
        <f t="shared" si="4"/>
        <v>0</v>
      </c>
      <c r="Q136" s="338"/>
      <c r="R136" s="344"/>
      <c r="S136" s="344"/>
      <c r="T136" s="344"/>
      <c r="U136" s="475"/>
    </row>
    <row r="137" spans="2:21" x14ac:dyDescent="0.25">
      <c r="B137" s="152" t="s">
        <v>789</v>
      </c>
      <c r="C137" s="354" t="str">
        <f>HLOOKUP(Deckblatt!$C$12,Language!$C$1:$D$730,170,FALSE)</f>
        <v>Umweltrisiken</v>
      </c>
      <c r="D137" s="354"/>
      <c r="E137" s="355"/>
      <c r="F137" s="153">
        <f>Q137</f>
        <v>0</v>
      </c>
      <c r="G137" s="151"/>
      <c r="H137" s="65">
        <v>110</v>
      </c>
      <c r="I137" s="179">
        <v>2</v>
      </c>
      <c r="J137" s="340"/>
      <c r="K137" s="341"/>
      <c r="L137" s="341"/>
      <c r="M137" s="341"/>
      <c r="N137" s="342"/>
      <c r="P137" s="18">
        <f t="shared" si="4"/>
        <v>0</v>
      </c>
      <c r="Q137" s="337">
        <f>SUM(P138:P142)</f>
        <v>0</v>
      </c>
      <c r="R137" s="343">
        <f>Q137/100</f>
        <v>0</v>
      </c>
      <c r="S137" s="344"/>
      <c r="T137" s="344"/>
      <c r="U137" s="475"/>
    </row>
    <row r="138" spans="2:21" x14ac:dyDescent="0.25">
      <c r="B138" s="345"/>
      <c r="C138" s="143" t="s">
        <v>54</v>
      </c>
      <c r="D138" s="220" t="str">
        <f>IF(Deckblatt!$C$12=Language!$C$1,"Risiko 1",IF(Deckblatt!$C$12=Language!$D$1,"Risk 1"))</f>
        <v>Risiko 1</v>
      </c>
      <c r="E138" s="158"/>
      <c r="F138" s="347"/>
      <c r="G138" s="69"/>
      <c r="H138" s="21">
        <v>30</v>
      </c>
      <c r="I138" s="498"/>
      <c r="J138" s="340"/>
      <c r="K138" s="341"/>
      <c r="L138" s="341"/>
      <c r="M138" s="341"/>
      <c r="N138" s="342"/>
      <c r="P138" s="18">
        <f t="shared" si="4"/>
        <v>0</v>
      </c>
      <c r="Q138" s="338"/>
      <c r="R138" s="344"/>
      <c r="S138" s="344"/>
      <c r="T138" s="344"/>
      <c r="U138" s="475"/>
    </row>
    <row r="139" spans="2:21" x14ac:dyDescent="0.25">
      <c r="B139" s="346"/>
      <c r="C139" s="143" t="s">
        <v>61</v>
      </c>
      <c r="D139" s="220" t="str">
        <f>IF(Deckblatt!$C$12=Language!$C$1,"Risiko 2",IF(Deckblatt!$C$12=Language!$D$1,"Risk 2"))</f>
        <v>Risiko 2</v>
      </c>
      <c r="E139" s="158"/>
      <c r="F139" s="348"/>
      <c r="G139" s="69"/>
      <c r="H139" s="145">
        <v>30</v>
      </c>
      <c r="I139" s="499"/>
      <c r="J139" s="340"/>
      <c r="K139" s="341"/>
      <c r="L139" s="341"/>
      <c r="M139" s="341"/>
      <c r="N139" s="342"/>
      <c r="P139" s="18">
        <f t="shared" si="4"/>
        <v>0</v>
      </c>
      <c r="Q139" s="338"/>
      <c r="R139" s="344"/>
      <c r="S139" s="344"/>
      <c r="T139" s="344"/>
      <c r="U139" s="475"/>
    </row>
    <row r="140" spans="2:21" x14ac:dyDescent="0.25">
      <c r="B140" s="346"/>
      <c r="C140" s="143" t="s">
        <v>64</v>
      </c>
      <c r="D140" s="220" t="str">
        <f>IF(Deckblatt!$C$12=Language!$C$1,"Risiko 3",IF(Deckblatt!$C$12=Language!$D$1,"Risk 3"))</f>
        <v>Risiko 3</v>
      </c>
      <c r="E140" s="158"/>
      <c r="F140" s="348"/>
      <c r="G140" s="69"/>
      <c r="H140" s="21">
        <v>30</v>
      </c>
      <c r="I140" s="499"/>
      <c r="J140" s="340"/>
      <c r="K140" s="341"/>
      <c r="L140" s="341"/>
      <c r="M140" s="341"/>
      <c r="N140" s="342"/>
      <c r="P140" s="18">
        <f t="shared" si="4"/>
        <v>0</v>
      </c>
      <c r="Q140" s="338"/>
      <c r="R140" s="344"/>
      <c r="S140" s="344"/>
      <c r="T140" s="344"/>
      <c r="U140" s="475"/>
    </row>
    <row r="141" spans="2:21" x14ac:dyDescent="0.25">
      <c r="B141" s="346"/>
      <c r="C141" s="125" t="s">
        <v>107</v>
      </c>
      <c r="D141" s="155" t="s">
        <v>108</v>
      </c>
      <c r="E141" s="256"/>
      <c r="F141" s="348"/>
      <c r="G141" s="69"/>
      <c r="H141" s="65">
        <v>10</v>
      </c>
      <c r="I141" s="499"/>
      <c r="J141" s="340"/>
      <c r="K141" s="341"/>
      <c r="L141" s="341"/>
      <c r="M141" s="341"/>
      <c r="N141" s="342"/>
      <c r="P141" s="18">
        <f t="shared" si="4"/>
        <v>0</v>
      </c>
      <c r="Q141" s="338"/>
      <c r="R141" s="344"/>
      <c r="S141" s="344"/>
      <c r="T141" s="344"/>
      <c r="U141" s="475"/>
    </row>
    <row r="142" spans="2:21" ht="82.95" customHeight="1" x14ac:dyDescent="0.25">
      <c r="B142" s="370"/>
      <c r="C142" s="252" t="s">
        <v>1814</v>
      </c>
      <c r="D142" s="472"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42" s="473"/>
      <c r="F142" s="371"/>
      <c r="G142" s="175"/>
      <c r="H142" s="65">
        <v>10</v>
      </c>
      <c r="I142" s="500"/>
      <c r="J142" s="340"/>
      <c r="K142" s="341"/>
      <c r="L142" s="341"/>
      <c r="M142" s="341"/>
      <c r="N142" s="342"/>
      <c r="P142" s="18">
        <f t="shared" si="4"/>
        <v>0</v>
      </c>
      <c r="Q142" s="339"/>
      <c r="R142" s="365"/>
      <c r="S142" s="365"/>
      <c r="T142" s="365"/>
      <c r="U142" s="475"/>
    </row>
    <row r="143" spans="2:21" x14ac:dyDescent="0.25">
      <c r="B143" s="152" t="s">
        <v>628</v>
      </c>
      <c r="C143" s="483" t="str">
        <f>HLOOKUP(Deckblatt!$C$12,Language!$C$1:$D$730,183,FALSE)</f>
        <v>Mikroklima – Thermischer Komfort im Freiraum</v>
      </c>
      <c r="D143" s="483"/>
      <c r="E143" s="484"/>
      <c r="F143" s="154">
        <f>Q143</f>
        <v>0</v>
      </c>
      <c r="G143" s="497"/>
      <c r="H143" s="65">
        <v>100</v>
      </c>
      <c r="I143" s="179">
        <v>3</v>
      </c>
      <c r="J143" s="494"/>
      <c r="K143" s="495"/>
      <c r="L143" s="495"/>
      <c r="M143" s="495"/>
      <c r="N143" s="496"/>
      <c r="P143" s="18">
        <f t="shared" si="4"/>
        <v>0</v>
      </c>
      <c r="Q143" s="337">
        <f>SUM(P145:P147,P149)</f>
        <v>0</v>
      </c>
      <c r="R143" s="343">
        <f>Q143/100</f>
        <v>0</v>
      </c>
      <c r="S143" s="343">
        <v>0.2</v>
      </c>
      <c r="T143" s="343">
        <f>IF((R143*I143+R150*I150+R173*I173+R197*I197+R214*I214+R219*I219+R241*I241)/(I143+I150+I173+I197+I214+I219+I241)&gt;1,1,(R143*I143+R150*I150+R173*I173+R197*I197+R214*I214+R219*I219+R241*I241)/(I143+I150+I173+I197+I214+I219+I241))</f>
        <v>0</v>
      </c>
      <c r="U143" s="475"/>
    </row>
    <row r="144" spans="2:21" x14ac:dyDescent="0.25">
      <c r="B144" s="345"/>
      <c r="C144" s="359" t="s">
        <v>54</v>
      </c>
      <c r="D144" s="352" t="str">
        <f>HLOOKUP(Deckblatt!$C$12,Language!$C$1:$D$730,184,FALSE)</f>
        <v>Basiskomfort</v>
      </c>
      <c r="E144" s="353"/>
      <c r="F144" s="345"/>
      <c r="G144" s="489"/>
      <c r="H144" s="21">
        <v>80</v>
      </c>
      <c r="I144" s="349"/>
      <c r="J144" s="340"/>
      <c r="K144" s="341"/>
      <c r="L144" s="341"/>
      <c r="M144" s="341"/>
      <c r="N144" s="342"/>
      <c r="P144" s="18">
        <f t="shared" si="4"/>
        <v>0</v>
      </c>
      <c r="Q144" s="338"/>
      <c r="R144" s="344"/>
      <c r="S144" s="344"/>
      <c r="T144" s="344"/>
      <c r="U144" s="475"/>
    </row>
    <row r="145" spans="2:21" ht="26.4" x14ac:dyDescent="0.25">
      <c r="B145" s="346"/>
      <c r="C145" s="390"/>
      <c r="D145" s="71" t="s">
        <v>58</v>
      </c>
      <c r="E145" s="150" t="str">
        <f>HLOOKUP(Deckblatt!$C$12,Language!$C$1:$D$730,185,FALSE)</f>
        <v xml:space="preserve">Analyse Mikroklima
</v>
      </c>
      <c r="F145" s="346"/>
      <c r="G145" s="69"/>
      <c r="H145" s="18">
        <v>20</v>
      </c>
      <c r="I145" s="350"/>
      <c r="J145" s="340"/>
      <c r="K145" s="341"/>
      <c r="L145" s="341"/>
      <c r="M145" s="341"/>
      <c r="N145" s="342"/>
      <c r="P145" s="18">
        <f t="shared" si="4"/>
        <v>0</v>
      </c>
      <c r="Q145" s="338"/>
      <c r="R145" s="344"/>
      <c r="S145" s="344"/>
      <c r="T145" s="344"/>
      <c r="U145" s="475"/>
    </row>
    <row r="146" spans="2:21" ht="66" x14ac:dyDescent="0.25">
      <c r="B146" s="346"/>
      <c r="C146" s="390"/>
      <c r="D146" s="71" t="s">
        <v>246</v>
      </c>
      <c r="E146" s="134" t="str">
        <f>HLOOKUP(Deckblatt!$C$12,Language!$C$1:$D$730,187,FALSE)</f>
        <v xml:space="preserve">Verschattung der Untersuchungsbereiche in Prozent
≥ 10 % der Flächen haben einen sommerlichen Sonnenschutz  (5 Punkte)
ODER
≥ 30 % der Flächen haben einen sommerlichen Sonnenschutz  (10 Punkte)
</v>
      </c>
      <c r="F146" s="346"/>
      <c r="G146" s="69"/>
      <c r="H146" s="18">
        <v>30</v>
      </c>
      <c r="I146" s="350"/>
      <c r="J146" s="340"/>
      <c r="K146" s="341"/>
      <c r="L146" s="341"/>
      <c r="M146" s="341"/>
      <c r="N146" s="342"/>
      <c r="P146" s="18">
        <f t="shared" si="4"/>
        <v>0</v>
      </c>
      <c r="Q146" s="338"/>
      <c r="R146" s="344"/>
      <c r="S146" s="344"/>
      <c r="T146" s="344"/>
      <c r="U146" s="475"/>
    </row>
    <row r="147" spans="2:21" ht="39.6" x14ac:dyDescent="0.25">
      <c r="B147" s="346"/>
      <c r="C147" s="360"/>
      <c r="D147" s="71" t="s">
        <v>121</v>
      </c>
      <c r="E147" s="134" t="str">
        <f>HLOOKUP(Deckblatt!$C$12,Language!$C$1:$D$730,189,FALSE)</f>
        <v xml:space="preserve">Maßnahmen Verbesserung Mikroklima
Zwischen 33 und 100% der notwendigen Maßnahmen werden umgesetzt
</v>
      </c>
      <c r="F147" s="346"/>
      <c r="G147" s="69"/>
      <c r="H147" s="18">
        <v>30</v>
      </c>
      <c r="I147" s="350"/>
      <c r="J147" s="340"/>
      <c r="K147" s="341"/>
      <c r="L147" s="341"/>
      <c r="M147" s="341"/>
      <c r="N147" s="342"/>
      <c r="P147" s="18">
        <f t="shared" si="4"/>
        <v>0</v>
      </c>
      <c r="Q147" s="338"/>
      <c r="R147" s="344"/>
      <c r="S147" s="344"/>
      <c r="T147" s="344"/>
      <c r="U147" s="475"/>
    </row>
    <row r="148" spans="2:21" x14ac:dyDescent="0.25">
      <c r="B148" s="346"/>
      <c r="C148" s="359" t="s">
        <v>64</v>
      </c>
      <c r="D148" s="352" t="str">
        <f>HLOOKUP(Deckblatt!$C$12,Language!$C$1:$D$730,192,FALSE)</f>
        <v>Gefühlte Temperatur</v>
      </c>
      <c r="E148" s="353"/>
      <c r="F148" s="346"/>
      <c r="G148" s="113"/>
      <c r="H148" s="21">
        <v>20</v>
      </c>
      <c r="I148" s="350"/>
      <c r="J148" s="340"/>
      <c r="K148" s="341"/>
      <c r="L148" s="341"/>
      <c r="M148" s="341"/>
      <c r="N148" s="342"/>
      <c r="P148" s="18">
        <f t="shared" si="4"/>
        <v>0</v>
      </c>
      <c r="Q148" s="338"/>
      <c r="R148" s="344"/>
      <c r="S148" s="344"/>
      <c r="T148" s="344"/>
      <c r="U148" s="475"/>
    </row>
    <row r="149" spans="2:21" ht="145.19999999999999" x14ac:dyDescent="0.25">
      <c r="B149" s="370"/>
      <c r="C149" s="360"/>
      <c r="D149" s="71" t="s">
        <v>66</v>
      </c>
      <c r="E149"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49" s="370"/>
      <c r="G149" s="69"/>
      <c r="H149" s="18">
        <v>20</v>
      </c>
      <c r="I149" s="366"/>
      <c r="J149" s="340"/>
      <c r="K149" s="341"/>
      <c r="L149" s="341"/>
      <c r="M149" s="341"/>
      <c r="N149" s="342"/>
      <c r="P149" s="18">
        <f t="shared" si="4"/>
        <v>0</v>
      </c>
      <c r="Q149" s="339"/>
      <c r="R149" s="365"/>
      <c r="S149" s="344"/>
      <c r="T149" s="344"/>
      <c r="U149" s="475"/>
    </row>
    <row r="150" spans="2:21" x14ac:dyDescent="0.25">
      <c r="B150" s="63" t="s">
        <v>237</v>
      </c>
      <c r="C150" s="354" t="str">
        <f>HLOOKUP(Deckblatt!$C$12,Language!$C$1:$D$730,194,FALSE)</f>
        <v>Freiraum</v>
      </c>
      <c r="D150" s="354"/>
      <c r="E150" s="355"/>
      <c r="F150" s="64">
        <f>Q150</f>
        <v>0</v>
      </c>
      <c r="G150" s="374"/>
      <c r="H150" s="65">
        <v>100</v>
      </c>
      <c r="I150" s="180">
        <v>3</v>
      </c>
      <c r="J150" s="340"/>
      <c r="K150" s="341"/>
      <c r="L150" s="341"/>
      <c r="M150" s="341"/>
      <c r="N150" s="342"/>
      <c r="P150" s="18">
        <f t="shared" si="4"/>
        <v>0</v>
      </c>
      <c r="Q150" s="337">
        <f>SUM(P153:P154,P156:P157,P159:P160,P162:P163,P165:P168,P170,P172)</f>
        <v>0</v>
      </c>
      <c r="R150" s="343">
        <f>Q150/100</f>
        <v>0</v>
      </c>
      <c r="S150" s="344"/>
      <c r="T150" s="344"/>
      <c r="U150" s="475"/>
    </row>
    <row r="151" spans="2:21" x14ac:dyDescent="0.25">
      <c r="B151" s="345"/>
      <c r="C151" s="351" t="s">
        <v>54</v>
      </c>
      <c r="D151" s="352" t="str">
        <f>HLOOKUP(Deckblatt!$C$12,Language!$C$1:$D$730,195,FALSE)</f>
        <v>Einbindung in den landschaftlichen Kontext</v>
      </c>
      <c r="E151" s="353"/>
      <c r="F151" s="347"/>
      <c r="G151" s="364"/>
      <c r="H151" s="21">
        <v>25</v>
      </c>
      <c r="I151" s="349"/>
      <c r="J151" s="340"/>
      <c r="K151" s="341"/>
      <c r="L151" s="341"/>
      <c r="M151" s="341"/>
      <c r="N151" s="342"/>
      <c r="P151" s="18">
        <f t="shared" si="4"/>
        <v>0</v>
      </c>
      <c r="Q151" s="338"/>
      <c r="R151" s="344"/>
      <c r="S151" s="344"/>
      <c r="T151" s="344"/>
      <c r="U151" s="475"/>
    </row>
    <row r="152" spans="2:21" x14ac:dyDescent="0.25">
      <c r="B152" s="346"/>
      <c r="C152" s="351"/>
      <c r="D152" s="361" t="s">
        <v>58</v>
      </c>
      <c r="E152" s="150" t="str">
        <f>HLOOKUP(Deckblatt!$C$12,Language!$C$1:$D$730,196,FALSE)</f>
        <v>Berücksichtigung landschaftlicher Aspekte</v>
      </c>
      <c r="F152" s="348"/>
      <c r="G152" s="364"/>
      <c r="H152" s="21">
        <v>10</v>
      </c>
      <c r="I152" s="350"/>
      <c r="J152" s="340"/>
      <c r="K152" s="341"/>
      <c r="L152" s="341"/>
      <c r="M152" s="341"/>
      <c r="N152" s="342"/>
      <c r="P152" s="18">
        <f t="shared" si="4"/>
        <v>0</v>
      </c>
      <c r="Q152" s="338"/>
      <c r="R152" s="344"/>
      <c r="S152" s="344"/>
      <c r="T152" s="344"/>
      <c r="U152" s="475"/>
    </row>
    <row r="153" spans="2:21" ht="26.4" x14ac:dyDescent="0.25">
      <c r="B153" s="346"/>
      <c r="C153" s="351"/>
      <c r="D153" s="361"/>
      <c r="E153" s="134" t="str">
        <f>HLOOKUP(Deckblatt!$C$12,Language!$C$1:$D$730,197,FALSE)</f>
        <v xml:space="preserve">Es liegt eine Analyse/Bestandsuntersuchung vor.
</v>
      </c>
      <c r="F153" s="348"/>
      <c r="G153" s="69"/>
      <c r="H153" s="18">
        <v>5</v>
      </c>
      <c r="I153" s="350"/>
      <c r="J153" s="340"/>
      <c r="K153" s="341"/>
      <c r="L153" s="341"/>
      <c r="M153" s="341"/>
      <c r="N153" s="342"/>
      <c r="P153" s="18">
        <f t="shared" si="4"/>
        <v>0</v>
      </c>
      <c r="Q153" s="338"/>
      <c r="R153" s="344"/>
      <c r="S153" s="344"/>
      <c r="T153" s="344"/>
      <c r="U153" s="475"/>
    </row>
    <row r="154" spans="2:21" ht="52.8" x14ac:dyDescent="0.25">
      <c r="B154" s="346"/>
      <c r="C154" s="351"/>
      <c r="D154" s="361"/>
      <c r="E154" s="134" t="str">
        <f>HLOOKUP(Deckblatt!$C$12,Language!$C$1:$D$730,198,FALSE)</f>
        <v xml:space="preserve">Die Einbindung des Projekts in den landschaftlichen Kontext wird im Freiraumkonzept nachvollziehbar aus den Erkenntnissen der Analyse/Bestandsuntersuchung hergeleitet (Erläuterung).
</v>
      </c>
      <c r="F154" s="348"/>
      <c r="G154" s="69"/>
      <c r="H154" s="18">
        <v>5</v>
      </c>
      <c r="I154" s="350"/>
      <c r="J154" s="340"/>
      <c r="K154" s="341"/>
      <c r="L154" s="341"/>
      <c r="M154" s="341"/>
      <c r="N154" s="342"/>
      <c r="P154" s="18">
        <f t="shared" si="4"/>
        <v>0</v>
      </c>
      <c r="Q154" s="338"/>
      <c r="R154" s="344"/>
      <c r="S154" s="344"/>
      <c r="T154" s="344"/>
      <c r="U154" s="475"/>
    </row>
    <row r="155" spans="2:21" x14ac:dyDescent="0.25">
      <c r="B155" s="346"/>
      <c r="C155" s="351"/>
      <c r="D155" s="361" t="s">
        <v>88</v>
      </c>
      <c r="E155" s="150" t="str">
        <f>HLOOKUP(Deckblatt!$C$12,Language!$C$1:$D$730,199,FALSE)</f>
        <v>Einbindung in den städtebaulichen Kontext</v>
      </c>
      <c r="F155" s="348"/>
      <c r="G155" s="113"/>
      <c r="H155" s="21">
        <v>5</v>
      </c>
      <c r="I155" s="350"/>
      <c r="J155" s="340"/>
      <c r="K155" s="341"/>
      <c r="L155" s="341"/>
      <c r="M155" s="341"/>
      <c r="N155" s="342"/>
      <c r="P155" s="18">
        <f t="shared" si="4"/>
        <v>0</v>
      </c>
      <c r="Q155" s="338"/>
      <c r="R155" s="344"/>
      <c r="S155" s="344"/>
      <c r="T155" s="344"/>
      <c r="U155" s="475"/>
    </row>
    <row r="156" spans="2:21" ht="26.4" x14ac:dyDescent="0.25">
      <c r="B156" s="346"/>
      <c r="C156" s="351"/>
      <c r="D156" s="361"/>
      <c r="E156" s="134" t="str">
        <f>HLOOKUP(Deckblatt!$C$12,Language!$C$1:$D$730,200,FALSE)</f>
        <v xml:space="preserve">Es liegt eine Analyse/Bestandsuntersuchung vor.
</v>
      </c>
      <c r="F156" s="348"/>
      <c r="G156" s="69"/>
      <c r="H156" s="18">
        <v>3</v>
      </c>
      <c r="I156" s="350"/>
      <c r="J156" s="340"/>
      <c r="K156" s="341"/>
      <c r="L156" s="341"/>
      <c r="M156" s="341"/>
      <c r="N156" s="342"/>
      <c r="P156" s="18">
        <f t="shared" si="4"/>
        <v>0</v>
      </c>
      <c r="Q156" s="338"/>
      <c r="R156" s="344"/>
      <c r="S156" s="344"/>
      <c r="T156" s="344"/>
      <c r="U156" s="475"/>
    </row>
    <row r="157" spans="2:21" ht="52.8" x14ac:dyDescent="0.25">
      <c r="B157" s="346"/>
      <c r="C157" s="351"/>
      <c r="D157" s="361"/>
      <c r="E157" s="134" t="str">
        <f>HLOOKUP(Deckblatt!$C$12,Language!$C$1:$D$730,201,FALSE)</f>
        <v xml:space="preserve">Die Einbindung des Projekts in den städtebaulichen Kontext wird im Freiraumkonzept nachvollziehbar aus den Erkenntnissen der Analyse/Bestandsuntersuchung hergeleitet (Erläuterung).
</v>
      </c>
      <c r="F157" s="348"/>
      <c r="G157" s="69"/>
      <c r="H157" s="18">
        <v>2</v>
      </c>
      <c r="I157" s="350"/>
      <c r="J157" s="340"/>
      <c r="K157" s="341"/>
      <c r="L157" s="341"/>
      <c r="M157" s="341"/>
      <c r="N157" s="342"/>
      <c r="P157" s="18">
        <f t="shared" si="4"/>
        <v>0</v>
      </c>
      <c r="Q157" s="338"/>
      <c r="R157" s="344"/>
      <c r="S157" s="344"/>
      <c r="T157" s="344"/>
      <c r="U157" s="475"/>
    </row>
    <row r="158" spans="2:21" x14ac:dyDescent="0.25">
      <c r="B158" s="346"/>
      <c r="C158" s="351"/>
      <c r="D158" s="361" t="s">
        <v>246</v>
      </c>
      <c r="E158" s="150" t="str">
        <f>HLOOKUP(Deckblatt!$C$12,Language!$C$1:$D$730,202,FALSE)</f>
        <v>Einbindung in die übergeordnete Planung</v>
      </c>
      <c r="F158" s="348"/>
      <c r="G158" s="113"/>
      <c r="H158" s="21">
        <v>5</v>
      </c>
      <c r="I158" s="350"/>
      <c r="J158" s="340"/>
      <c r="K158" s="341"/>
      <c r="L158" s="341"/>
      <c r="M158" s="341"/>
      <c r="N158" s="342"/>
      <c r="P158" s="18">
        <f t="shared" si="4"/>
        <v>0</v>
      </c>
      <c r="Q158" s="338"/>
      <c r="R158" s="344"/>
      <c r="S158" s="344"/>
      <c r="T158" s="344"/>
      <c r="U158" s="475"/>
    </row>
    <row r="159" spans="2:21" ht="26.4" x14ac:dyDescent="0.25">
      <c r="B159" s="346"/>
      <c r="C159" s="351"/>
      <c r="D159" s="361"/>
      <c r="E159" s="134" t="str">
        <f>HLOOKUP(Deckblatt!$C$12,Language!$C$1:$D$730,203,FALSE)</f>
        <v xml:space="preserve">Es liegt eine Analyse/Bestandsuntersuchung vor.
</v>
      </c>
      <c r="F159" s="348"/>
      <c r="G159" s="69"/>
      <c r="H159" s="18">
        <v>3</v>
      </c>
      <c r="I159" s="350"/>
      <c r="J159" s="340"/>
      <c r="K159" s="341"/>
      <c r="L159" s="341"/>
      <c r="M159" s="341"/>
      <c r="N159" s="342"/>
      <c r="P159" s="18">
        <f t="shared" si="4"/>
        <v>0</v>
      </c>
      <c r="Q159" s="338"/>
      <c r="R159" s="344"/>
      <c r="S159" s="344"/>
      <c r="T159" s="344"/>
      <c r="U159" s="475"/>
    </row>
    <row r="160" spans="2:21" ht="52.8" x14ac:dyDescent="0.25">
      <c r="B160" s="346"/>
      <c r="C160" s="351"/>
      <c r="D160" s="361"/>
      <c r="E160" s="134" t="str">
        <f>HLOOKUP(Deckblatt!$C$12,Language!$C$1:$D$730,204,FALSE)</f>
        <v xml:space="preserve">Die Einbindung des Projekts in die übergeordnete Planung wird im Freiraumkonzept nachvollziehbar aus den Erkenntnissen der Analyse/Bestandsuntersuchung hergeleitet (Erläuterung). 
</v>
      </c>
      <c r="F160" s="348"/>
      <c r="G160" s="69"/>
      <c r="H160" s="18">
        <v>2</v>
      </c>
      <c r="I160" s="350"/>
      <c r="J160" s="340"/>
      <c r="K160" s="341"/>
      <c r="L160" s="341"/>
      <c r="M160" s="341"/>
      <c r="N160" s="342"/>
      <c r="P160" s="18">
        <f t="shared" si="4"/>
        <v>0</v>
      </c>
      <c r="Q160" s="338"/>
      <c r="R160" s="344"/>
      <c r="S160" s="344"/>
      <c r="T160" s="344"/>
      <c r="U160" s="475"/>
    </row>
    <row r="161" spans="2:22" ht="26.4" x14ac:dyDescent="0.25">
      <c r="B161" s="346"/>
      <c r="C161" s="351"/>
      <c r="D161" s="361" t="s">
        <v>250</v>
      </c>
      <c r="E161" s="150" t="str">
        <f>HLOOKUP(Deckblatt!$C$12,Language!$C$1:$D$730,205,FALSE)</f>
        <v>Einbindung bestehender und identitätsstiftender Landschafts- und Freiraumelemente</v>
      </c>
      <c r="F161" s="348"/>
      <c r="G161" s="113"/>
      <c r="H161" s="21">
        <v>5</v>
      </c>
      <c r="I161" s="350"/>
      <c r="J161" s="340"/>
      <c r="K161" s="341"/>
      <c r="L161" s="341"/>
      <c r="M161" s="341"/>
      <c r="N161" s="342"/>
      <c r="P161" s="18">
        <f t="shared" si="4"/>
        <v>0</v>
      </c>
      <c r="Q161" s="338"/>
      <c r="R161" s="344"/>
      <c r="S161" s="344"/>
      <c r="T161" s="344"/>
      <c r="U161" s="475"/>
    </row>
    <row r="162" spans="2:22" ht="26.4" x14ac:dyDescent="0.25">
      <c r="B162" s="346"/>
      <c r="C162" s="351"/>
      <c r="D162" s="361"/>
      <c r="E162" s="134" t="str">
        <f>HLOOKUP(Deckblatt!$C$12,Language!$C$1:$D$730,206,FALSE)</f>
        <v xml:space="preserve">Es liegt eine Analyse/Bestandsuntersuchung vor.
</v>
      </c>
      <c r="F162" s="348"/>
      <c r="G162" s="69"/>
      <c r="H162" s="18">
        <v>3</v>
      </c>
      <c r="I162" s="350"/>
      <c r="J162" s="340"/>
      <c r="K162" s="341"/>
      <c r="L162" s="341"/>
      <c r="M162" s="341"/>
      <c r="N162" s="342"/>
      <c r="P162" s="18">
        <f t="shared" si="4"/>
        <v>0</v>
      </c>
      <c r="Q162" s="338"/>
      <c r="R162" s="344"/>
      <c r="S162" s="344"/>
      <c r="T162" s="344"/>
      <c r="U162" s="475"/>
    </row>
    <row r="163" spans="2:22" ht="66" x14ac:dyDescent="0.25">
      <c r="B163" s="346"/>
      <c r="C163" s="351"/>
      <c r="D163" s="361"/>
      <c r="E163"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63" s="348"/>
      <c r="G163" s="69"/>
      <c r="H163" s="18">
        <v>2</v>
      </c>
      <c r="I163" s="350"/>
      <c r="J163" s="340"/>
      <c r="K163" s="341"/>
      <c r="L163" s="341"/>
      <c r="M163" s="341"/>
      <c r="N163" s="342"/>
      <c r="P163" s="18">
        <f t="shared" si="4"/>
        <v>0</v>
      </c>
      <c r="Q163" s="338"/>
      <c r="R163" s="344"/>
      <c r="S163" s="344"/>
      <c r="T163" s="344"/>
      <c r="U163" s="475"/>
    </row>
    <row r="164" spans="2:22" x14ac:dyDescent="0.25">
      <c r="B164" s="346"/>
      <c r="C164" s="359" t="s">
        <v>61</v>
      </c>
      <c r="D164" s="352" t="str">
        <f>HLOOKUP(Deckblatt!$C$12,Language!$C$1:$D$730,208,FALSE)</f>
        <v>Qualifizierung der Freiräume</v>
      </c>
      <c r="E164" s="353"/>
      <c r="F164" s="348"/>
      <c r="G164" s="113"/>
      <c r="H164" s="21">
        <v>25</v>
      </c>
      <c r="I164" s="350"/>
      <c r="J164" s="340"/>
      <c r="K164" s="341"/>
      <c r="L164" s="341"/>
      <c r="M164" s="341"/>
      <c r="N164" s="342"/>
      <c r="P164" s="18">
        <f t="shared" si="4"/>
        <v>0</v>
      </c>
      <c r="Q164" s="338"/>
      <c r="R164" s="344"/>
      <c r="S164" s="344"/>
      <c r="T164" s="344"/>
      <c r="U164" s="475"/>
    </row>
    <row r="165" spans="2:22" ht="26.4" x14ac:dyDescent="0.25">
      <c r="B165" s="346"/>
      <c r="C165" s="390"/>
      <c r="D165" s="71" t="s">
        <v>63</v>
      </c>
      <c r="E165" s="150" t="str">
        <f>HLOOKUP(Deckblatt!$C$12,Language!$C$1:$D$730,209,FALSE)</f>
        <v xml:space="preserve">Freiraumstruktur
</v>
      </c>
      <c r="F165" s="348"/>
      <c r="G165" s="69"/>
      <c r="H165" s="18">
        <v>5</v>
      </c>
      <c r="I165" s="350"/>
      <c r="J165" s="340"/>
      <c r="K165" s="341"/>
      <c r="L165" s="341"/>
      <c r="M165" s="341"/>
      <c r="N165" s="342"/>
      <c r="P165" s="18">
        <f t="shared" si="4"/>
        <v>0</v>
      </c>
      <c r="Q165" s="338"/>
      <c r="R165" s="344"/>
      <c r="S165" s="344"/>
      <c r="T165" s="344"/>
      <c r="U165" s="475"/>
    </row>
    <row r="166" spans="2:22" ht="26.4" x14ac:dyDescent="0.25">
      <c r="B166" s="346"/>
      <c r="C166" s="390"/>
      <c r="D166" s="71" t="s">
        <v>256</v>
      </c>
      <c r="E166" s="150" t="str">
        <f>HLOOKUP(Deckblatt!$C$12,Language!$C$1:$D$730,212,FALSE)</f>
        <v xml:space="preserve">Vegetation
</v>
      </c>
      <c r="F166" s="348"/>
      <c r="G166" s="69"/>
      <c r="H166" s="18">
        <v>5</v>
      </c>
      <c r="I166" s="350"/>
      <c r="J166" s="340"/>
      <c r="K166" s="341"/>
      <c r="L166" s="341"/>
      <c r="M166" s="341"/>
      <c r="N166" s="342"/>
      <c r="P166" s="18">
        <f t="shared" si="4"/>
        <v>0</v>
      </c>
      <c r="Q166" s="338"/>
      <c r="R166" s="344"/>
      <c r="S166" s="344"/>
      <c r="T166" s="344"/>
      <c r="U166" s="475"/>
    </row>
    <row r="167" spans="2:22" ht="26.4" x14ac:dyDescent="0.25">
      <c r="B167" s="346"/>
      <c r="C167" s="390"/>
      <c r="D167" s="71" t="s">
        <v>258</v>
      </c>
      <c r="E167" s="150" t="str">
        <f>HLOOKUP(Deckblatt!$C$12,Language!$C$1:$D$730,214,FALSE)</f>
        <v xml:space="preserve">Beleuchtung
</v>
      </c>
      <c r="F167" s="348"/>
      <c r="G167" s="69"/>
      <c r="H167" s="18">
        <v>5</v>
      </c>
      <c r="I167" s="350"/>
      <c r="J167" s="340"/>
      <c r="K167" s="341"/>
      <c r="L167" s="341"/>
      <c r="M167" s="341"/>
      <c r="N167" s="342"/>
      <c r="P167" s="18">
        <f t="shared" si="4"/>
        <v>0</v>
      </c>
      <c r="Q167" s="338"/>
      <c r="R167" s="344"/>
      <c r="S167" s="344"/>
      <c r="T167" s="344"/>
      <c r="U167" s="475"/>
    </row>
    <row r="168" spans="2:22" ht="26.4" x14ac:dyDescent="0.25">
      <c r="B168" s="346"/>
      <c r="C168" s="390"/>
      <c r="D168" s="71" t="s">
        <v>259</v>
      </c>
      <c r="E168" s="150" t="str">
        <f>HLOOKUP(Deckblatt!$C$12,Language!$C$1:$D$730,215,FALSE)</f>
        <v xml:space="preserve">Verkehrsflächen
</v>
      </c>
      <c r="F168" s="348"/>
      <c r="G168" s="69"/>
      <c r="H168" s="18">
        <v>10</v>
      </c>
      <c r="I168" s="350"/>
      <c r="J168" s="340"/>
      <c r="K168" s="341"/>
      <c r="L168" s="341"/>
      <c r="M168" s="341"/>
      <c r="N168" s="342"/>
      <c r="P168" s="18">
        <f t="shared" si="4"/>
        <v>0</v>
      </c>
      <c r="Q168" s="338"/>
      <c r="R168" s="344"/>
      <c r="S168" s="344"/>
      <c r="T168" s="344"/>
      <c r="U168" s="475"/>
    </row>
    <row r="169" spans="2:22" ht="30" customHeight="1" x14ac:dyDescent="0.25">
      <c r="B169" s="346"/>
      <c r="C169" s="359" t="s">
        <v>154</v>
      </c>
      <c r="D169" s="367" t="str">
        <f>HLOOKUP(Deckblatt!$C$12,Language!$C$1:$D$730,221,FALSE)</f>
        <v xml:space="preserve">Freiraumangebot – private Freiräume pro BGF_W / werksinterne Freiräume pro Mitarbeiter pro Schicht </v>
      </c>
      <c r="E169" s="368"/>
      <c r="F169" s="348"/>
      <c r="G169" s="113"/>
      <c r="H169" s="21">
        <v>25</v>
      </c>
      <c r="I169" s="350"/>
      <c r="J169" s="340"/>
      <c r="K169" s="341"/>
      <c r="L169" s="341"/>
      <c r="M169" s="341"/>
      <c r="N169" s="342"/>
      <c r="P169" s="18">
        <f t="shared" si="4"/>
        <v>0</v>
      </c>
      <c r="Q169" s="338"/>
      <c r="R169" s="344"/>
      <c r="S169" s="344"/>
      <c r="T169" s="344"/>
      <c r="U169" s="475"/>
    </row>
    <row r="170" spans="2:22" x14ac:dyDescent="0.25">
      <c r="B170" s="346"/>
      <c r="C170" s="360"/>
      <c r="D170" s="71" t="s">
        <v>218</v>
      </c>
      <c r="E170" s="150" t="str">
        <f>HLOOKUP(Deckblatt!$C$12,Language!$C$1:$D$730,223,FALSE)</f>
        <v>Freiraum pro Mitarbeiter und Schicht</v>
      </c>
      <c r="F170" s="348"/>
      <c r="G170" s="69"/>
      <c r="H170" s="18">
        <v>25</v>
      </c>
      <c r="I170" s="350"/>
      <c r="J170" s="340"/>
      <c r="K170" s="341"/>
      <c r="L170" s="341"/>
      <c r="M170" s="341"/>
      <c r="N170" s="342"/>
      <c r="P170" s="18">
        <f t="shared" si="4"/>
        <v>0</v>
      </c>
      <c r="Q170" s="338"/>
      <c r="R170" s="344"/>
      <c r="S170" s="344"/>
      <c r="T170" s="344"/>
      <c r="U170" s="475"/>
    </row>
    <row r="171" spans="2:22" s="72" customFormat="1" x14ac:dyDescent="0.25">
      <c r="B171" s="346"/>
      <c r="C171" s="369" t="s">
        <v>282</v>
      </c>
      <c r="D171" s="367" t="str">
        <f>HLOOKUP(Deckblatt!$C$12,Language!$C$1:$D$730,226,FALSE)</f>
        <v>Erreichbarkeit der werksinternen Freiräume</v>
      </c>
      <c r="E171" s="368"/>
      <c r="F171" s="348"/>
      <c r="G171" s="113"/>
      <c r="H171" s="21">
        <v>25</v>
      </c>
      <c r="I171" s="350"/>
      <c r="J171" s="340"/>
      <c r="K171" s="341"/>
      <c r="L171" s="341"/>
      <c r="M171" s="341"/>
      <c r="N171" s="342"/>
      <c r="P171" s="18">
        <f t="shared" si="4"/>
        <v>0</v>
      </c>
      <c r="Q171" s="338"/>
      <c r="R171" s="344"/>
      <c r="S171" s="344"/>
      <c r="T171" s="344"/>
      <c r="U171" s="475"/>
      <c r="V171" s="182"/>
    </row>
    <row r="172" spans="2:22" ht="26.4" x14ac:dyDescent="0.25">
      <c r="B172" s="370"/>
      <c r="C172" s="360"/>
      <c r="D172" s="71" t="s">
        <v>284</v>
      </c>
      <c r="E172" s="150" t="str">
        <f>HLOOKUP(Deckblatt!$C$12,Language!$C$1:$D$730,227,FALSE)</f>
        <v xml:space="preserve">Gebäudeausgänge innerhalb einer hochwertigen Freifläche 
</v>
      </c>
      <c r="F172" s="371"/>
      <c r="G172" s="69"/>
      <c r="H172" s="18">
        <v>25</v>
      </c>
      <c r="I172" s="366"/>
      <c r="J172" s="340"/>
      <c r="K172" s="341"/>
      <c r="L172" s="341"/>
      <c r="M172" s="341"/>
      <c r="N172" s="342"/>
      <c r="P172" s="18">
        <f t="shared" si="4"/>
        <v>0</v>
      </c>
      <c r="Q172" s="339"/>
      <c r="R172" s="365"/>
      <c r="S172" s="344"/>
      <c r="T172" s="344"/>
      <c r="U172" s="475"/>
    </row>
    <row r="173" spans="2:22" x14ac:dyDescent="0.25">
      <c r="B173" s="55" t="s">
        <v>792</v>
      </c>
      <c r="C173" s="354" t="str">
        <f>HLOOKUP(Deckblatt!$C$12,Language!$C$1:$D$730,228,FALSE)</f>
        <v>Arbeitsplatzkomfort</v>
      </c>
      <c r="D173" s="354"/>
      <c r="E173" s="355"/>
      <c r="F173" s="56">
        <f>Q173</f>
        <v>0</v>
      </c>
      <c r="G173" s="129"/>
      <c r="H173" s="21">
        <v>100</v>
      </c>
      <c r="I173" s="176">
        <v>3</v>
      </c>
      <c r="J173" s="340"/>
      <c r="K173" s="341"/>
      <c r="L173" s="341"/>
      <c r="M173" s="341"/>
      <c r="N173" s="342"/>
      <c r="P173" s="18">
        <f t="shared" ref="P173:P196" si="5">IF(G173&gt;H173,H173,G173)</f>
        <v>0</v>
      </c>
      <c r="Q173" s="337">
        <f>IF(SUM(P174:P196)&gt;100,100,SUM(P174:P196))</f>
        <v>0</v>
      </c>
      <c r="R173" s="343">
        <f>Q173/100</f>
        <v>0</v>
      </c>
      <c r="S173" s="344"/>
      <c r="T173" s="344"/>
      <c r="U173" s="475"/>
    </row>
    <row r="174" spans="2:22" x14ac:dyDescent="0.25">
      <c r="B174" s="345"/>
      <c r="C174" s="351" t="s">
        <v>54</v>
      </c>
      <c r="D174" s="367" t="str">
        <f>HLOOKUP(Deckblatt!$C$12,Language!$C$1:$D$730,229,FALSE)</f>
        <v>Thermischer Komfort</v>
      </c>
      <c r="E174" s="368"/>
      <c r="F174" s="528"/>
      <c r="G174" s="129"/>
      <c r="H174" s="21">
        <v>10</v>
      </c>
      <c r="I174" s="349"/>
      <c r="J174" s="340"/>
      <c r="K174" s="341"/>
      <c r="L174" s="341"/>
      <c r="M174" s="341"/>
      <c r="N174" s="342"/>
      <c r="P174" s="18">
        <f t="shared" si="5"/>
        <v>0</v>
      </c>
      <c r="Q174" s="338"/>
      <c r="R174" s="344"/>
      <c r="S174" s="344"/>
      <c r="T174" s="344"/>
      <c r="U174" s="475"/>
    </row>
    <row r="175" spans="2:22" ht="26.4" x14ac:dyDescent="0.25">
      <c r="B175" s="346"/>
      <c r="C175" s="351"/>
      <c r="D175" s="71" t="s">
        <v>58</v>
      </c>
      <c r="E175" s="134" t="str">
        <f>HLOOKUP(Deckblatt!$C$12,Language!$C$1:$D$730,230,FALSE)</f>
        <v xml:space="preserve">Planung/Erfassung/Maßnahmen
</v>
      </c>
      <c r="F175" s="529"/>
      <c r="G175" s="69"/>
      <c r="H175" s="21">
        <v>10</v>
      </c>
      <c r="I175" s="350"/>
      <c r="J175" s="340"/>
      <c r="K175" s="341"/>
      <c r="L175" s="341"/>
      <c r="M175" s="341"/>
      <c r="N175" s="342"/>
      <c r="P175" s="18">
        <f t="shared" si="5"/>
        <v>0</v>
      </c>
      <c r="Q175" s="338"/>
      <c r="R175" s="344"/>
      <c r="S175" s="344"/>
      <c r="T175" s="344"/>
      <c r="U175" s="475"/>
    </row>
    <row r="176" spans="2:22" x14ac:dyDescent="0.25">
      <c r="B176" s="346"/>
      <c r="C176" s="351" t="s">
        <v>61</v>
      </c>
      <c r="D176" s="367" t="str">
        <f>HLOOKUP(Deckblatt!$C$12,Language!$C$1:$D$730,231,FALSE)</f>
        <v>Innenraumluftqualität</v>
      </c>
      <c r="E176" s="368"/>
      <c r="F176" s="529"/>
      <c r="G176" s="113"/>
      <c r="H176" s="21">
        <v>15</v>
      </c>
      <c r="I176" s="350"/>
      <c r="J176" s="340"/>
      <c r="K176" s="341"/>
      <c r="L176" s="341"/>
      <c r="M176" s="341"/>
      <c r="N176" s="342"/>
      <c r="P176" s="18">
        <f t="shared" si="5"/>
        <v>0</v>
      </c>
      <c r="Q176" s="338"/>
      <c r="R176" s="344"/>
      <c r="S176" s="344"/>
      <c r="T176" s="344"/>
      <c r="U176" s="475"/>
    </row>
    <row r="177" spans="2:21" ht="26.4" x14ac:dyDescent="0.25">
      <c r="B177" s="346"/>
      <c r="C177" s="351"/>
      <c r="D177" s="71" t="s">
        <v>63</v>
      </c>
      <c r="E177" s="134" t="str">
        <f>HLOOKUP(Deckblatt!$C$12,Language!$C$1:$D$730,232,FALSE)</f>
        <v xml:space="preserve">Lüftungskonzept &amp; CO2 Leitwerte
</v>
      </c>
      <c r="F177" s="529"/>
      <c r="G177" s="69"/>
      <c r="H177" s="18">
        <v>15</v>
      </c>
      <c r="I177" s="350"/>
      <c r="J177" s="340"/>
      <c r="K177" s="341"/>
      <c r="L177" s="341"/>
      <c r="M177" s="341"/>
      <c r="N177" s="342"/>
      <c r="P177" s="18">
        <f t="shared" si="5"/>
        <v>0</v>
      </c>
      <c r="Q177" s="338"/>
      <c r="R177" s="344"/>
      <c r="S177" s="344"/>
      <c r="T177" s="344"/>
      <c r="U177" s="475"/>
    </row>
    <row r="178" spans="2:21" x14ac:dyDescent="0.25">
      <c r="B178" s="346"/>
      <c r="C178" s="351" t="s">
        <v>64</v>
      </c>
      <c r="D178" s="367" t="str">
        <f>HLOOKUP(Deckblatt!$C$12,Language!$C$1:$D$730,233,FALSE)</f>
        <v>Visueller Komfort</v>
      </c>
      <c r="E178" s="368"/>
      <c r="F178" s="529"/>
      <c r="G178" s="113"/>
      <c r="H178" s="21">
        <v>10</v>
      </c>
      <c r="I178" s="350"/>
      <c r="J178" s="340"/>
      <c r="K178" s="341"/>
      <c r="L178" s="341"/>
      <c r="M178" s="341"/>
      <c r="N178" s="342"/>
      <c r="P178" s="18">
        <f t="shared" si="5"/>
        <v>0</v>
      </c>
      <c r="Q178" s="338"/>
      <c r="R178" s="344"/>
      <c r="S178" s="344"/>
      <c r="T178" s="344"/>
      <c r="U178" s="475"/>
    </row>
    <row r="179" spans="2:21" ht="26.4" x14ac:dyDescent="0.25">
      <c r="B179" s="346"/>
      <c r="C179" s="351"/>
      <c r="D179" s="71" t="s">
        <v>66</v>
      </c>
      <c r="E179" s="134" t="str">
        <f>HLOOKUP(Deckblatt!$C$12,Language!$C$1:$D$730,234,FALSE)</f>
        <v xml:space="preserve">Tageslicht &amp; Sichtbezug
</v>
      </c>
      <c r="F179" s="529"/>
      <c r="G179" s="69"/>
      <c r="H179" s="18">
        <v>10</v>
      </c>
      <c r="I179" s="350"/>
      <c r="J179" s="340"/>
      <c r="K179" s="341"/>
      <c r="L179" s="341"/>
      <c r="M179" s="341"/>
      <c r="N179" s="342"/>
      <c r="P179" s="18">
        <f t="shared" si="5"/>
        <v>0</v>
      </c>
      <c r="Q179" s="338"/>
      <c r="R179" s="344"/>
      <c r="S179" s="344"/>
      <c r="T179" s="344"/>
      <c r="U179" s="475"/>
    </row>
    <row r="180" spans="2:21" x14ac:dyDescent="0.25">
      <c r="B180" s="346"/>
      <c r="C180" s="127" t="s">
        <v>67</v>
      </c>
      <c r="D180" s="367" t="str">
        <f>HLOOKUP(Deckblatt!$C$12,Language!$C$1:$D$730,235,FALSE)</f>
        <v>Akustischer Komfort</v>
      </c>
      <c r="E180" s="368"/>
      <c r="F180" s="529"/>
      <c r="G180" s="113"/>
      <c r="H180" s="21">
        <v>14</v>
      </c>
      <c r="I180" s="350"/>
      <c r="J180" s="340"/>
      <c r="K180" s="341"/>
      <c r="L180" s="341"/>
      <c r="M180" s="341"/>
      <c r="N180" s="342"/>
      <c r="P180" s="18">
        <f t="shared" si="5"/>
        <v>0</v>
      </c>
      <c r="Q180" s="338"/>
      <c r="R180" s="344"/>
      <c r="S180" s="344"/>
      <c r="T180" s="344"/>
      <c r="U180" s="475"/>
    </row>
    <row r="181" spans="2:21" ht="26.4" x14ac:dyDescent="0.25">
      <c r="B181" s="346"/>
      <c r="C181" s="125"/>
      <c r="D181" s="71" t="s">
        <v>69</v>
      </c>
      <c r="E181" s="134" t="str">
        <f>HLOOKUP(Deckblatt!$C$12,Language!$C$1:$D$730,236,FALSE)</f>
        <v xml:space="preserve">Schallmindernde Maßnahmen
</v>
      </c>
      <c r="F181" s="529"/>
      <c r="G181" s="69"/>
      <c r="H181" s="18">
        <v>14</v>
      </c>
      <c r="I181" s="350"/>
      <c r="J181" s="340"/>
      <c r="K181" s="341"/>
      <c r="L181" s="341"/>
      <c r="M181" s="341"/>
      <c r="N181" s="342"/>
      <c r="P181" s="18">
        <f t="shared" si="5"/>
        <v>0</v>
      </c>
      <c r="Q181" s="338"/>
      <c r="R181" s="344"/>
      <c r="S181" s="344"/>
      <c r="T181" s="344"/>
      <c r="U181" s="475"/>
    </row>
    <row r="182" spans="2:21" ht="26.1" customHeight="1" x14ac:dyDescent="0.25">
      <c r="B182" s="346"/>
      <c r="C182" s="392" t="s">
        <v>154</v>
      </c>
      <c r="D182" s="367" t="str">
        <f>HLOOKUP(Deckblatt!$C$12,Language!$C$1:$D$730,237,FALSE)</f>
        <v>Einflussnahme des Nutzers</v>
      </c>
      <c r="E182" s="368"/>
      <c r="F182" s="529"/>
      <c r="G182" s="113"/>
      <c r="H182" s="21">
        <v>10</v>
      </c>
      <c r="I182" s="350"/>
      <c r="J182" s="340"/>
      <c r="K182" s="341"/>
      <c r="L182" s="341"/>
      <c r="M182" s="341"/>
      <c r="N182" s="342"/>
      <c r="P182" s="18">
        <f t="shared" ref="P182:P191" si="6">IF(G182&gt;H182,H182,G182)</f>
        <v>0</v>
      </c>
      <c r="Q182" s="338"/>
      <c r="R182" s="344"/>
      <c r="S182" s="344"/>
      <c r="T182" s="344"/>
      <c r="U182" s="475"/>
    </row>
    <row r="183" spans="2:21" ht="26.4" x14ac:dyDescent="0.25">
      <c r="B183" s="346"/>
      <c r="C183" s="351"/>
      <c r="D183" s="71" t="s">
        <v>156</v>
      </c>
      <c r="E183" s="134" t="str">
        <f>HLOOKUP(Deckblatt!$C$12,Language!$C$1:$D$730,238,FALSE)</f>
        <v xml:space="preserve">Beleuchtung/Temperatur/Luftwechsel
</v>
      </c>
      <c r="F183" s="529"/>
      <c r="G183" s="69"/>
      <c r="H183" s="18">
        <v>10</v>
      </c>
      <c r="I183" s="350"/>
      <c r="J183" s="340"/>
      <c r="K183" s="341"/>
      <c r="L183" s="341"/>
      <c r="M183" s="341"/>
      <c r="N183" s="342"/>
      <c r="P183" s="18">
        <f t="shared" si="6"/>
        <v>0</v>
      </c>
      <c r="Q183" s="338"/>
      <c r="R183" s="344"/>
      <c r="S183" s="344"/>
      <c r="T183" s="344"/>
      <c r="U183" s="475"/>
    </row>
    <row r="184" spans="2:21" ht="26.1" customHeight="1" x14ac:dyDescent="0.25">
      <c r="B184" s="346"/>
      <c r="C184" s="369" t="s">
        <v>157</v>
      </c>
      <c r="D184" s="367" t="str">
        <f>HLOOKUP(Deckblatt!$C$12,Language!$C$1:$D$730,239,FALSE)</f>
        <v>Rückzugsräume</v>
      </c>
      <c r="E184" s="368"/>
      <c r="F184" s="529"/>
      <c r="G184" s="113"/>
      <c r="H184" s="21">
        <v>10</v>
      </c>
      <c r="I184" s="350"/>
      <c r="J184" s="340"/>
      <c r="K184" s="341"/>
      <c r="L184" s="341"/>
      <c r="M184" s="341"/>
      <c r="N184" s="342"/>
      <c r="P184" s="18">
        <f t="shared" si="6"/>
        <v>0</v>
      </c>
      <c r="Q184" s="338"/>
      <c r="R184" s="344"/>
      <c r="S184" s="344"/>
      <c r="T184" s="344"/>
      <c r="U184" s="475"/>
    </row>
    <row r="185" spans="2:21" ht="25.5" customHeight="1" x14ac:dyDescent="0.25">
      <c r="B185" s="346"/>
      <c r="C185" s="480"/>
      <c r="D185" s="71" t="s">
        <v>159</v>
      </c>
      <c r="E185" s="52" t="str">
        <f>IF($N$3="Neubau",HLOOKUP(Deckblatt!$C$12,Language!$C$1:$D$730,240,FALSE),HLOOKUP(Deckblatt!$C$12,Language!$C$1:$D$730,241,FALSE))</f>
        <v>Nicht relevant für Bestand / Gemischt</v>
      </c>
      <c r="F185" s="529"/>
      <c r="G185" s="69"/>
      <c r="H185" s="18">
        <f>IF($N$3="Neubau",4,0)</f>
        <v>0</v>
      </c>
      <c r="I185" s="350"/>
      <c r="J185" s="340"/>
      <c r="K185" s="341"/>
      <c r="L185" s="341"/>
      <c r="M185" s="341"/>
      <c r="N185" s="342"/>
      <c r="P185" s="18">
        <f t="shared" si="6"/>
        <v>0</v>
      </c>
      <c r="Q185" s="338"/>
      <c r="R185" s="344"/>
      <c r="S185" s="344"/>
      <c r="T185" s="344"/>
      <c r="U185" s="475"/>
    </row>
    <row r="186" spans="2:21" ht="145.94999999999999" customHeight="1" x14ac:dyDescent="0.25">
      <c r="B186" s="346"/>
      <c r="C186" s="479"/>
      <c r="D186" s="71" t="s">
        <v>160</v>
      </c>
      <c r="E186" s="134" t="str">
        <f>HLOOKUP(Deckblatt!$C$12,Language!$C$1:$D$730,242,FALSE)</f>
        <v>Qualitätsanforderungen Rückzugsräume
Stufe 1: Neubau 0 BWP   
            Bestand / Gemischt 2 BWP
Stufe 2: Neubau 3 BWP  
            Bestand / Gemischt 5 BWP
Stufe 3: Neubau 6 BWP   
            Bestand / Gemischt 10 BWP</v>
      </c>
      <c r="F186" s="529"/>
      <c r="G186" s="69"/>
      <c r="H186" s="18">
        <f>IF($N$3="Neubau",6,10)</f>
        <v>10</v>
      </c>
      <c r="I186" s="350"/>
      <c r="J186" s="340"/>
      <c r="K186" s="341"/>
      <c r="L186" s="341"/>
      <c r="M186" s="341"/>
      <c r="N186" s="342"/>
      <c r="P186" s="18">
        <f t="shared" si="6"/>
        <v>0</v>
      </c>
      <c r="Q186" s="338"/>
      <c r="R186" s="344"/>
      <c r="S186" s="344"/>
      <c r="T186" s="344"/>
      <c r="U186" s="475"/>
    </row>
    <row r="187" spans="2:21" ht="26.1" customHeight="1" x14ac:dyDescent="0.25">
      <c r="B187" s="346"/>
      <c r="C187" s="369" t="s">
        <v>282</v>
      </c>
      <c r="D187" s="367" t="str">
        <f>HLOOKUP(Deckblatt!$C$12,Language!$C$1:$D$730,243,FALSE)</f>
        <v>Gestalterisches Konzept</v>
      </c>
      <c r="E187" s="368"/>
      <c r="F187" s="529"/>
      <c r="G187" s="113"/>
      <c r="H187" s="21">
        <v>26</v>
      </c>
      <c r="I187" s="350"/>
      <c r="J187" s="340"/>
      <c r="K187" s="341"/>
      <c r="L187" s="341"/>
      <c r="M187" s="341"/>
      <c r="N187" s="342"/>
      <c r="P187" s="18">
        <f t="shared" si="6"/>
        <v>0</v>
      </c>
      <c r="Q187" s="338"/>
      <c r="R187" s="344"/>
      <c r="S187" s="344"/>
      <c r="T187" s="344"/>
      <c r="U187" s="475"/>
    </row>
    <row r="188" spans="2:21" ht="42" customHeight="1" x14ac:dyDescent="0.25">
      <c r="B188" s="346"/>
      <c r="C188" s="480"/>
      <c r="D188" s="71" t="s">
        <v>284</v>
      </c>
      <c r="E188" s="52" t="str">
        <f>IF($N$3="Bestand",HLOOKUP(Deckblatt!$C$12,Language!$C$1:$D$730,245,FALSE),HLOOKUP(Deckblatt!$C$12,Language!$C$1:$D$730,244,FALSE))</f>
        <v xml:space="preserve">Gestalterisches Konzept </v>
      </c>
      <c r="F188" s="529"/>
      <c r="G188" s="69"/>
      <c r="H188" s="18">
        <v>26</v>
      </c>
      <c r="I188" s="350"/>
      <c r="J188" s="340"/>
      <c r="K188" s="341"/>
      <c r="L188" s="341"/>
      <c r="M188" s="341"/>
      <c r="N188" s="342"/>
      <c r="P188" s="18">
        <f t="shared" si="6"/>
        <v>0</v>
      </c>
      <c r="Q188" s="338"/>
      <c r="R188" s="344"/>
      <c r="S188" s="344"/>
      <c r="T188" s="344"/>
      <c r="U188" s="475"/>
    </row>
    <row r="189" spans="2:21" ht="26.1" customHeight="1" x14ac:dyDescent="0.25">
      <c r="B189" s="346"/>
      <c r="C189" s="369" t="s">
        <v>285</v>
      </c>
      <c r="D189" s="367" t="str">
        <f>HLOOKUP(Deckblatt!$C$12,Language!$C$1:$D$730,246,FALSE)</f>
        <v>Ergonomie</v>
      </c>
      <c r="E189" s="368"/>
      <c r="F189" s="529"/>
      <c r="G189" s="113"/>
      <c r="H189" s="21">
        <v>10</v>
      </c>
      <c r="I189" s="350"/>
      <c r="J189" s="340"/>
      <c r="K189" s="341"/>
      <c r="L189" s="341"/>
      <c r="M189" s="341"/>
      <c r="N189" s="342"/>
      <c r="P189" s="18">
        <f t="shared" si="6"/>
        <v>0</v>
      </c>
      <c r="Q189" s="338"/>
      <c r="R189" s="344"/>
      <c r="S189" s="344"/>
      <c r="T189" s="344"/>
      <c r="U189" s="475"/>
    </row>
    <row r="190" spans="2:21" ht="26.4" x14ac:dyDescent="0.25">
      <c r="B190" s="346"/>
      <c r="C190" s="480"/>
      <c r="D190" s="71" t="s">
        <v>287</v>
      </c>
      <c r="E190" s="134" t="str">
        <f>HLOOKUP(Deckblatt!$C$12,Language!$C$1:$D$730,247,FALSE)</f>
        <v xml:space="preserve">Ergonomische Bewertung
</v>
      </c>
      <c r="F190" s="529"/>
      <c r="G190" s="69"/>
      <c r="H190" s="18">
        <v>6</v>
      </c>
      <c r="I190" s="350"/>
      <c r="J190" s="340"/>
      <c r="K190" s="341"/>
      <c r="L190" s="341"/>
      <c r="M190" s="341"/>
      <c r="N190" s="342"/>
      <c r="P190" s="18">
        <f t="shared" si="6"/>
        <v>0</v>
      </c>
      <c r="Q190" s="338"/>
      <c r="R190" s="344"/>
      <c r="S190" s="344"/>
      <c r="T190" s="344"/>
      <c r="U190" s="475"/>
    </row>
    <row r="191" spans="2:21" ht="26.4" x14ac:dyDescent="0.25">
      <c r="B191" s="346"/>
      <c r="C191" s="479"/>
      <c r="D191" s="71" t="s">
        <v>745</v>
      </c>
      <c r="E191" s="134" t="str">
        <f>HLOOKUP(Deckblatt!$C$12,Language!$C$1:$D$730,248,FALSE)</f>
        <v xml:space="preserve">Prozessoptimierung
</v>
      </c>
      <c r="F191" s="529"/>
      <c r="G191" s="69"/>
      <c r="H191" s="18">
        <v>4</v>
      </c>
      <c r="I191" s="350"/>
      <c r="J191" s="340"/>
      <c r="K191" s="341"/>
      <c r="L191" s="341"/>
      <c r="M191" s="341"/>
      <c r="N191" s="342"/>
      <c r="P191" s="18">
        <f t="shared" si="6"/>
        <v>0</v>
      </c>
      <c r="Q191" s="338"/>
      <c r="R191" s="344"/>
      <c r="S191" s="344"/>
      <c r="T191" s="344"/>
      <c r="U191" s="475"/>
    </row>
    <row r="192" spans="2:21" ht="26.1" customHeight="1" x14ac:dyDescent="0.25">
      <c r="B192" s="346"/>
      <c r="C192" s="369" t="s">
        <v>292</v>
      </c>
      <c r="D192" s="367" t="str">
        <f>HLOOKUP(Deckblatt!$C$12,Language!$C$1:$D$730,249,FALSE)</f>
        <v>Ermittlung des Arbeitsplatzkomforts</v>
      </c>
      <c r="E192" s="368"/>
      <c r="F192" s="529"/>
      <c r="G192" s="113"/>
      <c r="H192" s="21">
        <v>15</v>
      </c>
      <c r="I192" s="350"/>
      <c r="J192" s="340"/>
      <c r="K192" s="341"/>
      <c r="L192" s="341"/>
      <c r="M192" s="341"/>
      <c r="N192" s="342"/>
      <c r="P192" s="18">
        <f t="shared" si="5"/>
        <v>0</v>
      </c>
      <c r="Q192" s="338"/>
      <c r="R192" s="344"/>
      <c r="S192" s="344"/>
      <c r="T192" s="344"/>
      <c r="U192" s="475"/>
    </row>
    <row r="193" spans="2:21" ht="26.4" x14ac:dyDescent="0.25">
      <c r="B193" s="346"/>
      <c r="C193" s="480"/>
      <c r="D193" s="71" t="s">
        <v>293</v>
      </c>
      <c r="E193" s="134" t="str">
        <f>HLOOKUP(Deckblatt!$C$12,Language!$C$1:$D$730,250,FALSE)</f>
        <v xml:space="preserve">Erfassungsmethodik Arbeitsplatzkomfort
</v>
      </c>
      <c r="F193" s="529"/>
      <c r="G193" s="69"/>
      <c r="H193" s="18">
        <v>5</v>
      </c>
      <c r="I193" s="350"/>
      <c r="J193" s="340"/>
      <c r="K193" s="341"/>
      <c r="L193" s="341"/>
      <c r="M193" s="341"/>
      <c r="N193" s="342"/>
      <c r="P193" s="18">
        <f t="shared" si="5"/>
        <v>0</v>
      </c>
      <c r="Q193" s="338"/>
      <c r="R193" s="344"/>
      <c r="S193" s="344"/>
      <c r="T193" s="344"/>
      <c r="U193" s="475"/>
    </row>
    <row r="194" spans="2:21" ht="17.25" customHeight="1" x14ac:dyDescent="0.25">
      <c r="B194" s="346"/>
      <c r="C194" s="480"/>
      <c r="D194" s="398" t="s">
        <v>460</v>
      </c>
      <c r="E194" s="134" t="str">
        <f>HLOOKUP(Deckblatt!$C$12,Language!$C$1:$D$730,251,FALSE)</f>
        <v>Bestandsaufnahme Arbeitsplatzkomfort</v>
      </c>
      <c r="F194" s="529"/>
      <c r="G194" s="113"/>
      <c r="H194" s="18">
        <v>10</v>
      </c>
      <c r="I194" s="350"/>
      <c r="J194" s="340"/>
      <c r="K194" s="341"/>
      <c r="L194" s="341"/>
      <c r="M194" s="341"/>
      <c r="N194" s="342"/>
      <c r="P194" s="18">
        <f t="shared" si="5"/>
        <v>0</v>
      </c>
      <c r="Q194" s="338"/>
      <c r="R194" s="344"/>
      <c r="S194" s="344"/>
      <c r="T194" s="344"/>
      <c r="U194" s="475"/>
    </row>
    <row r="195" spans="2:21" ht="91.2" customHeight="1" x14ac:dyDescent="0.25">
      <c r="B195" s="346"/>
      <c r="C195" s="480"/>
      <c r="D195" s="414"/>
      <c r="E195" s="134" t="str">
        <f>HLOOKUP(Deckblatt!$C$12,Language!$C$1:$D$730,252,FALSE)</f>
        <v>Bei Neubau: 
Arbeitsplatzkomfortparameter (Temperatur, Luftqualität, Luftfeuchte, Beleuchtungsstärke, Lärmpegel oder sonstige, mind. 2) werden im Wirkungsbereich von mind. 50 % - 100 % Mitarbeiter gemessen (stationär oder geplant regelmäßig), um etwaige Abweichungen von den Planungszielen festzustellen</v>
      </c>
      <c r="F195" s="529"/>
      <c r="G195" s="69"/>
      <c r="H195" s="18">
        <f>IF($N$3="Neubau",10,0)</f>
        <v>0</v>
      </c>
      <c r="I195" s="350"/>
      <c r="J195" s="340"/>
      <c r="K195" s="341"/>
      <c r="L195" s="341"/>
      <c r="M195" s="341"/>
      <c r="N195" s="342"/>
      <c r="P195" s="18">
        <f t="shared" si="5"/>
        <v>0</v>
      </c>
      <c r="Q195" s="338"/>
      <c r="R195" s="344"/>
      <c r="S195" s="344"/>
      <c r="T195" s="344"/>
      <c r="U195" s="475"/>
    </row>
    <row r="196" spans="2:21" ht="78.599999999999994" customHeight="1" x14ac:dyDescent="0.25">
      <c r="B196" s="370"/>
      <c r="C196" s="479"/>
      <c r="D196" s="399"/>
      <c r="E196" s="134" t="str">
        <f>HLOOKUP(Deckblatt!$C$12,Language!$C$1:$D$730,253,FALSE)</f>
        <v>Bei Bestand / Gemischt: 
Eine systematische Bestandsaufnahme, welche den aktuellen Arbeitsplatzkomfort bewertet und etwaige Mängel aufzeigt, ist für mind. 50 % - 100 % der BGF/Arbeitsplätze erfolgt und max. 5 Jahre alt (bei Bestand/gemischt)</v>
      </c>
      <c r="F196" s="530"/>
      <c r="G196" s="69"/>
      <c r="H196" s="18">
        <f>IF($N$3="Neubau",0,10)</f>
        <v>10</v>
      </c>
      <c r="I196" s="366"/>
      <c r="J196" s="340"/>
      <c r="K196" s="341"/>
      <c r="L196" s="341"/>
      <c r="M196" s="341"/>
      <c r="N196" s="342"/>
      <c r="P196" s="18">
        <f t="shared" si="5"/>
        <v>0</v>
      </c>
      <c r="Q196" s="339"/>
      <c r="R196" s="365"/>
      <c r="S196" s="344"/>
      <c r="T196" s="344"/>
      <c r="U196" s="475"/>
    </row>
    <row r="197" spans="2:21" x14ac:dyDescent="0.25">
      <c r="B197" s="55" t="s">
        <v>270</v>
      </c>
      <c r="C197" s="354" t="str">
        <f>HLOOKUP(Deckblatt!$C$12,Language!$C$1:$D$730,254,FALSE)</f>
        <v>Emissionen / Immissionen</v>
      </c>
      <c r="D197" s="354"/>
      <c r="E197" s="355"/>
      <c r="F197" s="56">
        <f>Q197</f>
        <v>0</v>
      </c>
      <c r="G197" s="356"/>
      <c r="H197" s="21">
        <v>100</v>
      </c>
      <c r="I197" s="176">
        <v>3</v>
      </c>
      <c r="J197" s="340"/>
      <c r="K197" s="341"/>
      <c r="L197" s="341"/>
      <c r="M197" s="341"/>
      <c r="N197" s="342"/>
      <c r="P197" s="18">
        <f t="shared" si="4"/>
        <v>0</v>
      </c>
      <c r="Q197" s="337">
        <f>IF(SUM(P200,P202:P203,P205,P207,P210:P213)&gt;100,100,SUM(P200,P202:P203,P205,P207,P210:P213))</f>
        <v>0</v>
      </c>
      <c r="R197" s="343">
        <f>Q197/100</f>
        <v>0</v>
      </c>
      <c r="S197" s="344"/>
      <c r="T197" s="344"/>
      <c r="U197" s="475"/>
    </row>
    <row r="198" spans="2:21" x14ac:dyDescent="0.25">
      <c r="B198" s="375"/>
      <c r="C198" s="351" t="s">
        <v>54</v>
      </c>
      <c r="D198" s="352" t="str">
        <f>HLOOKUP(Deckblatt!$C$12,Language!$C$1:$D$730,255,FALSE)</f>
        <v>Luftqualität</v>
      </c>
      <c r="E198" s="353"/>
      <c r="F198" s="485"/>
      <c r="G198" s="356"/>
      <c r="H198" s="21">
        <v>20</v>
      </c>
      <c r="I198" s="379"/>
      <c r="J198" s="340"/>
      <c r="K198" s="341"/>
      <c r="L198" s="341"/>
      <c r="M198" s="341"/>
      <c r="N198" s="342"/>
      <c r="P198" s="18">
        <f t="shared" si="4"/>
        <v>0</v>
      </c>
      <c r="Q198" s="338"/>
      <c r="R198" s="344"/>
      <c r="S198" s="344"/>
      <c r="T198" s="344"/>
      <c r="U198" s="475"/>
    </row>
    <row r="199" spans="2:21" ht="25.5" customHeight="1" x14ac:dyDescent="0.25">
      <c r="B199" s="375"/>
      <c r="C199" s="351"/>
      <c r="D199" s="361" t="s">
        <v>58</v>
      </c>
      <c r="E199" s="150" t="str">
        <f>HLOOKUP(Deckblatt!$C$12,Language!$C$1:$D$730,256,FALSE)</f>
        <v>Einhaltung der gesetzlichen Grenzwerte für Luftqualitätsmerkmale</v>
      </c>
      <c r="F199" s="485"/>
      <c r="G199" s="356"/>
      <c r="H199" s="21">
        <v>10</v>
      </c>
      <c r="I199" s="379"/>
      <c r="J199" s="340"/>
      <c r="K199" s="341"/>
      <c r="L199" s="341"/>
      <c r="M199" s="341"/>
      <c r="N199" s="342"/>
      <c r="P199" s="18">
        <f t="shared" si="4"/>
        <v>0</v>
      </c>
      <c r="Q199" s="338"/>
      <c r="R199" s="344"/>
      <c r="S199" s="344"/>
      <c r="T199" s="344"/>
      <c r="U199" s="475"/>
    </row>
    <row r="200" spans="2:21" ht="66" x14ac:dyDescent="0.25">
      <c r="B200" s="375"/>
      <c r="C200" s="351"/>
      <c r="D200" s="361"/>
      <c r="E200" s="134" t="str">
        <f>HLOOKUP(Deckblatt!$C$12,Language!$C$1:$D$730,257,FALSE)</f>
        <v xml:space="preserve">- NO2-Überschreitung an maximal 18 3-Stunden-Intervallen (über den Ein-Stunden-Tagesmaxima-Wert) (5 Punkte)
ODER
- Keine Überschreitung NO2 (10 Punkte)
</v>
      </c>
      <c r="F200" s="485"/>
      <c r="G200" s="69"/>
      <c r="H200" s="18">
        <v>10</v>
      </c>
      <c r="I200" s="379"/>
      <c r="J200" s="340"/>
      <c r="K200" s="341"/>
      <c r="L200" s="341"/>
      <c r="M200" s="341"/>
      <c r="N200" s="342"/>
      <c r="P200" s="18">
        <f t="shared" si="4"/>
        <v>0</v>
      </c>
      <c r="Q200" s="338"/>
      <c r="R200" s="344"/>
      <c r="S200" s="344"/>
      <c r="T200" s="344"/>
      <c r="U200" s="475"/>
    </row>
    <row r="201" spans="2:21" ht="25.5" customHeight="1" x14ac:dyDescent="0.25">
      <c r="B201" s="375"/>
      <c r="C201" s="351"/>
      <c r="D201" s="361" t="s">
        <v>181</v>
      </c>
      <c r="E201" s="150" t="str">
        <f>HLOOKUP(Deckblatt!$C$12,Language!$C$1:$D$730,258,FALSE)</f>
        <v>Veränderung der Immissionssituation / Lufthygienischen Gutachten</v>
      </c>
      <c r="F201" s="485"/>
      <c r="G201" s="113"/>
      <c r="H201" s="21">
        <v>10</v>
      </c>
      <c r="I201" s="379"/>
      <c r="J201" s="340"/>
      <c r="K201" s="341"/>
      <c r="L201" s="341"/>
      <c r="M201" s="341"/>
      <c r="N201" s="342"/>
      <c r="P201" s="18">
        <f t="shared" si="4"/>
        <v>0</v>
      </c>
      <c r="Q201" s="338"/>
      <c r="R201" s="344"/>
      <c r="S201" s="344"/>
      <c r="T201" s="344"/>
      <c r="U201" s="475"/>
    </row>
    <row r="202" spans="2:21" ht="26.4" x14ac:dyDescent="0.25">
      <c r="B202" s="375"/>
      <c r="C202" s="351"/>
      <c r="D202" s="361"/>
      <c r="E202" s="134" t="str">
        <f>HLOOKUP(Deckblatt!$C$12,Language!$C$1:$D$730,259,FALSE)</f>
        <v xml:space="preserve">Durchführung eines qualifizierten lufthygienisches Gutachtens
</v>
      </c>
      <c r="F202" s="485"/>
      <c r="G202" s="69"/>
      <c r="H202" s="18">
        <v>3</v>
      </c>
      <c r="I202" s="379"/>
      <c r="J202" s="340"/>
      <c r="K202" s="341"/>
      <c r="L202" s="341"/>
      <c r="M202" s="341"/>
      <c r="N202" s="342"/>
      <c r="P202" s="18">
        <f t="shared" si="4"/>
        <v>0</v>
      </c>
      <c r="Q202" s="338"/>
      <c r="R202" s="344"/>
      <c r="S202" s="344"/>
      <c r="T202" s="344"/>
      <c r="U202" s="475"/>
    </row>
    <row r="203" spans="2:21" ht="66" x14ac:dyDescent="0.25">
      <c r="B203" s="375"/>
      <c r="C203" s="351"/>
      <c r="D203" s="361"/>
      <c r="E203" s="134" t="str">
        <f>HLOOKUP(Deckblatt!$C$12,Language!$C$1:$D$730,260,FALSE)</f>
        <v xml:space="preserve">Umsetzung der Ergebnisse des lufthygienisches Gutachtens
- mind. 50 % Umgesetzt (3 Punkte)
ODER
- vollständig umgesetzt (7 Punkte)
</v>
      </c>
      <c r="F203" s="485"/>
      <c r="G203" s="69"/>
      <c r="H203" s="18">
        <v>7</v>
      </c>
      <c r="I203" s="379"/>
      <c r="J203" s="340"/>
      <c r="K203" s="341"/>
      <c r="L203" s="341"/>
      <c r="M203" s="341"/>
      <c r="N203" s="342"/>
      <c r="P203" s="18">
        <f t="shared" si="4"/>
        <v>0</v>
      </c>
      <c r="Q203" s="338"/>
      <c r="R203" s="344"/>
      <c r="S203" s="344"/>
      <c r="T203" s="344"/>
      <c r="U203" s="475"/>
    </row>
    <row r="204" spans="2:21" x14ac:dyDescent="0.25">
      <c r="B204" s="375"/>
      <c r="C204" s="369" t="s">
        <v>67</v>
      </c>
      <c r="D204" s="352" t="str">
        <f>HLOOKUP(Deckblatt!$C$12,Language!$C$1:$D$730,265,FALSE)</f>
        <v>Gewerbelärm / Lärm aus der Event-Nutzung  außerhalb des Quartiers</v>
      </c>
      <c r="E204" s="353"/>
      <c r="F204" s="485"/>
      <c r="G204" s="113"/>
      <c r="H204" s="21">
        <v>30</v>
      </c>
      <c r="I204" s="379"/>
      <c r="J204" s="340"/>
      <c r="K204" s="341"/>
      <c r="L204" s="341"/>
      <c r="M204" s="341"/>
      <c r="N204" s="342"/>
      <c r="P204" s="18">
        <f t="shared" si="4"/>
        <v>0</v>
      </c>
      <c r="Q204" s="338"/>
      <c r="R204" s="344"/>
      <c r="S204" s="344"/>
      <c r="T204" s="344"/>
      <c r="U204" s="475"/>
    </row>
    <row r="205" spans="2:21" ht="39.6" x14ac:dyDescent="0.25">
      <c r="B205" s="375"/>
      <c r="C205" s="479"/>
      <c r="D205" s="71" t="s">
        <v>69</v>
      </c>
      <c r="E205" s="150" t="str">
        <f>HLOOKUP(Deckblatt!$C$12,Language!$C$1:$D$730,266,FALSE)</f>
        <v xml:space="preserve">Industrie- und Gewerbelärm in benachbarten empfindlichen Nutzungsbereichen 
	</v>
      </c>
      <c r="F205" s="485"/>
      <c r="G205" s="69"/>
      <c r="H205" s="18">
        <v>30</v>
      </c>
      <c r="I205" s="379"/>
      <c r="J205" s="340"/>
      <c r="K205" s="341"/>
      <c r="L205" s="341"/>
      <c r="M205" s="341"/>
      <c r="N205" s="342"/>
      <c r="P205" s="18">
        <f t="shared" si="4"/>
        <v>0</v>
      </c>
      <c r="Q205" s="338"/>
      <c r="R205" s="344"/>
      <c r="S205" s="344"/>
      <c r="T205" s="344"/>
      <c r="U205" s="475"/>
    </row>
    <row r="206" spans="2:21" x14ac:dyDescent="0.25">
      <c r="B206" s="375"/>
      <c r="C206" s="359" t="s">
        <v>154</v>
      </c>
      <c r="D206" s="352" t="str">
        <f>HLOOKUP(Deckblatt!$C$12,Language!$C$1:$D$730,267,FALSE)</f>
        <v xml:space="preserve">Vermeidung oder Verminderung von Emissionen </v>
      </c>
      <c r="E206" s="353"/>
      <c r="F206" s="485"/>
      <c r="G206" s="113"/>
      <c r="H206" s="21">
        <v>25</v>
      </c>
      <c r="I206" s="379"/>
      <c r="J206" s="340"/>
      <c r="K206" s="341"/>
      <c r="L206" s="341"/>
      <c r="M206" s="341"/>
      <c r="N206" s="342"/>
      <c r="P206" s="18">
        <f t="shared" si="4"/>
        <v>0</v>
      </c>
      <c r="Q206" s="338"/>
      <c r="R206" s="344"/>
      <c r="S206" s="344"/>
      <c r="T206" s="344"/>
      <c r="U206" s="475"/>
    </row>
    <row r="207" spans="2:21" ht="26.4" x14ac:dyDescent="0.25">
      <c r="B207" s="375"/>
      <c r="C207" s="360"/>
      <c r="D207" s="71" t="s">
        <v>218</v>
      </c>
      <c r="E207" s="150" t="str">
        <f>HLOOKUP(Deckblatt!$C$12,Language!$C$1:$D$730,269,FALSE)</f>
        <v xml:space="preserve">Einhaltung bzw. Unterschreitung der Grenzwerte
</v>
      </c>
      <c r="F207" s="485"/>
      <c r="G207" s="69"/>
      <c r="H207" s="18">
        <v>25</v>
      </c>
      <c r="I207" s="379"/>
      <c r="J207" s="340"/>
      <c r="K207" s="341"/>
      <c r="L207" s="341"/>
      <c r="M207" s="341"/>
      <c r="N207" s="342"/>
      <c r="P207" s="18">
        <f t="shared" ref="P207" si="7">IF(G207&gt;H207,H207,G207)</f>
        <v>0</v>
      </c>
      <c r="Q207" s="338"/>
      <c r="R207" s="344"/>
      <c r="S207" s="344"/>
      <c r="T207" s="344"/>
      <c r="U207" s="475"/>
    </row>
    <row r="208" spans="2:21" ht="13.2" customHeight="1" x14ac:dyDescent="0.25">
      <c r="B208" s="375"/>
      <c r="C208" s="351" t="s">
        <v>282</v>
      </c>
      <c r="D208" s="352" t="str">
        <f>HLOOKUP(Deckblatt!$C$12,Language!$C$1:$D$730,273,FALSE)</f>
        <v>Maßnahmen zur Reduzierung der Lichtverschmutzung</v>
      </c>
      <c r="E208" s="353"/>
      <c r="F208" s="485"/>
      <c r="G208" s="356"/>
      <c r="H208" s="21">
        <v>25</v>
      </c>
      <c r="I208" s="379"/>
      <c r="J208" s="340"/>
      <c r="K208" s="341"/>
      <c r="L208" s="341"/>
      <c r="M208" s="341"/>
      <c r="N208" s="342"/>
      <c r="P208" s="18">
        <f t="shared" si="4"/>
        <v>0</v>
      </c>
      <c r="Q208" s="338"/>
      <c r="R208" s="344"/>
      <c r="S208" s="344"/>
      <c r="T208" s="344"/>
      <c r="U208" s="475"/>
    </row>
    <row r="209" spans="2:21" x14ac:dyDescent="0.25">
      <c r="B209" s="375"/>
      <c r="C209" s="351"/>
      <c r="D209" s="361" t="s">
        <v>284</v>
      </c>
      <c r="E209" s="150" t="str">
        <f>HLOOKUP(Deckblatt!$C$12,Language!$C$1:$D$730,274,FALSE)</f>
        <v>Maßnahmen zur Reduzierung der Lichtverschmutzung</v>
      </c>
      <c r="F209" s="485"/>
      <c r="G209" s="356"/>
      <c r="H209" s="21">
        <v>25</v>
      </c>
      <c r="I209" s="379"/>
      <c r="J209" s="340"/>
      <c r="K209" s="341"/>
      <c r="L209" s="341"/>
      <c r="M209" s="341"/>
      <c r="N209" s="342"/>
      <c r="P209" s="18">
        <f t="shared" si="4"/>
        <v>0</v>
      </c>
      <c r="Q209" s="338"/>
      <c r="R209" s="344"/>
      <c r="S209" s="344"/>
      <c r="T209" s="344"/>
      <c r="U209" s="475"/>
    </row>
    <row r="210" spans="2:21" ht="39.6" x14ac:dyDescent="0.25">
      <c r="B210" s="375"/>
      <c r="C210" s="351"/>
      <c r="D210" s="361"/>
      <c r="E210" s="134" t="str">
        <f>HLOOKUP(Deckblatt!$C$12,Language!$C$1:$D$730,275,FALSE)</f>
        <v>Es gibt ein (umgesetztes) Beleuchtungskonzept, das explizit auf das Thema Lichtverschmutzung und deren Vermeidung eingeht  und v. a. eine möglichst geringe Raumaufhellung angrenzender Nutzungen berücksichtigt.</v>
      </c>
      <c r="F210" s="485"/>
      <c r="G210" s="69"/>
      <c r="H210" s="18">
        <v>7</v>
      </c>
      <c r="I210" s="379"/>
      <c r="J210" s="340"/>
      <c r="K210" s="341"/>
      <c r="L210" s="341"/>
      <c r="M210" s="341"/>
      <c r="N210" s="342"/>
      <c r="P210" s="18">
        <f t="shared" si="4"/>
        <v>0</v>
      </c>
      <c r="Q210" s="338"/>
      <c r="R210" s="344"/>
      <c r="S210" s="344"/>
      <c r="T210" s="344"/>
      <c r="U210" s="475"/>
    </row>
    <row r="211" spans="2:21" ht="39.6" x14ac:dyDescent="0.25">
      <c r="B211" s="375"/>
      <c r="C211" s="351"/>
      <c r="D211" s="361"/>
      <c r="E211" s="134" t="str">
        <f>HLOOKUP(Deckblatt!$C$12,Language!$C$1:$D$730,276,FALSE)</f>
        <v xml:space="preserve">Alle Leuchtmittel im Außenbereich sind derart gestaltet, das keine Lichtstreuung nach oben und zur Seite stattfindet.
</v>
      </c>
      <c r="F211" s="485"/>
      <c r="G211" s="69"/>
      <c r="H211" s="18">
        <v>7</v>
      </c>
      <c r="I211" s="379"/>
      <c r="J211" s="340"/>
      <c r="K211" s="341"/>
      <c r="L211" s="341"/>
      <c r="M211" s="341"/>
      <c r="N211" s="342"/>
      <c r="P211" s="18">
        <f t="shared" si="4"/>
        <v>0</v>
      </c>
      <c r="Q211" s="338"/>
      <c r="R211" s="344"/>
      <c r="S211" s="344"/>
      <c r="T211" s="344"/>
      <c r="U211" s="475"/>
    </row>
    <row r="212" spans="2:21" ht="39.6" x14ac:dyDescent="0.25">
      <c r="B212" s="375"/>
      <c r="C212" s="351"/>
      <c r="D212" s="361"/>
      <c r="E212" s="134" t="str">
        <f>HLOOKUP(Deckblatt!$C$12,Language!$C$1:$D$730,277,FALSE)</f>
        <v xml:space="preserve">Alle Leuchtmittel im Außenbereich verfügen über Lichtfarben und Orientierung die für den Artenschutz unschädlich sind.
</v>
      </c>
      <c r="F212" s="485"/>
      <c r="G212" s="69"/>
      <c r="H212" s="18">
        <v>7</v>
      </c>
      <c r="I212" s="379"/>
      <c r="J212" s="340"/>
      <c r="K212" s="341"/>
      <c r="L212" s="341"/>
      <c r="M212" s="341"/>
      <c r="N212" s="342"/>
      <c r="P212" s="18">
        <f t="shared" si="4"/>
        <v>0</v>
      </c>
      <c r="Q212" s="338"/>
      <c r="R212" s="344"/>
      <c r="S212" s="344"/>
      <c r="T212" s="344"/>
      <c r="U212" s="475"/>
    </row>
    <row r="213" spans="2:21" ht="26.4" x14ac:dyDescent="0.25">
      <c r="B213" s="375"/>
      <c r="C213" s="351"/>
      <c r="D213" s="361"/>
      <c r="E213" s="134" t="str">
        <f>HLOOKUP(Deckblatt!$C$12,Language!$C$1:$D$730,278,FALSE)</f>
        <v xml:space="preserve">Bei allen Leuchtmittel treten keine unerwünschten Blendeffekte auf
</v>
      </c>
      <c r="F213" s="485"/>
      <c r="G213" s="69"/>
      <c r="H213" s="18">
        <v>4</v>
      </c>
      <c r="I213" s="379"/>
      <c r="J213" s="340"/>
      <c r="K213" s="341"/>
      <c r="L213" s="341"/>
      <c r="M213" s="341"/>
      <c r="N213" s="342"/>
      <c r="P213" s="18">
        <f t="shared" si="4"/>
        <v>0</v>
      </c>
      <c r="Q213" s="338"/>
      <c r="R213" s="344"/>
      <c r="S213" s="344"/>
      <c r="T213" s="344"/>
      <c r="U213" s="475"/>
    </row>
    <row r="214" spans="2:21" x14ac:dyDescent="0.25">
      <c r="B214" s="55" t="s">
        <v>294</v>
      </c>
      <c r="C214" s="354" t="str">
        <f>HLOOKUP(Deckblatt!$C$12,Language!$C$1:$D$730,279,FALSE)</f>
        <v>Barrierefreiheit</v>
      </c>
      <c r="D214" s="354"/>
      <c r="E214" s="355"/>
      <c r="F214" s="56">
        <f>Q214</f>
        <v>0</v>
      </c>
      <c r="G214" s="126"/>
      <c r="H214" s="21">
        <v>100</v>
      </c>
      <c r="I214" s="137">
        <v>3</v>
      </c>
      <c r="J214" s="340"/>
      <c r="K214" s="341"/>
      <c r="L214" s="341"/>
      <c r="M214" s="341"/>
      <c r="N214" s="342"/>
      <c r="P214" s="18">
        <f t="shared" si="4"/>
        <v>0</v>
      </c>
      <c r="Q214" s="337">
        <f>P216+P218</f>
        <v>0</v>
      </c>
      <c r="R214" s="343">
        <f>Q214/100</f>
        <v>0</v>
      </c>
      <c r="S214" s="344"/>
      <c r="T214" s="344"/>
      <c r="U214" s="475"/>
    </row>
    <row r="215" spans="2:21" x14ac:dyDescent="0.25">
      <c r="B215" s="375"/>
      <c r="C215" s="369" t="s">
        <v>292</v>
      </c>
      <c r="D215" s="352" t="str">
        <f>HLOOKUP(Deckblatt!$C$12,Language!$C$1:$D$730,334,FALSE)</f>
        <v>Barrierefreiheit des Freiraums</v>
      </c>
      <c r="E215" s="353"/>
      <c r="F215" s="363"/>
      <c r="G215" s="129"/>
      <c r="H215" s="21">
        <v>50</v>
      </c>
      <c r="I215" s="379"/>
      <c r="J215" s="340"/>
      <c r="K215" s="341"/>
      <c r="L215" s="341"/>
      <c r="M215" s="341"/>
      <c r="N215" s="342"/>
      <c r="P215" s="18">
        <f t="shared" si="4"/>
        <v>0</v>
      </c>
      <c r="Q215" s="338"/>
      <c r="R215" s="344"/>
      <c r="S215" s="344"/>
      <c r="T215" s="344"/>
      <c r="U215" s="475"/>
    </row>
    <row r="216" spans="2:21" ht="102" customHeight="1" x14ac:dyDescent="0.25">
      <c r="B216" s="375"/>
      <c r="C216" s="480"/>
      <c r="D216" s="162" t="s">
        <v>814</v>
      </c>
      <c r="E216" s="134" t="str">
        <f>HLOOKUP(Deckblatt!$C$12,Language!$C$1:$D$730,335,FALSE)</f>
        <v>Qualitätsstufe 1    max.10
Qualitätsstufe 2    max.20
Qualitätsstufe 3    max.40
Qualitätsstufe 4    max.50</v>
      </c>
      <c r="F216" s="363"/>
      <c r="G216" s="144"/>
      <c r="H216" s="145">
        <v>50</v>
      </c>
      <c r="I216" s="379"/>
      <c r="J216" s="340"/>
      <c r="K216" s="341"/>
      <c r="L216" s="341"/>
      <c r="M216" s="341"/>
      <c r="N216" s="342"/>
      <c r="P216" s="18">
        <f t="shared" ref="P216:P218" si="8">IF(G216&gt;H216,H216,G216)</f>
        <v>0</v>
      </c>
      <c r="Q216" s="338"/>
      <c r="R216" s="344"/>
      <c r="S216" s="344"/>
      <c r="T216" s="344"/>
      <c r="U216" s="475"/>
    </row>
    <row r="217" spans="2:21" x14ac:dyDescent="0.25">
      <c r="B217" s="375"/>
      <c r="C217" s="392" t="s">
        <v>448</v>
      </c>
      <c r="D217" s="352" t="str">
        <f>HLOOKUP(Deckblatt!$C$12,Language!$C$1:$D$730,336,FALSE)</f>
        <v>Planungsgrundlagen</v>
      </c>
      <c r="E217" s="353"/>
      <c r="F217" s="363"/>
      <c r="G217" s="129"/>
      <c r="H217" s="21">
        <v>50</v>
      </c>
      <c r="I217" s="379"/>
      <c r="J217" s="340"/>
      <c r="K217" s="341"/>
      <c r="L217" s="341"/>
      <c r="M217" s="341"/>
      <c r="N217" s="342"/>
      <c r="P217" s="18">
        <f t="shared" si="8"/>
        <v>0</v>
      </c>
      <c r="Q217" s="338"/>
      <c r="R217" s="344"/>
      <c r="S217" s="344"/>
      <c r="T217" s="344"/>
      <c r="U217" s="475"/>
    </row>
    <row r="218" spans="2:21" ht="87" customHeight="1" x14ac:dyDescent="0.25">
      <c r="B218" s="375"/>
      <c r="C218" s="351"/>
      <c r="D218" s="163" t="s">
        <v>815</v>
      </c>
      <c r="E218" s="134" t="str">
        <f>HLOOKUP(Deckblatt!$C$12,Language!$C$1:$D$730,337,FALSE)</f>
        <v>Qualitätsstufe 1    max.10
Qualitätsstufe 2    max.30
Qualitätsstufe 3    max.50</v>
      </c>
      <c r="F218" s="363"/>
      <c r="G218" s="144"/>
      <c r="H218" s="145">
        <v>50</v>
      </c>
      <c r="I218" s="379"/>
      <c r="J218" s="340"/>
      <c r="K218" s="341"/>
      <c r="L218" s="341"/>
      <c r="M218" s="341"/>
      <c r="N218" s="342"/>
      <c r="P218" s="18">
        <f t="shared" si="8"/>
        <v>0</v>
      </c>
      <c r="Q218" s="338"/>
      <c r="R218" s="344"/>
      <c r="S218" s="344"/>
      <c r="T218" s="344"/>
      <c r="U218" s="475"/>
    </row>
    <row r="219" spans="2:21" x14ac:dyDescent="0.25">
      <c r="B219" s="55" t="s">
        <v>346</v>
      </c>
      <c r="C219" s="354" t="str">
        <f>HLOOKUP(Deckblatt!$C$12,Language!$C$1:$D$730,338,FALSE)</f>
        <v>Städtebau</v>
      </c>
      <c r="D219" s="354"/>
      <c r="E219" s="355"/>
      <c r="F219" s="66">
        <f>Q219</f>
        <v>0</v>
      </c>
      <c r="G219" s="372"/>
      <c r="H219" s="21">
        <v>100</v>
      </c>
      <c r="I219" s="176">
        <v>4</v>
      </c>
      <c r="J219" s="340"/>
      <c r="K219" s="341"/>
      <c r="L219" s="341"/>
      <c r="M219" s="341"/>
      <c r="N219" s="342"/>
      <c r="P219" s="18">
        <f t="shared" ref="P219:P234" si="9">IF(G219&gt;H219,H219,G219)</f>
        <v>0</v>
      </c>
      <c r="Q219" s="337">
        <f>SUM(SUM(P222:P236),IF(SUM(P238:P240)&gt;30,30,SUM(P238:P240)))</f>
        <v>0</v>
      </c>
      <c r="R219" s="343">
        <f>Q219/100</f>
        <v>0</v>
      </c>
      <c r="S219" s="344"/>
      <c r="T219" s="344"/>
      <c r="U219" s="475"/>
    </row>
    <row r="220" spans="2:21" ht="13.2" customHeight="1" x14ac:dyDescent="0.25">
      <c r="B220" s="375"/>
      <c r="C220" s="351" t="s">
        <v>54</v>
      </c>
      <c r="D220" s="352" t="str">
        <f>HLOOKUP(Deckblatt!$C$12,Language!$C$1:$D$730,339,FALSE)</f>
        <v>Städtebauliche Einbindung</v>
      </c>
      <c r="E220" s="353"/>
      <c r="F220" s="363"/>
      <c r="G220" s="373"/>
      <c r="H220" s="21">
        <v>50</v>
      </c>
      <c r="I220" s="379"/>
      <c r="J220" s="340"/>
      <c r="K220" s="341"/>
      <c r="L220" s="341"/>
      <c r="M220" s="341"/>
      <c r="N220" s="342"/>
      <c r="P220" s="18">
        <f t="shared" si="9"/>
        <v>0</v>
      </c>
      <c r="Q220" s="338"/>
      <c r="R220" s="344"/>
      <c r="S220" s="344"/>
      <c r="T220" s="344"/>
      <c r="U220" s="475"/>
    </row>
    <row r="221" spans="2:21" x14ac:dyDescent="0.25">
      <c r="B221" s="375"/>
      <c r="C221" s="351"/>
      <c r="D221" s="376" t="s">
        <v>58</v>
      </c>
      <c r="E221" s="150" t="str">
        <f>HLOOKUP(Deckblatt!$C$12,Language!$C$1:$D$730,340,FALSE)</f>
        <v>Einbindung in die Stadtgestalt und Stadtstruktur</v>
      </c>
      <c r="F221" s="363"/>
      <c r="G221" s="374"/>
      <c r="H221" s="21">
        <v>20</v>
      </c>
      <c r="I221" s="379"/>
      <c r="J221" s="340"/>
      <c r="K221" s="341"/>
      <c r="L221" s="341"/>
      <c r="M221" s="341"/>
      <c r="N221" s="342"/>
      <c r="P221" s="18">
        <f t="shared" si="9"/>
        <v>0</v>
      </c>
      <c r="Q221" s="338"/>
      <c r="R221" s="344"/>
      <c r="S221" s="344"/>
      <c r="T221" s="344"/>
      <c r="U221" s="475"/>
    </row>
    <row r="222" spans="2:21" ht="26.4" x14ac:dyDescent="0.25">
      <c r="B222" s="375"/>
      <c r="C222" s="351"/>
      <c r="D222" s="376"/>
      <c r="E222" s="134" t="str">
        <f>HLOOKUP(Deckblatt!$C$12,Language!$C$1:$D$730,341,FALSE)</f>
        <v xml:space="preserve">Es liegt eine Analyse/Bestandsuntersuchung vor.
</v>
      </c>
      <c r="F222" s="363"/>
      <c r="G222" s="69"/>
      <c r="H222" s="18">
        <v>10</v>
      </c>
      <c r="I222" s="379"/>
      <c r="J222" s="340"/>
      <c r="K222" s="341"/>
      <c r="L222" s="341"/>
      <c r="M222" s="341"/>
      <c r="N222" s="342"/>
      <c r="P222" s="18">
        <f t="shared" si="9"/>
        <v>0</v>
      </c>
      <c r="Q222" s="338"/>
      <c r="R222" s="344"/>
      <c r="S222" s="344"/>
      <c r="T222" s="344"/>
      <c r="U222" s="475"/>
    </row>
    <row r="223" spans="2:21" ht="52.8" x14ac:dyDescent="0.25">
      <c r="B223" s="375"/>
      <c r="C223" s="351"/>
      <c r="D223" s="376"/>
      <c r="E223" s="134" t="str">
        <f>HLOOKUP(Deckblatt!$C$12,Language!$C$1:$D$730,342,FALSE)</f>
        <v xml:space="preserve">Die Einbindung des Projekts in die Stadtgestalt und Stadtstruktur wird im städtebaulichen Konzept nachvollziehbar aus den Erkenntnissen der Analyse/Bestandsuntersuchung hergeleitet
</v>
      </c>
      <c r="F223" s="363"/>
      <c r="G223" s="69"/>
      <c r="H223" s="18">
        <v>10</v>
      </c>
      <c r="I223" s="379"/>
      <c r="J223" s="340"/>
      <c r="K223" s="341"/>
      <c r="L223" s="341"/>
      <c r="M223" s="341"/>
      <c r="N223" s="342"/>
      <c r="P223" s="18">
        <f t="shared" si="9"/>
        <v>0</v>
      </c>
      <c r="Q223" s="338"/>
      <c r="R223" s="344"/>
      <c r="S223" s="344"/>
      <c r="T223" s="344"/>
      <c r="U223" s="475"/>
    </row>
    <row r="224" spans="2:21" x14ac:dyDescent="0.25">
      <c r="B224" s="375"/>
      <c r="C224" s="351"/>
      <c r="D224" s="376" t="s">
        <v>181</v>
      </c>
      <c r="E224" s="150" t="str">
        <f>HLOOKUP(Deckblatt!$C$12,Language!$C$1:$D$730,343,FALSE)</f>
        <v>Einbindung in das Erschließungsnetz</v>
      </c>
      <c r="F224" s="363"/>
      <c r="G224" s="113"/>
      <c r="H224" s="21">
        <v>10</v>
      </c>
      <c r="I224" s="379"/>
      <c r="J224" s="340"/>
      <c r="K224" s="341"/>
      <c r="L224" s="341"/>
      <c r="M224" s="341"/>
      <c r="N224" s="342"/>
      <c r="P224" s="18">
        <f t="shared" si="9"/>
        <v>0</v>
      </c>
      <c r="Q224" s="338"/>
      <c r="R224" s="344"/>
      <c r="S224" s="344"/>
      <c r="T224" s="344"/>
      <c r="U224" s="475"/>
    </row>
    <row r="225" spans="2:21" ht="26.4" x14ac:dyDescent="0.25">
      <c r="B225" s="375"/>
      <c r="C225" s="351"/>
      <c r="D225" s="376"/>
      <c r="E225" s="134" t="str">
        <f>HLOOKUP(Deckblatt!$C$12,Language!$C$1:$D$730,344,FALSE)</f>
        <v xml:space="preserve">Es liegt eine Analyse/Bestandsuntersuchung vor.
</v>
      </c>
      <c r="F225" s="363"/>
      <c r="G225" s="69"/>
      <c r="H225" s="18">
        <v>5</v>
      </c>
      <c r="I225" s="379"/>
      <c r="J225" s="340"/>
      <c r="K225" s="341"/>
      <c r="L225" s="341"/>
      <c r="M225" s="341"/>
      <c r="N225" s="342"/>
      <c r="P225" s="18">
        <f t="shared" si="9"/>
        <v>0</v>
      </c>
      <c r="Q225" s="338"/>
      <c r="R225" s="344"/>
      <c r="S225" s="344"/>
      <c r="T225" s="344"/>
      <c r="U225" s="475"/>
    </row>
    <row r="226" spans="2:21" ht="52.8" x14ac:dyDescent="0.25">
      <c r="B226" s="375"/>
      <c r="C226" s="351"/>
      <c r="D226" s="376"/>
      <c r="E226" s="134" t="str">
        <f>HLOOKUP(Deckblatt!$C$12,Language!$C$1:$D$730,345,FALSE)</f>
        <v xml:space="preserve">Die Einbindung des Projekts in das Erschließungsnetz wird im Verkehrskonzept nachvollziehbar aus den Erkenntnissen der Analyse/Bestandsuntersuchung hergeleitet (Erläuterung)
</v>
      </c>
      <c r="F226" s="363"/>
      <c r="G226" s="69"/>
      <c r="H226" s="18">
        <v>5</v>
      </c>
      <c r="I226" s="379"/>
      <c r="J226" s="340"/>
      <c r="K226" s="341"/>
      <c r="L226" s="341"/>
      <c r="M226" s="341"/>
      <c r="N226" s="342"/>
      <c r="P226" s="18">
        <f t="shared" si="9"/>
        <v>0</v>
      </c>
      <c r="Q226" s="338"/>
      <c r="R226" s="344"/>
      <c r="S226" s="344"/>
      <c r="T226" s="344"/>
      <c r="U226" s="475"/>
    </row>
    <row r="227" spans="2:21" x14ac:dyDescent="0.25">
      <c r="B227" s="375"/>
      <c r="C227" s="351"/>
      <c r="D227" s="376" t="s">
        <v>246</v>
      </c>
      <c r="E227" s="150" t="str">
        <f>HLOOKUP(Deckblatt!$C$12,Language!$C$1:$D$730,346,FALSE)</f>
        <v>Einbindung in die übergeordnete Planung/Werksrahmenplanung</v>
      </c>
      <c r="F227" s="363"/>
      <c r="G227" s="113"/>
      <c r="H227" s="21">
        <v>10</v>
      </c>
      <c r="I227" s="379"/>
      <c r="J227" s="340"/>
      <c r="K227" s="341"/>
      <c r="L227" s="341"/>
      <c r="M227" s="341"/>
      <c r="N227" s="342"/>
      <c r="P227" s="18">
        <f t="shared" si="9"/>
        <v>0</v>
      </c>
      <c r="Q227" s="338"/>
      <c r="R227" s="344"/>
      <c r="S227" s="344"/>
      <c r="T227" s="344"/>
      <c r="U227" s="475"/>
    </row>
    <row r="228" spans="2:21" ht="26.4" x14ac:dyDescent="0.25">
      <c r="B228" s="375"/>
      <c r="C228" s="351"/>
      <c r="D228" s="376"/>
      <c r="E228" s="134" t="str">
        <f>HLOOKUP(Deckblatt!$C$12,Language!$C$1:$D$730,347,FALSE)</f>
        <v xml:space="preserve">Es liegt eine Analyse/Bestandsuntersuchung vor.
</v>
      </c>
      <c r="F228" s="363"/>
      <c r="G228" s="69"/>
      <c r="H228" s="18">
        <v>5</v>
      </c>
      <c r="I228" s="379"/>
      <c r="J228" s="340"/>
      <c r="K228" s="341"/>
      <c r="L228" s="341"/>
      <c r="M228" s="341"/>
      <c r="N228" s="342"/>
      <c r="P228" s="18">
        <f t="shared" si="9"/>
        <v>0</v>
      </c>
      <c r="Q228" s="338"/>
      <c r="R228" s="344"/>
      <c r="S228" s="344"/>
      <c r="T228" s="344"/>
      <c r="U228" s="475"/>
    </row>
    <row r="229" spans="2:21" ht="52.95" customHeight="1" x14ac:dyDescent="0.25">
      <c r="B229" s="375"/>
      <c r="C229" s="351"/>
      <c r="D229" s="376"/>
      <c r="E229"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29" s="363"/>
      <c r="G229" s="69"/>
      <c r="H229" s="18">
        <v>5</v>
      </c>
      <c r="I229" s="379"/>
      <c r="J229" s="340"/>
      <c r="K229" s="341"/>
      <c r="L229" s="341"/>
      <c r="M229" s="341"/>
      <c r="N229" s="342"/>
      <c r="P229" s="18">
        <f t="shared" si="9"/>
        <v>0</v>
      </c>
      <c r="Q229" s="338"/>
      <c r="R229" s="344"/>
      <c r="S229" s="344"/>
      <c r="T229" s="344"/>
      <c r="U229" s="475"/>
    </row>
    <row r="230" spans="2:21" x14ac:dyDescent="0.25">
      <c r="B230" s="375"/>
      <c r="C230" s="351"/>
      <c r="D230" s="376" t="s">
        <v>250</v>
      </c>
      <c r="E230" s="150" t="str">
        <f>HLOOKUP(Deckblatt!$C$12,Language!$C$1:$D$730,349,FALSE)</f>
        <v>Einbindung von baulichen Bestand</v>
      </c>
      <c r="F230" s="363"/>
      <c r="G230" s="113"/>
      <c r="H230" s="21">
        <v>10</v>
      </c>
      <c r="I230" s="379"/>
      <c r="J230" s="340"/>
      <c r="K230" s="341"/>
      <c r="L230" s="341"/>
      <c r="M230" s="341"/>
      <c r="N230" s="342"/>
      <c r="P230" s="18">
        <f t="shared" si="9"/>
        <v>0</v>
      </c>
      <c r="Q230" s="338"/>
      <c r="R230" s="344"/>
      <c r="S230" s="344"/>
      <c r="T230" s="344"/>
      <c r="U230" s="475"/>
    </row>
    <row r="231" spans="2:21" ht="26.4" x14ac:dyDescent="0.25">
      <c r="B231" s="375"/>
      <c r="C231" s="351"/>
      <c r="D231" s="376"/>
      <c r="E231" s="134" t="str">
        <f>HLOOKUP(Deckblatt!$C$12,Language!$C$1:$D$730,350,FALSE)</f>
        <v xml:space="preserve">Es liegt eine Analyse/Bestandsuntersuchung vor.
</v>
      </c>
      <c r="F231" s="363"/>
      <c r="G231" s="69"/>
      <c r="H231" s="18">
        <v>5</v>
      </c>
      <c r="I231" s="379"/>
      <c r="J231" s="340"/>
      <c r="K231" s="341"/>
      <c r="L231" s="341"/>
      <c r="M231" s="341"/>
      <c r="N231" s="342"/>
      <c r="P231" s="18">
        <f t="shared" si="9"/>
        <v>0</v>
      </c>
      <c r="Q231" s="338"/>
      <c r="R231" s="344"/>
      <c r="S231" s="344"/>
      <c r="T231" s="344"/>
      <c r="U231" s="475"/>
    </row>
    <row r="232" spans="2:21" ht="52.8" x14ac:dyDescent="0.25">
      <c r="B232" s="375"/>
      <c r="C232" s="351"/>
      <c r="D232" s="376"/>
      <c r="E232" s="134" t="str">
        <f>HLOOKUP(Deckblatt!$C$12,Language!$C$1:$D$730,351,FALSE)</f>
        <v xml:space="preserve">Die Einbindung der bestehenden und identitätsstiftenden Gebäude wird im städtebaulichen Konzept nachvollziehbar aus den Erkenntnissen der Analyse/Bestandsuntersuchung hergeleitet (Erläuterung).
</v>
      </c>
      <c r="F232" s="363"/>
      <c r="G232" s="69"/>
      <c r="H232" s="18">
        <v>5</v>
      </c>
      <c r="I232" s="379"/>
      <c r="J232" s="340"/>
      <c r="K232" s="341"/>
      <c r="L232" s="341"/>
      <c r="M232" s="341"/>
      <c r="N232" s="342"/>
      <c r="P232" s="18">
        <f t="shared" si="9"/>
        <v>0</v>
      </c>
      <c r="Q232" s="338"/>
      <c r="R232" s="344"/>
      <c r="S232" s="344"/>
      <c r="T232" s="344"/>
      <c r="U232" s="475"/>
    </row>
    <row r="233" spans="2:21" ht="13.2" customHeight="1" x14ac:dyDescent="0.25">
      <c r="B233" s="375"/>
      <c r="C233" s="359" t="s">
        <v>61</v>
      </c>
      <c r="D233" s="352" t="str">
        <f>HLOOKUP(Deckblatt!$C$12,Language!$C$1:$D$730,352,FALSE)</f>
        <v>Städtebauliche Qualifizierung</v>
      </c>
      <c r="E233" s="353"/>
      <c r="F233" s="363"/>
      <c r="G233" s="113"/>
      <c r="H233" s="21">
        <v>20</v>
      </c>
      <c r="I233" s="379"/>
      <c r="J233" s="340"/>
      <c r="K233" s="341"/>
      <c r="L233" s="341"/>
      <c r="M233" s="341"/>
      <c r="N233" s="342"/>
      <c r="P233" s="18">
        <f t="shared" si="9"/>
        <v>0</v>
      </c>
      <c r="Q233" s="338"/>
      <c r="R233" s="344"/>
      <c r="S233" s="344"/>
      <c r="T233" s="344"/>
      <c r="U233" s="475"/>
    </row>
    <row r="234" spans="2:21" ht="26.4" x14ac:dyDescent="0.25">
      <c r="B234" s="375"/>
      <c r="C234" s="390"/>
      <c r="D234" s="160" t="s">
        <v>63</v>
      </c>
      <c r="E234" s="150" t="str">
        <f>HLOOKUP(Deckblatt!$C$12,Language!$C$1:$D$730,353,FALSE)</f>
        <v xml:space="preserve">Übergeordnetes Gestaltungskonzept
</v>
      </c>
      <c r="F234" s="363"/>
      <c r="G234" s="69"/>
      <c r="H234" s="18">
        <v>4</v>
      </c>
      <c r="I234" s="379"/>
      <c r="J234" s="340"/>
      <c r="K234" s="341"/>
      <c r="L234" s="341"/>
      <c r="M234" s="341"/>
      <c r="N234" s="342"/>
      <c r="P234" s="18">
        <f t="shared" si="9"/>
        <v>0</v>
      </c>
      <c r="Q234" s="338"/>
      <c r="R234" s="344"/>
      <c r="S234" s="344"/>
      <c r="T234" s="344"/>
      <c r="U234" s="475"/>
    </row>
    <row r="235" spans="2:21" ht="26.4" x14ac:dyDescent="0.25">
      <c r="B235" s="375"/>
      <c r="C235" s="390"/>
      <c r="D235" s="160" t="s">
        <v>255</v>
      </c>
      <c r="E235" s="150" t="str">
        <f>HLOOKUP(Deckblatt!$C$12,Language!$C$1:$D$730,355,FALSE)</f>
        <v xml:space="preserve">Material, Farbe, Textur
</v>
      </c>
      <c r="F235" s="363"/>
      <c r="G235" s="69"/>
      <c r="H235" s="18">
        <v>8</v>
      </c>
      <c r="I235" s="379"/>
      <c r="J235" s="340"/>
      <c r="K235" s="341"/>
      <c r="L235" s="341"/>
      <c r="M235" s="341"/>
      <c r="N235" s="342"/>
      <c r="P235" s="18">
        <f t="shared" ref="P235:P290" si="10">IF(G235&gt;H235,H235,G235)</f>
        <v>0</v>
      </c>
      <c r="Q235" s="338"/>
      <c r="R235" s="344"/>
      <c r="S235" s="344"/>
      <c r="T235" s="344"/>
      <c r="U235" s="475"/>
    </row>
    <row r="236" spans="2:21" ht="26.4" x14ac:dyDescent="0.25">
      <c r="B236" s="375"/>
      <c r="C236" s="390"/>
      <c r="D236" s="160" t="s">
        <v>256</v>
      </c>
      <c r="E236" s="150" t="str">
        <f>HLOOKUP(Deckblatt!$C$12,Language!$C$1:$D$730,356,FALSE)</f>
        <v xml:space="preserve">Gestaltung von städtebaulich prägnanten Gebäuden
</v>
      </c>
      <c r="F236" s="363"/>
      <c r="G236" s="69"/>
      <c r="H236" s="18">
        <v>8</v>
      </c>
      <c r="I236" s="379"/>
      <c r="J236" s="340"/>
      <c r="K236" s="341"/>
      <c r="L236" s="341"/>
      <c r="M236" s="341"/>
      <c r="N236" s="342"/>
      <c r="P236" s="18">
        <f t="shared" si="10"/>
        <v>0</v>
      </c>
      <c r="Q236" s="338"/>
      <c r="R236" s="344"/>
      <c r="S236" s="344"/>
      <c r="T236" s="344"/>
      <c r="U236" s="475"/>
    </row>
    <row r="237" spans="2:21" ht="13.2" customHeight="1" x14ac:dyDescent="0.25">
      <c r="B237" s="375"/>
      <c r="C237" s="390" t="s">
        <v>64</v>
      </c>
      <c r="D237" s="352" t="str">
        <f>HLOOKUP(Deckblatt!$C$12,Language!$C$1:$D$730,358,FALSE)</f>
        <v xml:space="preserve">Impuls / Attraktor </v>
      </c>
      <c r="E237" s="353"/>
      <c r="F237" s="363"/>
      <c r="G237" s="113"/>
      <c r="H237" s="21">
        <v>30</v>
      </c>
      <c r="I237" s="379"/>
      <c r="J237" s="340"/>
      <c r="K237" s="341"/>
      <c r="L237" s="341"/>
      <c r="M237" s="341"/>
      <c r="N237" s="342"/>
      <c r="P237" s="18">
        <f t="shared" si="10"/>
        <v>0</v>
      </c>
      <c r="Q237" s="338"/>
      <c r="R237" s="344"/>
      <c r="S237" s="344"/>
      <c r="T237" s="344"/>
      <c r="U237" s="475"/>
    </row>
    <row r="238" spans="2:21" x14ac:dyDescent="0.25">
      <c r="B238" s="375"/>
      <c r="C238" s="390"/>
      <c r="D238" s="19" t="s">
        <v>66</v>
      </c>
      <c r="E238" s="134" t="str">
        <f>HLOOKUP(Deckblatt!$C$12,Language!$C$1:$D$730,359,FALSE)</f>
        <v>Impuls durch die Nutzung</v>
      </c>
      <c r="F238" s="363"/>
      <c r="G238" s="69"/>
      <c r="H238" s="18">
        <v>15</v>
      </c>
      <c r="I238" s="379"/>
      <c r="J238" s="340"/>
      <c r="K238" s="341"/>
      <c r="L238" s="341"/>
      <c r="M238" s="341"/>
      <c r="N238" s="342"/>
      <c r="P238" s="18">
        <f t="shared" si="10"/>
        <v>0</v>
      </c>
      <c r="Q238" s="338"/>
      <c r="R238" s="344"/>
      <c r="S238" s="344"/>
      <c r="T238" s="344"/>
      <c r="U238" s="475"/>
    </row>
    <row r="239" spans="2:21" x14ac:dyDescent="0.25">
      <c r="B239" s="375"/>
      <c r="C239" s="390"/>
      <c r="D239" s="71" t="s">
        <v>188</v>
      </c>
      <c r="E239" s="134" t="str">
        <f>HLOOKUP(Deckblatt!$C$12,Language!$C$1:$D$730,360,FALSE)</f>
        <v>Impuls durch räumliche und gestalterische Aspekte</v>
      </c>
      <c r="F239" s="363"/>
      <c r="G239" s="69"/>
      <c r="H239" s="18">
        <v>15</v>
      </c>
      <c r="I239" s="379"/>
      <c r="J239" s="340"/>
      <c r="K239" s="341"/>
      <c r="L239" s="341"/>
      <c r="M239" s="341"/>
      <c r="N239" s="342"/>
      <c r="P239" s="18">
        <f t="shared" si="10"/>
        <v>0</v>
      </c>
      <c r="Q239" s="338"/>
      <c r="R239" s="344"/>
      <c r="S239" s="344"/>
      <c r="T239" s="344"/>
      <c r="U239" s="475"/>
    </row>
    <row r="240" spans="2:21" ht="69.75" customHeight="1" x14ac:dyDescent="0.25">
      <c r="B240" s="375"/>
      <c r="C240" s="360"/>
      <c r="D240" s="71" t="s">
        <v>755</v>
      </c>
      <c r="E240"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40" s="363"/>
      <c r="G240" s="69"/>
      <c r="H240" s="18">
        <v>30</v>
      </c>
      <c r="I240" s="379"/>
      <c r="J240" s="340"/>
      <c r="K240" s="341"/>
      <c r="L240" s="341"/>
      <c r="M240" s="341"/>
      <c r="N240" s="342"/>
      <c r="P240" s="18">
        <f t="shared" si="10"/>
        <v>0</v>
      </c>
      <c r="Q240" s="339"/>
      <c r="R240" s="365"/>
      <c r="S240" s="344"/>
      <c r="T240" s="344"/>
      <c r="U240" s="475"/>
    </row>
    <row r="241" spans="2:22" x14ac:dyDescent="0.25">
      <c r="B241" s="55" t="s">
        <v>372</v>
      </c>
      <c r="C241" s="354" t="str">
        <f>HLOOKUP(Deckblatt!$C$12,Language!$C$1:$D$730,380,FALSE)</f>
        <v>Soziale und Erwerbswirtschaftliche Infrastruktur</v>
      </c>
      <c r="D241" s="354"/>
      <c r="E241" s="355"/>
      <c r="F241" s="66">
        <f>Q241</f>
        <v>0</v>
      </c>
      <c r="G241" s="372"/>
      <c r="H241" s="21">
        <v>110</v>
      </c>
      <c r="I241" s="176">
        <v>3</v>
      </c>
      <c r="J241" s="340"/>
      <c r="K241" s="341"/>
      <c r="L241" s="341"/>
      <c r="M241" s="341"/>
      <c r="N241" s="342"/>
      <c r="P241" s="18">
        <f t="shared" si="10"/>
        <v>0</v>
      </c>
      <c r="Q241" s="337">
        <f>IF(SUM(P243:P253)&gt;100,100+P255,SUM(P243:P253)+P255)</f>
        <v>0</v>
      </c>
      <c r="R241" s="343">
        <f>Q241/100</f>
        <v>0</v>
      </c>
      <c r="S241" s="344"/>
      <c r="T241" s="344"/>
      <c r="U241" s="475"/>
    </row>
    <row r="242" spans="2:22" ht="13.2" customHeight="1" x14ac:dyDescent="0.25">
      <c r="B242" s="375"/>
      <c r="C242" s="351" t="s">
        <v>54</v>
      </c>
      <c r="D242" s="352" t="str">
        <f>HLOOKUP(Deckblatt!$C$12,Language!$C$1:$D$730,381,FALSE)</f>
        <v>Soziale Infrastruktur</v>
      </c>
      <c r="E242" s="353"/>
      <c r="F242" s="363"/>
      <c r="G242" s="374"/>
      <c r="H242" s="21">
        <v>15</v>
      </c>
      <c r="I242" s="379"/>
      <c r="J242" s="340"/>
      <c r="K242" s="341"/>
      <c r="L242" s="341"/>
      <c r="M242" s="341"/>
      <c r="N242" s="342"/>
      <c r="P242" s="18">
        <f t="shared" si="10"/>
        <v>0</v>
      </c>
      <c r="Q242" s="338"/>
      <c r="R242" s="344"/>
      <c r="S242" s="344"/>
      <c r="T242" s="344"/>
      <c r="U242" s="475"/>
    </row>
    <row r="243" spans="2:22" ht="39.6" x14ac:dyDescent="0.25">
      <c r="B243" s="375"/>
      <c r="C243" s="351"/>
      <c r="D243" s="71" t="s">
        <v>246</v>
      </c>
      <c r="E243" s="134" t="str">
        <f>HLOOKUP(Deckblatt!$C$12,Language!$C$1:$D$730,384,FALSE)</f>
        <v xml:space="preserve">Freizeit: Kunst und Kultur (Kino, Theater, Galerien, (Werks-)Museen), Bücherei, Quartierszentrum, Bürgerhaus, Jugendraum, Seniorentreff etc. 
</v>
      </c>
      <c r="F243" s="363"/>
      <c r="G243" s="69"/>
      <c r="H243" s="18">
        <v>5</v>
      </c>
      <c r="I243" s="379"/>
      <c r="J243" s="340"/>
      <c r="K243" s="341"/>
      <c r="L243" s="341"/>
      <c r="M243" s="341"/>
      <c r="N243" s="342"/>
      <c r="P243" s="18">
        <f t="shared" si="10"/>
        <v>0</v>
      </c>
      <c r="Q243" s="338"/>
      <c r="R243" s="344"/>
      <c r="S243" s="344"/>
      <c r="T243" s="344"/>
      <c r="U243" s="475"/>
    </row>
    <row r="244" spans="2:22" ht="39.6" x14ac:dyDescent="0.25">
      <c r="B244" s="375"/>
      <c r="C244" s="351"/>
      <c r="D244" s="71" t="s">
        <v>121</v>
      </c>
      <c r="E244" s="134" t="str">
        <f>HLOOKUP(Deckblatt!$C$12,Language!$C$1:$D$730,386,FALSE)</f>
        <v xml:space="preserve">Sportstätten: Turn- und Sporthalle, Sportfreigelände/Sportplatz mit Leichtathletik, Hallen- oder Freibad, etc. 
</v>
      </c>
      <c r="F244" s="363"/>
      <c r="G244" s="69"/>
      <c r="H244" s="18">
        <v>10</v>
      </c>
      <c r="I244" s="379"/>
      <c r="J244" s="340"/>
      <c r="K244" s="341"/>
      <c r="L244" s="341"/>
      <c r="M244" s="341"/>
      <c r="N244" s="342"/>
      <c r="P244" s="18">
        <f t="shared" si="10"/>
        <v>0</v>
      </c>
      <c r="Q244" s="338"/>
      <c r="R244" s="344"/>
      <c r="S244" s="344"/>
      <c r="T244" s="344"/>
      <c r="U244" s="475"/>
    </row>
    <row r="245" spans="2:22" ht="13.2" customHeight="1" x14ac:dyDescent="0.25">
      <c r="B245" s="375"/>
      <c r="C245" s="359" t="s">
        <v>61</v>
      </c>
      <c r="D245" s="352" t="str">
        <f>HLOOKUP(Deckblatt!$C$12,Language!$C$1:$D$730,387,FALSE)</f>
        <v>Erwerbswirtschaftliche Infrastruktur</v>
      </c>
      <c r="E245" s="353"/>
      <c r="F245" s="363"/>
      <c r="G245" s="113"/>
      <c r="H245" s="21">
        <v>50</v>
      </c>
      <c r="I245" s="379"/>
      <c r="J245" s="340"/>
      <c r="K245" s="341"/>
      <c r="L245" s="341"/>
      <c r="M245" s="341"/>
      <c r="N245" s="342"/>
      <c r="P245" s="18">
        <f t="shared" si="10"/>
        <v>0</v>
      </c>
      <c r="Q245" s="338"/>
      <c r="R245" s="344"/>
      <c r="S245" s="344"/>
      <c r="T245" s="344"/>
      <c r="U245" s="475"/>
    </row>
    <row r="246" spans="2:22" ht="39.6" x14ac:dyDescent="0.25">
      <c r="B246" s="375"/>
      <c r="C246" s="390"/>
      <c r="D246" s="71" t="s">
        <v>63</v>
      </c>
      <c r="E246" s="134" t="str">
        <f>HLOOKUP(Deckblatt!$C$12,Language!$C$1:$D$730,388,FALSE)</f>
        <v xml:space="preserve">Es gibt ein Handels-/Zentrenkonzept in welches das Quartier/der Standort eingebunden ist
</v>
      </c>
      <c r="F246" s="363"/>
      <c r="G246" s="69"/>
      <c r="H246" s="18">
        <v>10</v>
      </c>
      <c r="I246" s="379"/>
      <c r="J246" s="340"/>
      <c r="K246" s="341"/>
      <c r="L246" s="341"/>
      <c r="M246" s="341"/>
      <c r="N246" s="342"/>
      <c r="P246" s="18">
        <f t="shared" si="10"/>
        <v>0</v>
      </c>
      <c r="Q246" s="338"/>
      <c r="R246" s="344"/>
      <c r="S246" s="344"/>
      <c r="T246" s="344"/>
      <c r="U246" s="475"/>
    </row>
    <row r="247" spans="2:22" ht="26.4" x14ac:dyDescent="0.25">
      <c r="B247" s="375"/>
      <c r="C247" s="390"/>
      <c r="D247" s="71" t="s">
        <v>186</v>
      </c>
      <c r="E247" s="134" t="str">
        <f>HLOOKUP(Deckblatt!$C$12,Language!$C$1:$D$730,389,FALSE)</f>
        <v>Nahversorgung 1: Angebot von Gütern des täglichen Bedarfs ist vor Ort vorhanden (ausgenommen Bestellungen von E-Commerce Plattformen).</v>
      </c>
      <c r="F247" s="363"/>
      <c r="G247" s="69"/>
      <c r="H247" s="18">
        <v>15</v>
      </c>
      <c r="I247" s="379"/>
      <c r="J247" s="340"/>
      <c r="K247" s="341"/>
      <c r="L247" s="341"/>
      <c r="M247" s="341"/>
      <c r="N247" s="342"/>
      <c r="P247" s="18">
        <f t="shared" si="10"/>
        <v>0</v>
      </c>
      <c r="Q247" s="338"/>
      <c r="R247" s="344"/>
      <c r="S247" s="344"/>
      <c r="T247" s="344"/>
      <c r="U247" s="475"/>
    </row>
    <row r="248" spans="2:22" ht="52.8" x14ac:dyDescent="0.25">
      <c r="B248" s="375"/>
      <c r="C248" s="390"/>
      <c r="D248" s="71" t="s">
        <v>255</v>
      </c>
      <c r="E248" s="134" t="str">
        <f>HLOOKUP(Deckblatt!$C$12,Language!$C$1:$D$730,390,FALSE)</f>
        <v xml:space="preserve">Nahversorgung 2: Kleinteiliger Einzelhandel (Bäckerei, Metzgerei, Drogerie etc.) (Max. Geh-/Fahrzeit mit ÖPNV 10 Min), (Max. Entfernung Luftlinie 700 m)
</v>
      </c>
      <c r="F248" s="363"/>
      <c r="G248" s="69"/>
      <c r="H248" s="18">
        <v>5</v>
      </c>
      <c r="I248" s="379"/>
      <c r="J248" s="340"/>
      <c r="K248" s="341"/>
      <c r="L248" s="341"/>
      <c r="M248" s="341"/>
      <c r="N248" s="342"/>
      <c r="P248" s="18">
        <f t="shared" si="10"/>
        <v>0</v>
      </c>
      <c r="Q248" s="338"/>
      <c r="R248" s="344"/>
      <c r="S248" s="344"/>
      <c r="T248" s="344"/>
      <c r="U248" s="475"/>
    </row>
    <row r="249" spans="2:22" ht="26.4" x14ac:dyDescent="0.25">
      <c r="B249" s="375"/>
      <c r="C249" s="390"/>
      <c r="D249" s="71" t="s">
        <v>257</v>
      </c>
      <c r="E249" s="134" t="str">
        <f>HLOOKUP(Deckblatt!$C$12,Language!$C$1:$D$730,392,FALSE)</f>
        <v xml:space="preserve">Gastronomie: Restaurant, Café, Bäckerei, Kantine, Mensa, etc. 
</v>
      </c>
      <c r="F249" s="363"/>
      <c r="G249" s="69"/>
      <c r="H249" s="18">
        <v>5</v>
      </c>
      <c r="I249" s="379"/>
      <c r="J249" s="340"/>
      <c r="K249" s="341"/>
      <c r="L249" s="341"/>
      <c r="M249" s="341"/>
      <c r="N249" s="342"/>
      <c r="P249" s="18">
        <f t="shared" si="10"/>
        <v>0</v>
      </c>
      <c r="Q249" s="338"/>
      <c r="R249" s="344"/>
      <c r="S249" s="344"/>
      <c r="T249" s="344"/>
      <c r="U249" s="475"/>
    </row>
    <row r="250" spans="2:22" ht="52.8" x14ac:dyDescent="0.25">
      <c r="B250" s="375"/>
      <c r="C250" s="390"/>
      <c r="D250" s="71" t="s">
        <v>258</v>
      </c>
      <c r="E250" s="134" t="str">
        <f>HLOOKUP(Deckblatt!$C$12,Language!$C$1:$D$730,393,FALSE)</f>
        <v xml:space="preserve">Sonstige Dienstleistungen: Bank, Post, (dienstleisterunabhängige) Paketstation, Friseur, Wellness etc. 
</v>
      </c>
      <c r="F250" s="363"/>
      <c r="G250" s="69"/>
      <c r="H250" s="18">
        <v>5</v>
      </c>
      <c r="I250" s="379"/>
      <c r="J250" s="340"/>
      <c r="K250" s="341"/>
      <c r="L250" s="341"/>
      <c r="M250" s="341"/>
      <c r="N250" s="342"/>
      <c r="P250" s="18">
        <f t="shared" si="10"/>
        <v>0</v>
      </c>
      <c r="Q250" s="338"/>
      <c r="R250" s="344"/>
      <c r="S250" s="344"/>
      <c r="T250" s="344"/>
      <c r="U250" s="475"/>
    </row>
    <row r="251" spans="2:22" ht="66" x14ac:dyDescent="0.25">
      <c r="B251" s="345"/>
      <c r="C251" s="390"/>
      <c r="D251" s="71" t="s">
        <v>259</v>
      </c>
      <c r="E251" s="134" t="str">
        <f>HLOOKUP(Deckblatt!$C$12,Language!$C$1:$D$730,394,FALSE)</f>
        <v xml:space="preserve">Medizinische Versorgung 1: Allgemeinmediziner, Apotheke, (Max. Geh-/Fahrzeit mit ÖPNV 10 Min.)
- Allgemeinmediziner (7 Punkte)
- Apotheke (3 Punkte)
</v>
      </c>
      <c r="F251" s="357"/>
      <c r="G251" s="69"/>
      <c r="H251" s="74">
        <v>10</v>
      </c>
      <c r="I251" s="349"/>
      <c r="J251" s="340"/>
      <c r="K251" s="341"/>
      <c r="L251" s="341"/>
      <c r="M251" s="341"/>
      <c r="N251" s="342"/>
      <c r="P251" s="18">
        <f t="shared" si="10"/>
        <v>0</v>
      </c>
      <c r="Q251" s="338"/>
      <c r="R251" s="344"/>
      <c r="S251" s="344"/>
      <c r="T251" s="344"/>
      <c r="U251" s="475"/>
    </row>
    <row r="252" spans="2:22" ht="13.2" customHeight="1" x14ac:dyDescent="0.25">
      <c r="B252" s="345"/>
      <c r="C252" s="369" t="s">
        <v>64</v>
      </c>
      <c r="D252" s="352" t="str">
        <f>HLOOKUP(Deckblatt!$C$12,Language!$C$1:$D$730,396,FALSE)</f>
        <v>Synergien und Angebote an die Öffentlichkeit</v>
      </c>
      <c r="E252" s="353"/>
      <c r="F252" s="357"/>
      <c r="G252" s="113"/>
      <c r="H252" s="21">
        <v>55</v>
      </c>
      <c r="I252" s="349"/>
      <c r="J252" s="340"/>
      <c r="K252" s="341"/>
      <c r="L252" s="341"/>
      <c r="M252" s="341"/>
      <c r="N252" s="342"/>
      <c r="P252" s="18">
        <f t="shared" si="10"/>
        <v>0</v>
      </c>
      <c r="Q252" s="338"/>
      <c r="R252" s="344"/>
      <c r="S252" s="344"/>
      <c r="T252" s="344"/>
      <c r="U252" s="475"/>
    </row>
    <row r="253" spans="2:22" ht="26.4" x14ac:dyDescent="0.25">
      <c r="B253" s="345"/>
      <c r="C253" s="479"/>
      <c r="D253" s="71" t="s">
        <v>66</v>
      </c>
      <c r="E253" s="134" t="str">
        <f>HLOOKUP(Deckblatt!$C$12,Language!$C$1:$D$730,397,FALSE)</f>
        <v xml:space="preserve">Konzepte und Ideen
</v>
      </c>
      <c r="F253" s="357"/>
      <c r="G253" s="69"/>
      <c r="H253" s="18">
        <v>55</v>
      </c>
      <c r="I253" s="349"/>
      <c r="J253" s="340"/>
      <c r="K253" s="341"/>
      <c r="L253" s="341"/>
      <c r="M253" s="341"/>
      <c r="N253" s="342"/>
      <c r="P253" s="18">
        <f t="shared" si="10"/>
        <v>0</v>
      </c>
      <c r="Q253" s="338"/>
      <c r="R253" s="344"/>
      <c r="S253" s="344"/>
      <c r="T253" s="344"/>
      <c r="U253" s="475"/>
    </row>
    <row r="254" spans="2:22" s="76" customFormat="1" ht="27" customHeight="1" x14ac:dyDescent="0.25">
      <c r="B254" s="345"/>
      <c r="C254" s="480" t="s">
        <v>67</v>
      </c>
      <c r="D254" s="400" t="str">
        <f>HLOOKUP(Deckblatt!$C$12,Language!$C$1:$D$730,398,FALSE)</f>
        <v>CIRCULAR ECONOMY BONUS – ANGEBOTE FÜR DIE TÄGLICHE VERSORGUNG UND ZUM AUSTAUSCH</v>
      </c>
      <c r="E254" s="401"/>
      <c r="F254" s="347"/>
      <c r="G254" s="113"/>
      <c r="H254" s="75">
        <v>10</v>
      </c>
      <c r="I254" s="349"/>
      <c r="J254" s="340"/>
      <c r="K254" s="341"/>
      <c r="L254" s="341"/>
      <c r="M254" s="341"/>
      <c r="N254" s="342"/>
      <c r="P254" s="18">
        <f t="shared" si="10"/>
        <v>0</v>
      </c>
      <c r="Q254" s="338"/>
      <c r="R254" s="344"/>
      <c r="S254" s="344"/>
      <c r="T254" s="344"/>
      <c r="U254" s="475"/>
      <c r="V254" s="183"/>
    </row>
    <row r="255" spans="2:22" ht="79.8" thickBot="1" x14ac:dyDescent="0.3">
      <c r="B255" s="377"/>
      <c r="C255" s="486"/>
      <c r="D255" s="121" t="s">
        <v>69</v>
      </c>
      <c r="E255"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255" s="378"/>
      <c r="G255" s="70"/>
      <c r="H255" s="59">
        <v>10</v>
      </c>
      <c r="I255" s="380"/>
      <c r="J255" s="340"/>
      <c r="K255" s="341"/>
      <c r="L255" s="341"/>
      <c r="M255" s="341"/>
      <c r="N255" s="342"/>
      <c r="P255" s="18">
        <f t="shared" si="10"/>
        <v>0</v>
      </c>
      <c r="Q255" s="339"/>
      <c r="R255" s="365"/>
      <c r="S255" s="365"/>
      <c r="T255" s="365"/>
      <c r="U255" s="475"/>
    </row>
    <row r="256" spans="2:22" x14ac:dyDescent="0.25">
      <c r="B256" s="49" t="s">
        <v>378</v>
      </c>
      <c r="C256" s="395" t="str">
        <f>HLOOKUP(Deckblatt!$C$12,Language!$C$1:$D$730,400,FALSE)</f>
        <v>Energieinfrastruktur</v>
      </c>
      <c r="D256" s="396"/>
      <c r="E256" s="397"/>
      <c r="F256" s="62">
        <f>Q256</f>
        <v>0</v>
      </c>
      <c r="G256" s="487"/>
      <c r="H256" s="136">
        <v>120</v>
      </c>
      <c r="I256" s="178">
        <v>5</v>
      </c>
      <c r="J256" s="340"/>
      <c r="K256" s="341"/>
      <c r="L256" s="341"/>
      <c r="M256" s="341"/>
      <c r="N256" s="342"/>
      <c r="P256" s="18">
        <f t="shared" si="10"/>
        <v>0</v>
      </c>
      <c r="Q256" s="337">
        <f>SUM(P258:P262,P264,P266,P268,P270,P272,P274)</f>
        <v>0</v>
      </c>
      <c r="R256" s="343">
        <f>Q256/100</f>
        <v>0</v>
      </c>
      <c r="S256" s="474">
        <v>0.2</v>
      </c>
      <c r="T256" s="343">
        <f>IF((R256*I256+R275*I275+R302*I302+R315*I315+R341*I341)/(I256+I275+I302+I315+I341)&gt;1,1,(R256*I256+R275*I275+R302*I302+R315*I315+R341*I341)/(I256+I275+I302+I315+I341))</f>
        <v>0</v>
      </c>
      <c r="U256" s="475"/>
    </row>
    <row r="257" spans="2:21" ht="13.2" customHeight="1" x14ac:dyDescent="0.25">
      <c r="B257" s="345"/>
      <c r="C257" s="359" t="s">
        <v>54</v>
      </c>
      <c r="D257" s="352" t="str">
        <f>HLOOKUP(Deckblatt!$C$12,Language!$C$1:$D$730,401,FALSE)</f>
        <v>Integrales Energiekonzept</v>
      </c>
      <c r="E257" s="353"/>
      <c r="F257" s="363"/>
      <c r="G257" s="374"/>
      <c r="H257" s="21">
        <v>20</v>
      </c>
      <c r="I257" s="379"/>
      <c r="J257" s="340"/>
      <c r="K257" s="341"/>
      <c r="L257" s="341"/>
      <c r="M257" s="341"/>
      <c r="N257" s="342"/>
      <c r="P257" s="18">
        <f t="shared" si="10"/>
        <v>0</v>
      </c>
      <c r="Q257" s="338"/>
      <c r="R257" s="344"/>
      <c r="S257" s="474"/>
      <c r="T257" s="344"/>
      <c r="U257" s="475"/>
    </row>
    <row r="258" spans="2:21" ht="21" customHeight="1" x14ac:dyDescent="0.25">
      <c r="B258" s="346"/>
      <c r="C258" s="390"/>
      <c r="D258" s="71" t="s">
        <v>58</v>
      </c>
      <c r="E258" s="229" t="str">
        <f>HLOOKUP(Deckblatt!$C$12,Language!$C$1:$D$730,402,FALSE)</f>
        <v xml:space="preserve">Energiebedarf
</v>
      </c>
      <c r="F258" s="363"/>
      <c r="G258" s="69"/>
      <c r="H258" s="18">
        <v>3</v>
      </c>
      <c r="I258" s="379"/>
      <c r="J258" s="340"/>
      <c r="K258" s="341"/>
      <c r="L258" s="341"/>
      <c r="M258" s="341"/>
      <c r="N258" s="342"/>
      <c r="P258" s="18">
        <f t="shared" si="10"/>
        <v>0</v>
      </c>
      <c r="Q258" s="338"/>
      <c r="R258" s="344"/>
      <c r="S258" s="474"/>
      <c r="T258" s="344"/>
      <c r="U258" s="475"/>
    </row>
    <row r="259" spans="2:21" ht="21" customHeight="1" x14ac:dyDescent="0.25">
      <c r="B259" s="346"/>
      <c r="C259" s="390"/>
      <c r="D259" s="71" t="s">
        <v>181</v>
      </c>
      <c r="E259" s="229" t="str">
        <f>HLOOKUP(Deckblatt!$C$12,Language!$C$1:$D$730,403,FALSE)</f>
        <v>Energiepotential</v>
      </c>
      <c r="F259" s="363"/>
      <c r="G259" s="69"/>
      <c r="H259" s="18">
        <v>7</v>
      </c>
      <c r="I259" s="379"/>
      <c r="J259" s="340"/>
      <c r="K259" s="341"/>
      <c r="L259" s="341"/>
      <c r="M259" s="341"/>
      <c r="N259" s="342"/>
      <c r="P259" s="18">
        <f t="shared" si="10"/>
        <v>0</v>
      </c>
      <c r="Q259" s="338"/>
      <c r="R259" s="344"/>
      <c r="S259" s="474"/>
      <c r="T259" s="344"/>
      <c r="U259" s="475"/>
    </row>
    <row r="260" spans="2:21" ht="21" customHeight="1" x14ac:dyDescent="0.25">
      <c r="B260" s="346"/>
      <c r="C260" s="390"/>
      <c r="D260" s="71" t="s">
        <v>246</v>
      </c>
      <c r="E260" s="229" t="str">
        <f>HLOOKUP(Deckblatt!$C$12,Language!$C$1:$D$730,404,FALSE)</f>
        <v xml:space="preserve">Energiebilanz
</v>
      </c>
      <c r="F260" s="363"/>
      <c r="G260" s="69"/>
      <c r="H260" s="18">
        <v>2</v>
      </c>
      <c r="I260" s="379"/>
      <c r="J260" s="340"/>
      <c r="K260" s="341"/>
      <c r="L260" s="341"/>
      <c r="M260" s="341"/>
      <c r="N260" s="342"/>
      <c r="P260" s="18">
        <f t="shared" si="10"/>
        <v>0</v>
      </c>
      <c r="Q260" s="338"/>
      <c r="R260" s="344"/>
      <c r="S260" s="474"/>
      <c r="T260" s="344"/>
      <c r="U260" s="475"/>
    </row>
    <row r="261" spans="2:21" ht="21" customHeight="1" x14ac:dyDescent="0.25">
      <c r="B261" s="346"/>
      <c r="C261" s="390"/>
      <c r="D261" s="71" t="s">
        <v>250</v>
      </c>
      <c r="E261" s="229" t="str">
        <f>HLOOKUP(Deckblatt!$C$12,Language!$C$1:$D$730,405,FALSE)</f>
        <v xml:space="preserve">Energieversorgungsvarianten
</v>
      </c>
      <c r="F261" s="363"/>
      <c r="G261" s="69"/>
      <c r="H261" s="18">
        <v>4</v>
      </c>
      <c r="I261" s="379"/>
      <c r="J261" s="340"/>
      <c r="K261" s="341"/>
      <c r="L261" s="341"/>
      <c r="M261" s="341"/>
      <c r="N261" s="342"/>
      <c r="P261" s="18">
        <f t="shared" si="10"/>
        <v>0</v>
      </c>
      <c r="Q261" s="338"/>
      <c r="R261" s="344"/>
      <c r="S261" s="474"/>
      <c r="T261" s="344"/>
      <c r="U261" s="475"/>
    </row>
    <row r="262" spans="2:21" ht="21" customHeight="1" x14ac:dyDescent="0.25">
      <c r="B262" s="346"/>
      <c r="C262" s="360"/>
      <c r="D262" s="71" t="s">
        <v>121</v>
      </c>
      <c r="E262" s="229" t="str">
        <f>HLOOKUP(Deckblatt!$C$12,Language!$C$1:$D$730,406,FALSE)</f>
        <v xml:space="preserve">Investitionen und Betriebskosten
</v>
      </c>
      <c r="F262" s="363"/>
      <c r="G262" s="69"/>
      <c r="H262" s="18">
        <v>4</v>
      </c>
      <c r="I262" s="379"/>
      <c r="J262" s="340"/>
      <c r="K262" s="341"/>
      <c r="L262" s="341"/>
      <c r="M262" s="341"/>
      <c r="N262" s="342"/>
      <c r="P262" s="18">
        <f t="shared" si="10"/>
        <v>0</v>
      </c>
      <c r="Q262" s="338"/>
      <c r="R262" s="344"/>
      <c r="S262" s="474"/>
      <c r="T262" s="344"/>
      <c r="U262" s="475"/>
    </row>
    <row r="263" spans="2:21" ht="13.2" customHeight="1" x14ac:dyDescent="0.25">
      <c r="B263" s="346"/>
      <c r="C263" s="351" t="s">
        <v>64</v>
      </c>
      <c r="D263" s="352" t="str">
        <f>HLOOKUP(Deckblatt!$C$12,Language!$C$1:$D$730,409,FALSE)</f>
        <v>Nutzung von Synergien</v>
      </c>
      <c r="E263" s="353"/>
      <c r="F263" s="363"/>
      <c r="G263" s="113"/>
      <c r="H263" s="21">
        <v>40</v>
      </c>
      <c r="I263" s="379"/>
      <c r="J263" s="340"/>
      <c r="K263" s="341"/>
      <c r="L263" s="341"/>
      <c r="M263" s="341"/>
      <c r="N263" s="342"/>
      <c r="P263" s="18">
        <f t="shared" si="10"/>
        <v>0</v>
      </c>
      <c r="Q263" s="338"/>
      <c r="R263" s="344"/>
      <c r="S263" s="474"/>
      <c r="T263" s="344"/>
      <c r="U263" s="475"/>
    </row>
    <row r="264" spans="2:21" ht="52.8" x14ac:dyDescent="0.25">
      <c r="B264" s="346"/>
      <c r="C264" s="351"/>
      <c r="D264" s="71" t="s">
        <v>66</v>
      </c>
      <c r="E264" s="134" t="str">
        <f>HLOOKUP(Deckblatt!$C$12,Language!$C$1:$D$730,410,FALSE)</f>
        <v xml:space="preserve">Synergien und Energiekreisläufe
Durch die gemeinsame Planung von Gebäuden und Anlagen werden integrale Energiekreisläufe für Strom,  Wärme und Kälte in signifikantem  Umfang geschaffen. </v>
      </c>
      <c r="F264" s="363"/>
      <c r="G264" s="69"/>
      <c r="H264" s="18">
        <v>30</v>
      </c>
      <c r="I264" s="379"/>
      <c r="J264" s="340"/>
      <c r="K264" s="341"/>
      <c r="L264" s="341"/>
      <c r="M264" s="341"/>
      <c r="N264" s="342"/>
      <c r="P264" s="18">
        <f t="shared" si="10"/>
        <v>0</v>
      </c>
      <c r="Q264" s="338"/>
      <c r="R264" s="344"/>
      <c r="S264" s="474"/>
      <c r="T264" s="344"/>
      <c r="U264" s="475"/>
    </row>
    <row r="265" spans="2:21" ht="30.6" customHeight="1" x14ac:dyDescent="0.25">
      <c r="B265" s="346"/>
      <c r="C265" s="351"/>
      <c r="D265" s="398" t="s">
        <v>188</v>
      </c>
      <c r="E265" s="54" t="str">
        <f>HLOOKUP(Deckblatt!$C$12,Language!$C$1:$D$730,411,FALSE)</f>
        <v>AGENDA 2030 BONUS – NUTZUNG ERNEUERBARER ENERGIETRÄGER UND ENERGIEERZEUGUNG</v>
      </c>
      <c r="F265" s="363"/>
      <c r="G265" s="113"/>
      <c r="H265" s="21">
        <v>10</v>
      </c>
      <c r="I265" s="379"/>
      <c r="J265" s="340"/>
      <c r="K265" s="341"/>
      <c r="L265" s="341"/>
      <c r="M265" s="341"/>
      <c r="N265" s="342"/>
      <c r="P265" s="18">
        <f t="shared" si="10"/>
        <v>0</v>
      </c>
      <c r="Q265" s="338"/>
      <c r="R265" s="344"/>
      <c r="S265" s="474"/>
      <c r="T265" s="344"/>
      <c r="U265" s="475"/>
    </row>
    <row r="266" spans="2:21" ht="105.6" x14ac:dyDescent="0.25">
      <c r="B266" s="346"/>
      <c r="C266" s="351"/>
      <c r="D266" s="399"/>
      <c r="E266"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266" s="363"/>
      <c r="G266" s="69"/>
      <c r="H266" s="18">
        <v>10</v>
      </c>
      <c r="I266" s="379"/>
      <c r="J266" s="340"/>
      <c r="K266" s="341"/>
      <c r="L266" s="341"/>
      <c r="M266" s="341"/>
      <c r="N266" s="342"/>
      <c r="P266" s="18">
        <f t="shared" si="10"/>
        <v>0</v>
      </c>
      <c r="Q266" s="338"/>
      <c r="R266" s="344"/>
      <c r="S266" s="474"/>
      <c r="T266" s="344"/>
      <c r="U266" s="475"/>
    </row>
    <row r="267" spans="2:21" ht="13.2" customHeight="1" x14ac:dyDescent="0.25">
      <c r="B267" s="346"/>
      <c r="C267" s="369" t="s">
        <v>154</v>
      </c>
      <c r="D267" s="352" t="str">
        <f>HLOOKUP(Deckblatt!$C$12,Language!$C$1:$D$730,415,FALSE)</f>
        <v>Lastmanagement</v>
      </c>
      <c r="E267" s="353"/>
      <c r="F267" s="363"/>
      <c r="G267" s="113"/>
      <c r="H267" s="21">
        <v>10</v>
      </c>
      <c r="I267" s="379"/>
      <c r="J267" s="340"/>
      <c r="K267" s="341"/>
      <c r="L267" s="341"/>
      <c r="M267" s="341"/>
      <c r="N267" s="342"/>
      <c r="P267" s="18">
        <f t="shared" ref="P267:P272" si="11">IF(G267&gt;H267,H267,G267)</f>
        <v>0</v>
      </c>
      <c r="Q267" s="338"/>
      <c r="R267" s="344"/>
      <c r="S267" s="474"/>
      <c r="T267" s="344"/>
      <c r="U267" s="475"/>
    </row>
    <row r="268" spans="2:21" ht="52.8" x14ac:dyDescent="0.25">
      <c r="B268" s="346"/>
      <c r="C268" s="479"/>
      <c r="D268" s="71" t="s">
        <v>156</v>
      </c>
      <c r="E268" s="134" t="str">
        <f>HLOOKUP(Deckblatt!$C$12,Language!$C$1:$D$730,416,FALSE)</f>
        <v xml:space="preserve">Lastmanagement auf Quartierebene
Es wurde ein Lastmanagement auf Ebene des Quartiers bzw. für große Verbraucher eingeführt.
</v>
      </c>
      <c r="F268" s="363"/>
      <c r="G268" s="69"/>
      <c r="H268" s="18">
        <v>10</v>
      </c>
      <c r="I268" s="379"/>
      <c r="J268" s="340"/>
      <c r="K268" s="341"/>
      <c r="L268" s="341"/>
      <c r="M268" s="341"/>
      <c r="N268" s="342"/>
      <c r="P268" s="18">
        <f t="shared" si="11"/>
        <v>0</v>
      </c>
      <c r="Q268" s="338"/>
      <c r="R268" s="344"/>
      <c r="S268" s="474"/>
      <c r="T268" s="344"/>
      <c r="U268" s="475"/>
    </row>
    <row r="269" spans="2:21" ht="13.2" customHeight="1" x14ac:dyDescent="0.25">
      <c r="B269" s="346"/>
      <c r="C269" s="390" t="s">
        <v>157</v>
      </c>
      <c r="D269" s="352" t="str">
        <f>HLOOKUP(Deckblatt!$C$12,Language!$C$1:$D$730,417,FALSE)</f>
        <v>Energieerzeugung im Quartier</v>
      </c>
      <c r="E269" s="353"/>
      <c r="F269" s="363"/>
      <c r="G269" s="113"/>
      <c r="H269" s="21">
        <v>40</v>
      </c>
      <c r="I269" s="379"/>
      <c r="J269" s="340"/>
      <c r="K269" s="341"/>
      <c r="L269" s="341"/>
      <c r="M269" s="341"/>
      <c r="N269" s="342"/>
      <c r="P269" s="18">
        <f t="shared" si="11"/>
        <v>0</v>
      </c>
      <c r="Q269" s="338"/>
      <c r="R269" s="344"/>
      <c r="S269" s="474"/>
      <c r="T269" s="344"/>
      <c r="U269" s="475"/>
    </row>
    <row r="270" spans="2:21" ht="52.8" x14ac:dyDescent="0.25">
      <c r="B270" s="346"/>
      <c r="C270" s="390"/>
      <c r="D270" s="71" t="s">
        <v>159</v>
      </c>
      <c r="E270" s="134" t="str">
        <f>HLOOKUP(Deckblatt!$C$12,Language!$C$1:$D$730,418,FALSE)</f>
        <v xml:space="preserve">Nutzung der Dachflächen zur Energiegewinnung
Prozentualer Anteil der Dachflächen die zur regenerative Energieerzeugung genutzt werden
</v>
      </c>
      <c r="F270" s="363"/>
      <c r="G270" s="69"/>
      <c r="H270" s="18">
        <v>30</v>
      </c>
      <c r="I270" s="379"/>
      <c r="J270" s="340"/>
      <c r="K270" s="341"/>
      <c r="L270" s="341"/>
      <c r="M270" s="341"/>
      <c r="N270" s="342"/>
      <c r="P270" s="18">
        <f t="shared" si="11"/>
        <v>0</v>
      </c>
      <c r="Q270" s="338"/>
      <c r="R270" s="344"/>
      <c r="S270" s="474"/>
      <c r="T270" s="344"/>
      <c r="U270" s="475"/>
    </row>
    <row r="271" spans="2:21" ht="31.95" customHeight="1" x14ac:dyDescent="0.25">
      <c r="B271" s="346"/>
      <c r="C271" s="390"/>
      <c r="D271" s="398" t="s">
        <v>160</v>
      </c>
      <c r="E271" s="54" t="str">
        <f>HLOOKUP(Deckblatt!$C$12,Language!$C$1:$D$730,419,FALSE)</f>
        <v>AGENDA 2030 BONUS – NUTZUNG DER FASSADENFLÄCHEN ZUR ENERGIEGEWINNUNG</v>
      </c>
      <c r="F271" s="363"/>
      <c r="G271" s="113"/>
      <c r="H271" s="21">
        <v>10</v>
      </c>
      <c r="I271" s="379"/>
      <c r="J271" s="340"/>
      <c r="K271" s="341"/>
      <c r="L271" s="341"/>
      <c r="M271" s="341"/>
      <c r="N271" s="342"/>
      <c r="P271" s="18">
        <f t="shared" si="11"/>
        <v>0</v>
      </c>
      <c r="Q271" s="338"/>
      <c r="R271" s="344"/>
      <c r="S271" s="474"/>
      <c r="T271" s="344"/>
      <c r="U271" s="475"/>
    </row>
    <row r="272" spans="2:21" ht="75.599999999999994" customHeight="1" x14ac:dyDescent="0.25">
      <c r="B272" s="346"/>
      <c r="C272" s="360"/>
      <c r="D272" s="399"/>
      <c r="E272"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272" s="363"/>
      <c r="G272" s="69"/>
      <c r="H272" s="18">
        <v>10</v>
      </c>
      <c r="I272" s="379"/>
      <c r="J272" s="340"/>
      <c r="K272" s="341"/>
      <c r="L272" s="341"/>
      <c r="M272" s="341"/>
      <c r="N272" s="342"/>
      <c r="P272" s="18">
        <f t="shared" si="11"/>
        <v>0</v>
      </c>
      <c r="Q272" s="338"/>
      <c r="R272" s="344"/>
      <c r="S272" s="474"/>
      <c r="T272" s="344"/>
      <c r="U272" s="475"/>
    </row>
    <row r="273" spans="2:21" ht="13.2" customHeight="1" x14ac:dyDescent="0.25">
      <c r="B273" s="346"/>
      <c r="C273" s="369" t="s">
        <v>282</v>
      </c>
      <c r="D273" s="352" t="str">
        <f>HLOOKUP(Deckblatt!$C$12,Language!$C$1:$D$730,421,FALSE)</f>
        <v>Passive Systeme</v>
      </c>
      <c r="E273" s="353"/>
      <c r="F273" s="363"/>
      <c r="G273" s="113"/>
      <c r="H273" s="21">
        <v>10</v>
      </c>
      <c r="I273" s="379"/>
      <c r="J273" s="340"/>
      <c r="K273" s="341"/>
      <c r="L273" s="341"/>
      <c r="M273" s="341"/>
      <c r="N273" s="342"/>
      <c r="P273" s="18">
        <f t="shared" si="10"/>
        <v>0</v>
      </c>
      <c r="Q273" s="338"/>
      <c r="R273" s="344"/>
      <c r="S273" s="474"/>
      <c r="T273" s="344"/>
      <c r="U273" s="475"/>
    </row>
    <row r="274" spans="2:21" ht="26.4" x14ac:dyDescent="0.25">
      <c r="B274" s="346"/>
      <c r="C274" s="390"/>
      <c r="D274" s="71" t="s">
        <v>284</v>
      </c>
      <c r="E274" s="229" t="str">
        <f>HLOOKUP(Deckblatt!$C$12,Language!$C$1:$D$730,422,FALSE)</f>
        <v xml:space="preserve">Planung passiver Gebäudekonzepte
</v>
      </c>
      <c r="F274" s="363"/>
      <c r="G274" s="69"/>
      <c r="H274" s="18">
        <v>10</v>
      </c>
      <c r="I274" s="379"/>
      <c r="J274" s="340"/>
      <c r="K274" s="341"/>
      <c r="L274" s="341"/>
      <c r="M274" s="341"/>
      <c r="N274" s="342"/>
      <c r="P274" s="18">
        <f t="shared" si="10"/>
        <v>0</v>
      </c>
      <c r="Q274" s="338"/>
      <c r="R274" s="344"/>
      <c r="S274" s="474"/>
      <c r="T274" s="344"/>
      <c r="U274" s="475"/>
    </row>
    <row r="275" spans="2:21" x14ac:dyDescent="0.25">
      <c r="B275" s="55" t="s">
        <v>391</v>
      </c>
      <c r="C275" s="354" t="str">
        <f>HLOOKUP(Deckblatt!$C$12,Language!$C$1:$D$730,423,FALSE)</f>
        <v>Wertstoffmanagement</v>
      </c>
      <c r="D275" s="354"/>
      <c r="E275" s="355"/>
      <c r="F275" s="66">
        <f>Q275</f>
        <v>0</v>
      </c>
      <c r="G275" s="364"/>
      <c r="H275" s="21">
        <v>130</v>
      </c>
      <c r="I275" s="176">
        <v>3</v>
      </c>
      <c r="J275" s="340"/>
      <c r="K275" s="341"/>
      <c r="L275" s="341"/>
      <c r="M275" s="341"/>
      <c r="N275" s="342"/>
      <c r="P275" s="18">
        <f t="shared" si="10"/>
        <v>0</v>
      </c>
      <c r="Q275" s="337">
        <f>SUM(P277:P284,P286:P290,P292,P295:P298,P300:P301)</f>
        <v>0</v>
      </c>
      <c r="R275" s="490">
        <f>Q275/100</f>
        <v>0</v>
      </c>
      <c r="S275" s="474"/>
      <c r="T275" s="344"/>
      <c r="U275" s="475"/>
    </row>
    <row r="276" spans="2:21" ht="13.2" customHeight="1" x14ac:dyDescent="0.25">
      <c r="B276" s="375"/>
      <c r="C276" s="359" t="s">
        <v>54</v>
      </c>
      <c r="D276" s="352" t="str">
        <f>HLOOKUP(Deckblatt!$C$12,Language!$C$1:$D$730,424,FALSE)</f>
        <v>Konzept für Wertstoffnutzung</v>
      </c>
      <c r="E276" s="353"/>
      <c r="F276" s="363"/>
      <c r="G276" s="364"/>
      <c r="H276" s="21">
        <v>22</v>
      </c>
      <c r="I276" s="379"/>
      <c r="J276" s="340"/>
      <c r="K276" s="341"/>
      <c r="L276" s="341"/>
      <c r="M276" s="341"/>
      <c r="N276" s="342"/>
      <c r="P276" s="18">
        <f t="shared" si="10"/>
        <v>0</v>
      </c>
      <c r="Q276" s="338"/>
      <c r="R276" s="491"/>
      <c r="S276" s="474"/>
      <c r="T276" s="344"/>
      <c r="U276" s="475"/>
    </row>
    <row r="277" spans="2:21" ht="26.4" x14ac:dyDescent="0.25">
      <c r="B277" s="375"/>
      <c r="C277" s="390"/>
      <c r="D277" s="71" t="s">
        <v>58</v>
      </c>
      <c r="E277" s="134" t="str">
        <f>HLOOKUP(Deckblatt!$C$12,Language!$C$1:$D$730,425,FALSE)</f>
        <v xml:space="preserve">Konzept Wertstoffnutzung
</v>
      </c>
      <c r="F277" s="363"/>
      <c r="G277" s="69"/>
      <c r="H277" s="18">
        <v>10</v>
      </c>
      <c r="I277" s="379"/>
      <c r="J277" s="340"/>
      <c r="K277" s="341"/>
      <c r="L277" s="341"/>
      <c r="M277" s="341"/>
      <c r="N277" s="342"/>
      <c r="P277" s="18">
        <f t="shared" si="10"/>
        <v>0</v>
      </c>
      <c r="Q277" s="338"/>
      <c r="R277" s="491"/>
      <c r="S277" s="474"/>
      <c r="T277" s="344"/>
      <c r="U277" s="475"/>
    </row>
    <row r="278" spans="2:21" ht="26.4" x14ac:dyDescent="0.25">
      <c r="B278" s="375"/>
      <c r="C278" s="390"/>
      <c r="D278" s="71" t="s">
        <v>181</v>
      </c>
      <c r="E278" s="134" t="str">
        <f>HLOOKUP(Deckblatt!$C$12,Language!$C$1:$D$730,426,FALSE)</f>
        <v xml:space="preserve">Abfallvermeidung und Abfallverwertung
</v>
      </c>
      <c r="F278" s="363"/>
      <c r="G278" s="69"/>
      <c r="H278" s="18">
        <v>4</v>
      </c>
      <c r="I278" s="379"/>
      <c r="J278" s="340"/>
      <c r="K278" s="341"/>
      <c r="L278" s="341"/>
      <c r="M278" s="341"/>
      <c r="N278" s="342"/>
      <c r="P278" s="18">
        <f t="shared" si="10"/>
        <v>0</v>
      </c>
      <c r="Q278" s="338"/>
      <c r="R278" s="491"/>
      <c r="S278" s="474"/>
      <c r="T278" s="344"/>
      <c r="U278" s="475"/>
    </row>
    <row r="279" spans="2:21" ht="26.4" x14ac:dyDescent="0.25">
      <c r="B279" s="375"/>
      <c r="C279" s="390"/>
      <c r="D279" s="71" t="s">
        <v>246</v>
      </c>
      <c r="E279" s="134" t="str">
        <f>HLOOKUP(Deckblatt!$C$12,Language!$C$1:$D$730,427,FALSE)</f>
        <v xml:space="preserve">Methoden, Anlagen und Einrichtungen
</v>
      </c>
      <c r="F279" s="363"/>
      <c r="G279" s="69"/>
      <c r="H279" s="18">
        <v>2</v>
      </c>
      <c r="I279" s="379"/>
      <c r="J279" s="340"/>
      <c r="K279" s="341"/>
      <c r="L279" s="341"/>
      <c r="M279" s="341"/>
      <c r="N279" s="342"/>
      <c r="P279" s="18">
        <f t="shared" si="10"/>
        <v>0</v>
      </c>
      <c r="Q279" s="338"/>
      <c r="R279" s="491"/>
      <c r="S279" s="474"/>
      <c r="T279" s="344"/>
      <c r="U279" s="475"/>
    </row>
    <row r="280" spans="2:21" ht="26.4" x14ac:dyDescent="0.25">
      <c r="B280" s="375"/>
      <c r="C280" s="390"/>
      <c r="D280" s="71" t="s">
        <v>250</v>
      </c>
      <c r="E280" s="134" t="str">
        <f>HLOOKUP(Deckblatt!$C$12,Language!$C$1:$D$730,428,FALSE)</f>
        <v xml:space="preserve">Laufzeit Abfallentsorgungsanlage
</v>
      </c>
      <c r="F280" s="363"/>
      <c r="G280" s="69"/>
      <c r="H280" s="18">
        <v>2</v>
      </c>
      <c r="I280" s="379"/>
      <c r="J280" s="340"/>
      <c r="K280" s="341"/>
      <c r="L280" s="341"/>
      <c r="M280" s="341"/>
      <c r="N280" s="342"/>
      <c r="P280" s="18">
        <f t="shared" si="10"/>
        <v>0</v>
      </c>
      <c r="Q280" s="338"/>
      <c r="R280" s="491"/>
      <c r="S280" s="474"/>
      <c r="T280" s="344"/>
      <c r="U280" s="475"/>
    </row>
    <row r="281" spans="2:21" ht="26.4" x14ac:dyDescent="0.25">
      <c r="B281" s="375"/>
      <c r="C281" s="390"/>
      <c r="D281" s="71" t="s">
        <v>121</v>
      </c>
      <c r="E281" s="134" t="str">
        <f>HLOOKUP(Deckblatt!$C$12,Language!$C$1:$D$730,429,FALSE)</f>
        <v xml:space="preserve">Maßnahmen, Zeitpläne, Standorte
</v>
      </c>
      <c r="F281" s="363"/>
      <c r="G281" s="69"/>
      <c r="H281" s="18">
        <v>2</v>
      </c>
      <c r="I281" s="379"/>
      <c r="J281" s="340"/>
      <c r="K281" s="341"/>
      <c r="L281" s="341"/>
      <c r="M281" s="341"/>
      <c r="N281" s="342"/>
      <c r="P281" s="18">
        <f t="shared" si="10"/>
        <v>0</v>
      </c>
      <c r="Q281" s="338"/>
      <c r="R281" s="491"/>
      <c r="S281" s="474"/>
      <c r="T281" s="344"/>
      <c r="U281" s="475"/>
    </row>
    <row r="282" spans="2:21" ht="26.4" x14ac:dyDescent="0.25">
      <c r="B282" s="375"/>
      <c r="C282" s="360"/>
      <c r="D282" s="71" t="s">
        <v>824</v>
      </c>
      <c r="E282" s="134" t="str">
        <f>HLOOKUP(Deckblatt!$C$12,Language!$C$1:$D$730,430,FALSE)</f>
        <v xml:space="preserve">Darstellung Entsorgungsträger
</v>
      </c>
      <c r="F282" s="363"/>
      <c r="G282" s="69"/>
      <c r="H282" s="18">
        <v>2</v>
      </c>
      <c r="I282" s="379"/>
      <c r="J282" s="340"/>
      <c r="K282" s="341"/>
      <c r="L282" s="341"/>
      <c r="M282" s="341"/>
      <c r="N282" s="342"/>
      <c r="P282" s="18">
        <f t="shared" si="10"/>
        <v>0</v>
      </c>
      <c r="Q282" s="338"/>
      <c r="R282" s="491"/>
      <c r="S282" s="474"/>
      <c r="T282" s="344"/>
      <c r="U282" s="475"/>
    </row>
    <row r="283" spans="2:21" ht="13.2" customHeight="1" x14ac:dyDescent="0.25">
      <c r="B283" s="375"/>
      <c r="C283" s="369" t="s">
        <v>61</v>
      </c>
      <c r="D283" s="352" t="str">
        <f>HLOOKUP(Deckblatt!$C$12,Language!$C$1:$D$730,431,FALSE)</f>
        <v>Abfallmanagement</v>
      </c>
      <c r="E283" s="353"/>
      <c r="F283" s="363"/>
      <c r="G283" s="113"/>
      <c r="H283" s="21">
        <v>10</v>
      </c>
      <c r="I283" s="379"/>
      <c r="J283" s="340"/>
      <c r="K283" s="341"/>
      <c r="L283" s="341"/>
      <c r="M283" s="341"/>
      <c r="N283" s="342"/>
      <c r="P283" s="18">
        <f t="shared" si="10"/>
        <v>0</v>
      </c>
      <c r="Q283" s="338"/>
      <c r="R283" s="491"/>
      <c r="S283" s="474"/>
      <c r="T283" s="344"/>
      <c r="U283" s="475"/>
    </row>
    <row r="284" spans="2:21" ht="39.6" x14ac:dyDescent="0.25">
      <c r="B284" s="375"/>
      <c r="C284" s="360"/>
      <c r="D284" s="71" t="s">
        <v>63</v>
      </c>
      <c r="E284" s="134" t="str">
        <f>HLOOKUP(Deckblatt!$C$12,Language!$C$1:$D$730,432,FALSE)</f>
        <v xml:space="preserve">Zentrales Abfallmanagement
Es gibt ein quartiersbezogenes zentrales Abfallmanagement.
</v>
      </c>
      <c r="F284" s="363"/>
      <c r="G284" s="69"/>
      <c r="H284" s="18">
        <v>10</v>
      </c>
      <c r="I284" s="379"/>
      <c r="J284" s="340"/>
      <c r="K284" s="341"/>
      <c r="L284" s="341"/>
      <c r="M284" s="341"/>
      <c r="N284" s="342"/>
      <c r="P284" s="18">
        <f t="shared" si="10"/>
        <v>0</v>
      </c>
      <c r="Q284" s="338"/>
      <c r="R284" s="491"/>
      <c r="S284" s="474"/>
      <c r="T284" s="344"/>
      <c r="U284" s="475"/>
    </row>
    <row r="285" spans="2:21" ht="13.2" customHeight="1" x14ac:dyDescent="0.25">
      <c r="B285" s="375"/>
      <c r="C285" s="351" t="s">
        <v>64</v>
      </c>
      <c r="D285" s="352" t="str">
        <f>HLOOKUP(Deckblatt!$C$12,Language!$C$1:$D$730,433,FALSE)</f>
        <v>Abfallvermeidung</v>
      </c>
      <c r="E285" s="353"/>
      <c r="F285" s="363"/>
      <c r="G285" s="113"/>
      <c r="H285" s="21">
        <v>32</v>
      </c>
      <c r="I285" s="379"/>
      <c r="J285" s="340"/>
      <c r="K285" s="341"/>
      <c r="L285" s="341"/>
      <c r="M285" s="341"/>
      <c r="N285" s="342"/>
      <c r="P285" s="18">
        <f t="shared" si="10"/>
        <v>0</v>
      </c>
      <c r="Q285" s="338"/>
      <c r="R285" s="491"/>
      <c r="S285" s="474"/>
      <c r="T285" s="344"/>
      <c r="U285" s="475"/>
    </row>
    <row r="286" spans="2:21" ht="26.4" x14ac:dyDescent="0.25">
      <c r="B286" s="375"/>
      <c r="C286" s="351"/>
      <c r="D286" s="71" t="s">
        <v>188</v>
      </c>
      <c r="E286" s="134" t="str">
        <f>HLOOKUP(Deckblatt!$C$12,Language!$C$1:$D$730,435,FALSE)</f>
        <v xml:space="preserve">Quartiersbezogenes Wertstofferfassungssystem
</v>
      </c>
      <c r="F286" s="363"/>
      <c r="G286" s="69"/>
      <c r="H286" s="18">
        <v>7</v>
      </c>
      <c r="I286" s="379"/>
      <c r="J286" s="340"/>
      <c r="K286" s="341"/>
      <c r="L286" s="341"/>
      <c r="M286" s="341"/>
      <c r="N286" s="342"/>
      <c r="P286" s="18">
        <f t="shared" si="10"/>
        <v>0</v>
      </c>
      <c r="Q286" s="338"/>
      <c r="R286" s="491"/>
      <c r="S286" s="474"/>
      <c r="T286" s="344"/>
      <c r="U286" s="475"/>
    </row>
    <row r="287" spans="2:21" ht="26.4" x14ac:dyDescent="0.25">
      <c r="B287" s="375"/>
      <c r="C287" s="351"/>
      <c r="D287" s="71" t="s">
        <v>150</v>
      </c>
      <c r="E287" s="134" t="str">
        <f>HLOOKUP(Deckblatt!$C$12,Language!$C$1:$D$730,436,FALSE)</f>
        <v xml:space="preserve">Maßnahmen zur Verringerung von Verpackungsmüll
</v>
      </c>
      <c r="F287" s="363"/>
      <c r="G287" s="69"/>
      <c r="H287" s="18">
        <v>5</v>
      </c>
      <c r="I287" s="379"/>
      <c r="J287" s="340"/>
      <c r="K287" s="341"/>
      <c r="L287" s="341"/>
      <c r="M287" s="341"/>
      <c r="N287" s="342"/>
      <c r="P287" s="18">
        <f t="shared" si="10"/>
        <v>0</v>
      </c>
      <c r="Q287" s="338"/>
      <c r="R287" s="491"/>
      <c r="S287" s="474"/>
      <c r="T287" s="344"/>
      <c r="U287" s="475"/>
    </row>
    <row r="288" spans="2:21" ht="26.4" x14ac:dyDescent="0.25">
      <c r="B288" s="375"/>
      <c r="C288" s="351"/>
      <c r="D288" s="71" t="s">
        <v>189</v>
      </c>
      <c r="E288" s="134" t="str">
        <f>HLOOKUP(Deckblatt!$C$12,Language!$C$1:$D$730,438,FALSE)</f>
        <v xml:space="preserve">Besucher Informationskampagne
</v>
      </c>
      <c r="F288" s="363"/>
      <c r="G288" s="69"/>
      <c r="H288" s="18">
        <v>5</v>
      </c>
      <c r="I288" s="379"/>
      <c r="J288" s="340"/>
      <c r="K288" s="341"/>
      <c r="L288" s="341"/>
      <c r="M288" s="341"/>
      <c r="N288" s="342"/>
      <c r="P288" s="18">
        <f t="shared" si="10"/>
        <v>0</v>
      </c>
      <c r="Q288" s="338"/>
      <c r="R288" s="491"/>
      <c r="S288" s="474"/>
      <c r="T288" s="344"/>
      <c r="U288" s="475"/>
    </row>
    <row r="289" spans="2:21" ht="26.4" x14ac:dyDescent="0.25">
      <c r="B289" s="375"/>
      <c r="C289" s="351"/>
      <c r="D289" s="71" t="s">
        <v>190</v>
      </c>
      <c r="E289" s="134" t="str">
        <f>HLOOKUP(Deckblatt!$C$12,Language!$C$1:$D$730,439,FALSE)</f>
        <v xml:space="preserve">Schulung der Mitarbeiter
</v>
      </c>
      <c r="F289" s="363"/>
      <c r="G289" s="69"/>
      <c r="H289" s="18">
        <v>5</v>
      </c>
      <c r="I289" s="379"/>
      <c r="J289" s="340"/>
      <c r="K289" s="341"/>
      <c r="L289" s="341"/>
      <c r="M289" s="341"/>
      <c r="N289" s="342"/>
      <c r="P289" s="18">
        <f t="shared" si="10"/>
        <v>0</v>
      </c>
      <c r="Q289" s="338"/>
      <c r="R289" s="491"/>
      <c r="S289" s="474"/>
      <c r="T289" s="344"/>
      <c r="U289" s="475"/>
    </row>
    <row r="290" spans="2:21" ht="60" customHeight="1" x14ac:dyDescent="0.25">
      <c r="B290" s="375"/>
      <c r="C290" s="351"/>
      <c r="D290" s="71" t="s">
        <v>396</v>
      </c>
      <c r="E290" s="68" t="str">
        <f>HLOOKUP(Deckblatt!$C$12,Language!$C$1:$D$730,440,FALSE)</f>
        <v xml:space="preserve">CIRCULAR ECONOMY BONUS – WIEDERVERWENDUNG ODER WERKSTOFFLICHE VERWERTUNG
Es wurden besondere Maßnahmen zur Abfallvermeidung/ zur Reduktion nicht recyclingfähigen Abfällen umgesetzt, die nachweisliche Wirkung gezeigt haben.
</v>
      </c>
      <c r="F290" s="363"/>
      <c r="G290" s="69"/>
      <c r="H290" s="18">
        <v>10</v>
      </c>
      <c r="I290" s="379"/>
      <c r="J290" s="340"/>
      <c r="K290" s="341"/>
      <c r="L290" s="341"/>
      <c r="M290" s="341"/>
      <c r="N290" s="342"/>
      <c r="P290" s="18">
        <f t="shared" si="10"/>
        <v>0</v>
      </c>
      <c r="Q290" s="338"/>
      <c r="R290" s="491"/>
      <c r="S290" s="474"/>
      <c r="T290" s="344"/>
      <c r="U290" s="475"/>
    </row>
    <row r="291" spans="2:21" ht="13.2" customHeight="1" x14ac:dyDescent="0.25">
      <c r="B291" s="375"/>
      <c r="C291" s="351" t="s">
        <v>67</v>
      </c>
      <c r="D291" s="352" t="str">
        <f>HLOOKUP(Deckblatt!$C$12,Language!$C$1:$D$730,441,FALSE)</f>
        <v>Wiederverwendung</v>
      </c>
      <c r="E291" s="353"/>
      <c r="F291" s="363"/>
      <c r="G291" s="113"/>
      <c r="H291" s="21">
        <v>8</v>
      </c>
      <c r="I291" s="379"/>
      <c r="J291" s="340"/>
      <c r="K291" s="341"/>
      <c r="L291" s="341"/>
      <c r="M291" s="341"/>
      <c r="N291" s="342"/>
      <c r="P291" s="18">
        <f t="shared" ref="P291:P353" si="12">IF(G291&gt;H291,H291,G291)</f>
        <v>0</v>
      </c>
      <c r="Q291" s="338"/>
      <c r="R291" s="491"/>
      <c r="S291" s="474"/>
      <c r="T291" s="344"/>
      <c r="U291" s="475"/>
    </row>
    <row r="292" spans="2:21" ht="64.95" customHeight="1" x14ac:dyDescent="0.25">
      <c r="B292" s="375"/>
      <c r="C292" s="351"/>
      <c r="D292" s="71" t="s">
        <v>78</v>
      </c>
      <c r="E292"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292" s="363"/>
      <c r="G292" s="69"/>
      <c r="H292" s="18">
        <v>8</v>
      </c>
      <c r="I292" s="379"/>
      <c r="J292" s="340"/>
      <c r="K292" s="341"/>
      <c r="L292" s="341"/>
      <c r="M292" s="341"/>
      <c r="N292" s="342"/>
      <c r="P292" s="18">
        <f t="shared" si="12"/>
        <v>0</v>
      </c>
      <c r="Q292" s="338"/>
      <c r="R292" s="491"/>
      <c r="S292" s="474"/>
      <c r="T292" s="344"/>
      <c r="U292" s="475"/>
    </row>
    <row r="293" spans="2:21" ht="16.2" customHeight="1" x14ac:dyDescent="0.25">
      <c r="B293" s="375"/>
      <c r="C293" s="359" t="s">
        <v>154</v>
      </c>
      <c r="D293" s="352" t="str">
        <f>HLOOKUP(Deckblatt!$C$12,Language!$C$1:$D$730,444,FALSE)</f>
        <v>Wertstoffrecycling</v>
      </c>
      <c r="E293" s="353"/>
      <c r="F293" s="363"/>
      <c r="G293" s="113"/>
      <c r="H293" s="21">
        <v>38</v>
      </c>
      <c r="I293" s="379"/>
      <c r="J293" s="340"/>
      <c r="K293" s="341"/>
      <c r="L293" s="341"/>
      <c r="M293" s="341"/>
      <c r="N293" s="342"/>
      <c r="P293" s="18">
        <f t="shared" si="12"/>
        <v>0</v>
      </c>
      <c r="Q293" s="338"/>
      <c r="R293" s="491"/>
      <c r="S293" s="474"/>
      <c r="T293" s="344"/>
      <c r="U293" s="475"/>
    </row>
    <row r="294" spans="2:21" ht="25.2" customHeight="1" x14ac:dyDescent="0.25">
      <c r="B294" s="375"/>
      <c r="C294" s="390"/>
      <c r="D294" s="361" t="s">
        <v>218</v>
      </c>
      <c r="E294" s="68" t="str">
        <f>HLOOKUP(Deckblatt!$C$12,Language!$C$1:$D$730,446,FALSE)</f>
        <v>CIRCULAR ECONOMY BONUS – URBAN MINING</v>
      </c>
      <c r="F294" s="363"/>
      <c r="G294" s="113"/>
      <c r="H294" s="21">
        <v>10</v>
      </c>
      <c r="I294" s="379"/>
      <c r="J294" s="340"/>
      <c r="K294" s="341"/>
      <c r="L294" s="341"/>
      <c r="M294" s="341"/>
      <c r="N294" s="342"/>
      <c r="P294" s="18">
        <f t="shared" si="12"/>
        <v>0</v>
      </c>
      <c r="Q294" s="338"/>
      <c r="R294" s="491"/>
      <c r="S294" s="474"/>
      <c r="T294" s="344"/>
      <c r="U294" s="475"/>
    </row>
    <row r="295" spans="2:21" ht="18.600000000000001" customHeight="1" x14ac:dyDescent="0.25">
      <c r="B295" s="375"/>
      <c r="C295" s="390"/>
      <c r="D295" s="361"/>
      <c r="E295" s="134" t="str">
        <f>HLOOKUP(Deckblatt!$C$12,Language!$C$1:$D$730,447,FALSE)</f>
        <v xml:space="preserve">Es gibt ein Urban Mining Konzept für das Quartier
</v>
      </c>
      <c r="F295" s="363"/>
      <c r="G295" s="69"/>
      <c r="H295" s="18">
        <v>5</v>
      </c>
      <c r="I295" s="379"/>
      <c r="J295" s="340"/>
      <c r="K295" s="341"/>
      <c r="L295" s="341"/>
      <c r="M295" s="341"/>
      <c r="N295" s="342"/>
      <c r="P295" s="18">
        <f t="shared" si="12"/>
        <v>0</v>
      </c>
      <c r="Q295" s="338"/>
      <c r="R295" s="491"/>
      <c r="S295" s="474"/>
      <c r="T295" s="344"/>
      <c r="U295" s="475"/>
    </row>
    <row r="296" spans="2:21" ht="52.8" x14ac:dyDescent="0.25">
      <c r="B296" s="375"/>
      <c r="C296" s="390"/>
      <c r="D296" s="361"/>
      <c r="E296" s="134" t="str">
        <f>HLOOKUP(Deckblatt!$C$12,Language!$C$1:$D$730,448,FALSE)</f>
        <v xml:space="preserve">Es gibt ein Urban Mining Kataster/BIM Model in dem einige der verbauten Rohstoffe im Quartier erfasst sind (Teile der Gebäudemassen und der Freiräume)
</v>
      </c>
      <c r="F296" s="363"/>
      <c r="G296" s="69"/>
      <c r="H296" s="18">
        <v>5</v>
      </c>
      <c r="I296" s="379"/>
      <c r="J296" s="340"/>
      <c r="K296" s="341"/>
      <c r="L296" s="341"/>
      <c r="M296" s="341"/>
      <c r="N296" s="342"/>
      <c r="P296" s="18">
        <f t="shared" si="12"/>
        <v>0</v>
      </c>
      <c r="Q296" s="338"/>
      <c r="R296" s="491"/>
      <c r="S296" s="474"/>
      <c r="T296" s="344"/>
      <c r="U296" s="475"/>
    </row>
    <row r="297" spans="2:21" ht="27" customHeight="1" x14ac:dyDescent="0.25">
      <c r="B297" s="375"/>
      <c r="C297" s="390"/>
      <c r="D297" s="71" t="s">
        <v>221</v>
      </c>
      <c r="E297" s="229" t="str">
        <f>HLOOKUP(Deckblatt!$C$12,Language!$C$1:$D$730,451,FALSE)</f>
        <v xml:space="preserve">Abfallrecycling 
</v>
      </c>
      <c r="F297" s="363"/>
      <c r="G297" s="69"/>
      <c r="H297" s="18">
        <v>20</v>
      </c>
      <c r="I297" s="379"/>
      <c r="J297" s="340"/>
      <c r="K297" s="341"/>
      <c r="L297" s="341"/>
      <c r="M297" s="341"/>
      <c r="N297" s="342"/>
      <c r="P297" s="18">
        <f t="shared" si="12"/>
        <v>0</v>
      </c>
      <c r="Q297" s="338"/>
      <c r="R297" s="491"/>
      <c r="S297" s="474"/>
      <c r="T297" s="344"/>
      <c r="U297" s="475"/>
    </row>
    <row r="298" spans="2:21" ht="26.4" x14ac:dyDescent="0.25">
      <c r="B298" s="375"/>
      <c r="C298" s="360"/>
      <c r="D298" s="71" t="s">
        <v>825</v>
      </c>
      <c r="E298" s="229" t="str">
        <f>HLOOKUP(Deckblatt!$C$12,Language!$C$1:$D$730,453,FALSE)</f>
        <v xml:space="preserve">Nutzung anfallender Wertstoffe
</v>
      </c>
      <c r="F298" s="363"/>
      <c r="G298" s="69"/>
      <c r="H298" s="18">
        <v>8</v>
      </c>
      <c r="I298" s="379"/>
      <c r="J298" s="340"/>
      <c r="K298" s="341"/>
      <c r="L298" s="341"/>
      <c r="M298" s="341"/>
      <c r="N298" s="342"/>
      <c r="P298" s="18">
        <f t="shared" si="12"/>
        <v>0</v>
      </c>
      <c r="Q298" s="338"/>
      <c r="R298" s="491"/>
      <c r="S298" s="474"/>
      <c r="T298" s="344"/>
      <c r="U298" s="475"/>
    </row>
    <row r="299" spans="2:21" ht="13.2" customHeight="1" x14ac:dyDescent="0.25">
      <c r="B299" s="375"/>
      <c r="C299" s="351" t="s">
        <v>157</v>
      </c>
      <c r="D299" s="352" t="str">
        <f>HLOOKUP(Deckblatt!$C$12,Language!$C$1:$D$730,454,FALSE)</f>
        <v>Technik und Logistik</v>
      </c>
      <c r="E299" s="353"/>
      <c r="F299" s="363"/>
      <c r="G299" s="113"/>
      <c r="H299" s="21">
        <v>20</v>
      </c>
      <c r="I299" s="379"/>
      <c r="J299" s="340"/>
      <c r="K299" s="341"/>
      <c r="L299" s="341"/>
      <c r="M299" s="341"/>
      <c r="N299" s="342"/>
      <c r="P299" s="18">
        <f t="shared" si="12"/>
        <v>0</v>
      </c>
      <c r="Q299" s="338"/>
      <c r="R299" s="491"/>
      <c r="S299" s="474"/>
      <c r="T299" s="344"/>
      <c r="U299" s="475"/>
    </row>
    <row r="300" spans="2:21" ht="60" customHeight="1" x14ac:dyDescent="0.25">
      <c r="B300" s="375"/>
      <c r="C300" s="351"/>
      <c r="D300" s="71" t="s">
        <v>159</v>
      </c>
      <c r="E300" s="134" t="str">
        <f>HLOOKUP(Deckblatt!$C$12,Language!$C$1:$D$730,455,FALSE)</f>
        <v xml:space="preserve">Abfalllogistik
Innovative Abfalllogistikkonzepte im Quartier
- Es ist ein Abfalllogistikkonzept erstellt worden (5 Punkte)
- Das Abfalllogistikkonzept wurde umgesetzt (5 Punkte)
</v>
      </c>
      <c r="F300" s="363"/>
      <c r="G300" s="69"/>
      <c r="H300" s="18">
        <v>10</v>
      </c>
      <c r="I300" s="379"/>
      <c r="J300" s="340"/>
      <c r="K300" s="341"/>
      <c r="L300" s="341"/>
      <c r="M300" s="341"/>
      <c r="N300" s="342"/>
      <c r="P300" s="18">
        <f t="shared" si="12"/>
        <v>0</v>
      </c>
      <c r="Q300" s="338"/>
      <c r="R300" s="491"/>
      <c r="S300" s="474"/>
      <c r="T300" s="344"/>
      <c r="U300" s="475"/>
    </row>
    <row r="301" spans="2:21" ht="72" customHeight="1" x14ac:dyDescent="0.25">
      <c r="B301" s="375"/>
      <c r="C301" s="351"/>
      <c r="D301" s="71" t="s">
        <v>160</v>
      </c>
      <c r="E301"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01" s="363"/>
      <c r="G301" s="69"/>
      <c r="H301" s="18">
        <v>10</v>
      </c>
      <c r="I301" s="379"/>
      <c r="J301" s="340"/>
      <c r="K301" s="341"/>
      <c r="L301" s="341"/>
      <c r="M301" s="341"/>
      <c r="N301" s="342"/>
      <c r="P301" s="18">
        <f t="shared" si="12"/>
        <v>0</v>
      </c>
      <c r="Q301" s="339"/>
      <c r="R301" s="492"/>
      <c r="S301" s="474"/>
      <c r="T301" s="344"/>
      <c r="U301" s="475"/>
    </row>
    <row r="302" spans="2:21" x14ac:dyDescent="0.25">
      <c r="B302" s="55" t="s">
        <v>411</v>
      </c>
      <c r="C302" s="354" t="str">
        <f>HLOOKUP(Deckblatt!$C$12,Language!$C$1:$D$730,457,FALSE)</f>
        <v>Smart Infrastructure</v>
      </c>
      <c r="D302" s="354"/>
      <c r="E302" s="355"/>
      <c r="F302" s="66">
        <f>Q302</f>
        <v>0</v>
      </c>
      <c r="G302" s="372"/>
      <c r="H302" s="21">
        <v>100</v>
      </c>
      <c r="I302" s="176">
        <v>3</v>
      </c>
      <c r="J302" s="340"/>
      <c r="K302" s="341"/>
      <c r="L302" s="341"/>
      <c r="M302" s="341"/>
      <c r="N302" s="342"/>
      <c r="P302" s="18">
        <f t="shared" si="12"/>
        <v>0</v>
      </c>
      <c r="Q302" s="337">
        <f>SUM(P304,IF(SUM(P307:P309)&gt;30,30,SUM(P307:P309)),P311,P313,P314)</f>
        <v>0</v>
      </c>
      <c r="R302" s="343">
        <f>Q302/100</f>
        <v>0</v>
      </c>
      <c r="S302" s="474"/>
      <c r="T302" s="344"/>
      <c r="U302" s="475"/>
    </row>
    <row r="303" spans="2:21" ht="13.2" customHeight="1" x14ac:dyDescent="0.25">
      <c r="B303" s="345"/>
      <c r="C303" s="351" t="s">
        <v>54</v>
      </c>
      <c r="D303" s="352" t="str">
        <f>HLOOKUP(Deckblatt!$C$12,Language!$C$1:$D$730,458,FALSE)</f>
        <v>Integration des Themas Digitalisierung in die Quartiersplanung</v>
      </c>
      <c r="E303" s="353"/>
      <c r="F303" s="347"/>
      <c r="G303" s="374"/>
      <c r="H303" s="21">
        <v>30</v>
      </c>
      <c r="I303" s="349"/>
      <c r="J303" s="340"/>
      <c r="K303" s="341"/>
      <c r="L303" s="341"/>
      <c r="M303" s="341"/>
      <c r="N303" s="342"/>
      <c r="P303" s="18">
        <f t="shared" si="12"/>
        <v>0</v>
      </c>
      <c r="Q303" s="338"/>
      <c r="R303" s="344"/>
      <c r="S303" s="474"/>
      <c r="T303" s="344"/>
      <c r="U303" s="475"/>
    </row>
    <row r="304" spans="2:21" ht="52.8" x14ac:dyDescent="0.25">
      <c r="B304" s="346"/>
      <c r="C304" s="351"/>
      <c r="D304" s="57" t="s">
        <v>58</v>
      </c>
      <c r="E304" s="134" t="str">
        <f>HLOOKUP(Deckblatt!$C$12,Language!$C$1:$D$730,459,FALSE)</f>
        <v xml:space="preserve">Integration der Digitalisierung in die Quartiersplanung
- Pro adressiertem Handlungsfeld in der Digital Agenda / Digitalstrategie / Analyse können 6 Punkte angerechnet werden
</v>
      </c>
      <c r="F304" s="348"/>
      <c r="G304" s="69"/>
      <c r="H304" s="18">
        <v>30</v>
      </c>
      <c r="I304" s="350"/>
      <c r="J304" s="340"/>
      <c r="K304" s="341"/>
      <c r="L304" s="341"/>
      <c r="M304" s="341"/>
      <c r="N304" s="342"/>
      <c r="P304" s="18">
        <f t="shared" si="12"/>
        <v>0</v>
      </c>
      <c r="Q304" s="338"/>
      <c r="R304" s="344"/>
      <c r="S304" s="474"/>
      <c r="T304" s="344"/>
      <c r="U304" s="475"/>
    </row>
    <row r="305" spans="2:21" ht="13.2" customHeight="1" x14ac:dyDescent="0.25">
      <c r="B305" s="346"/>
      <c r="C305" s="351" t="s">
        <v>61</v>
      </c>
      <c r="D305" s="352" t="str">
        <f>HLOOKUP(Deckblatt!$C$12,Language!$C$1:$D$730,460,FALSE)</f>
        <v>Telekommunikationsinfrastruktur</v>
      </c>
      <c r="E305" s="353"/>
      <c r="F305" s="348"/>
      <c r="G305" s="488"/>
      <c r="H305" s="21">
        <v>30</v>
      </c>
      <c r="I305" s="350"/>
      <c r="J305" s="340"/>
      <c r="K305" s="341"/>
      <c r="L305" s="341"/>
      <c r="M305" s="341"/>
      <c r="N305" s="342"/>
      <c r="P305" s="18">
        <f t="shared" si="12"/>
        <v>0</v>
      </c>
      <c r="Q305" s="338"/>
      <c r="R305" s="344"/>
      <c r="S305" s="474"/>
      <c r="T305" s="344"/>
      <c r="U305" s="475"/>
    </row>
    <row r="306" spans="2:21" x14ac:dyDescent="0.25">
      <c r="B306" s="346"/>
      <c r="C306" s="351"/>
      <c r="D306" s="361" t="s">
        <v>63</v>
      </c>
      <c r="E306" s="134" t="str">
        <f>HLOOKUP(Deckblatt!$C$12,Language!$C$1:$D$730,461,FALSE)</f>
        <v>Breitband-Internetzugang</v>
      </c>
      <c r="F306" s="348"/>
      <c r="G306" s="489"/>
      <c r="H306" s="21">
        <v>25</v>
      </c>
      <c r="I306" s="350"/>
      <c r="J306" s="340"/>
      <c r="K306" s="341"/>
      <c r="L306" s="341"/>
      <c r="M306" s="341"/>
      <c r="N306" s="342"/>
      <c r="P306" s="18">
        <f t="shared" si="12"/>
        <v>0</v>
      </c>
      <c r="Q306" s="338"/>
      <c r="R306" s="344"/>
      <c r="S306" s="474"/>
      <c r="T306" s="344"/>
      <c r="U306" s="475"/>
    </row>
    <row r="307" spans="2:21" ht="79.2" x14ac:dyDescent="0.25">
      <c r="B307" s="346"/>
      <c r="C307" s="351"/>
      <c r="D307" s="361"/>
      <c r="E307" s="134" t="str">
        <f>HLOOKUP(Deckblatt!$C$12,Language!$C$1:$D$730,462,FALSE)</f>
        <v xml:space="preserve">Es gibt ein leistungsfähiges Breitbandnetz mit einer Downloadgeschwindigkeit von:
  &gt; 50 Mbit/s
  &gt; 100 Mbit/s
  &gt; 300 Mbit/s
</v>
      </c>
      <c r="F307" s="348"/>
      <c r="G307" s="69"/>
      <c r="H307" s="18">
        <v>25</v>
      </c>
      <c r="I307" s="350"/>
      <c r="J307" s="340"/>
      <c r="K307" s="341"/>
      <c r="L307" s="341"/>
      <c r="M307" s="341"/>
      <c r="N307" s="342"/>
      <c r="P307" s="18">
        <f t="shared" si="12"/>
        <v>0</v>
      </c>
      <c r="Q307" s="338"/>
      <c r="R307" s="344"/>
      <c r="S307" s="474"/>
      <c r="T307" s="344"/>
      <c r="U307" s="475"/>
    </row>
    <row r="308" spans="2:21" ht="66" x14ac:dyDescent="0.25">
      <c r="B308" s="346"/>
      <c r="C308" s="351"/>
      <c r="D308" s="71" t="s">
        <v>186</v>
      </c>
      <c r="E308"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08" s="348"/>
      <c r="G308" s="69"/>
      <c r="H308" s="18">
        <f>IF(G307=25,0,10)</f>
        <v>10</v>
      </c>
      <c r="I308" s="350"/>
      <c r="J308" s="340"/>
      <c r="K308" s="341"/>
      <c r="L308" s="341"/>
      <c r="M308" s="341"/>
      <c r="N308" s="342"/>
      <c r="P308" s="18">
        <f t="shared" si="12"/>
        <v>0</v>
      </c>
      <c r="Q308" s="338"/>
      <c r="R308" s="344"/>
      <c r="S308" s="474"/>
      <c r="T308" s="344"/>
      <c r="U308" s="475"/>
    </row>
    <row r="309" spans="2:21" ht="26.4" x14ac:dyDescent="0.25">
      <c r="B309" s="346"/>
      <c r="C309" s="351"/>
      <c r="D309" s="71" t="s">
        <v>255</v>
      </c>
      <c r="E309" s="134" t="str">
        <f>HLOOKUP(Deckblatt!$C$12,Language!$C$1:$D$730,464,FALSE)</f>
        <v xml:space="preserve">Freies WLAN im öffentlichen Raum
</v>
      </c>
      <c r="F309" s="348"/>
      <c r="G309" s="69"/>
      <c r="H309" s="18">
        <v>5</v>
      </c>
      <c r="I309" s="350"/>
      <c r="J309" s="340"/>
      <c r="K309" s="341"/>
      <c r="L309" s="341"/>
      <c r="M309" s="341"/>
      <c r="N309" s="342"/>
      <c r="P309" s="18">
        <f t="shared" si="12"/>
        <v>0</v>
      </c>
      <c r="Q309" s="338"/>
      <c r="R309" s="344"/>
      <c r="S309" s="474"/>
      <c r="T309" s="344"/>
      <c r="U309" s="475"/>
    </row>
    <row r="310" spans="2:21" ht="13.2" customHeight="1" x14ac:dyDescent="0.25">
      <c r="B310" s="346"/>
      <c r="C310" s="351" t="s">
        <v>64</v>
      </c>
      <c r="D310" s="352" t="str">
        <f>HLOOKUP(Deckblatt!$C$12,Language!$C$1:$D$730,465,FALSE)</f>
        <v>Datenauswertung</v>
      </c>
      <c r="E310" s="353"/>
      <c r="F310" s="348"/>
      <c r="G310" s="113"/>
      <c r="H310" s="21">
        <v>30</v>
      </c>
      <c r="I310" s="350"/>
      <c r="J310" s="340"/>
      <c r="K310" s="341"/>
      <c r="L310" s="341"/>
      <c r="M310" s="341"/>
      <c r="N310" s="342"/>
      <c r="P310" s="18">
        <f t="shared" si="12"/>
        <v>0</v>
      </c>
      <c r="Q310" s="338"/>
      <c r="R310" s="344"/>
      <c r="S310" s="474"/>
      <c r="T310" s="344"/>
      <c r="U310" s="475"/>
    </row>
    <row r="311" spans="2:21" ht="92.4" x14ac:dyDescent="0.25">
      <c r="B311" s="346"/>
      <c r="C311" s="351"/>
      <c r="D311" s="71" t="s">
        <v>66</v>
      </c>
      <c r="E311"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11" s="348"/>
      <c r="G311" s="69"/>
      <c r="H311" s="18">
        <v>30</v>
      </c>
      <c r="I311" s="350"/>
      <c r="J311" s="340"/>
      <c r="K311" s="341"/>
      <c r="L311" s="341"/>
      <c r="M311" s="341"/>
      <c r="N311" s="342"/>
      <c r="P311" s="18">
        <f t="shared" si="12"/>
        <v>0</v>
      </c>
      <c r="Q311" s="338"/>
      <c r="R311" s="344"/>
      <c r="S311" s="474"/>
      <c r="T311" s="344"/>
      <c r="U311" s="475"/>
    </row>
    <row r="312" spans="2:21" ht="13.2" customHeight="1" x14ac:dyDescent="0.25">
      <c r="B312" s="346"/>
      <c r="C312" s="351" t="s">
        <v>67</v>
      </c>
      <c r="D312" s="352" t="str">
        <f>HLOOKUP(Deckblatt!$C$12,Language!$C$1:$D$730,467,FALSE)</f>
        <v>Quartiersbezogene digitale Angebote</v>
      </c>
      <c r="E312" s="353"/>
      <c r="F312" s="348"/>
      <c r="G312" s="113"/>
      <c r="H312" s="21">
        <v>10</v>
      </c>
      <c r="I312" s="350"/>
      <c r="J312" s="340"/>
      <c r="K312" s="341"/>
      <c r="L312" s="341"/>
      <c r="M312" s="341"/>
      <c r="N312" s="342"/>
      <c r="P312" s="18">
        <f t="shared" si="12"/>
        <v>0</v>
      </c>
      <c r="Q312" s="338"/>
      <c r="R312" s="344"/>
      <c r="S312" s="474"/>
      <c r="T312" s="344"/>
      <c r="U312" s="475"/>
    </row>
    <row r="313" spans="2:21" ht="52.8" x14ac:dyDescent="0.25">
      <c r="B313" s="346"/>
      <c r="C313" s="351"/>
      <c r="D313" s="71" t="s">
        <v>69</v>
      </c>
      <c r="E313" s="134" t="str">
        <f>HLOOKUP(Deckblatt!$C$12,Language!$C$1:$D$730,468,FALSE)</f>
        <v xml:space="preserve">Information zu quartiersbezogenen digitalen Angeboten
Bei Einzug und bei Änderungen des Angebotes werden die Bewohner/Nutzer des Quartiers über die digitalen Angebote informiert 
</v>
      </c>
      <c r="F313" s="348"/>
      <c r="G313" s="69"/>
      <c r="H313" s="18">
        <v>2</v>
      </c>
      <c r="I313" s="350"/>
      <c r="J313" s="340"/>
      <c r="K313" s="341"/>
      <c r="L313" s="341"/>
      <c r="M313" s="341"/>
      <c r="N313" s="342"/>
      <c r="P313" s="18">
        <f t="shared" si="12"/>
        <v>0</v>
      </c>
      <c r="Q313" s="338"/>
      <c r="R313" s="344"/>
      <c r="S313" s="474"/>
      <c r="T313" s="344"/>
      <c r="U313" s="475"/>
    </row>
    <row r="314" spans="2:21" ht="79.2" x14ac:dyDescent="0.25">
      <c r="B314" s="346"/>
      <c r="C314" s="351"/>
      <c r="D314" s="71" t="s">
        <v>78</v>
      </c>
      <c r="E314"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14" s="348"/>
      <c r="G314" s="69"/>
      <c r="H314" s="18">
        <v>8</v>
      </c>
      <c r="I314" s="350"/>
      <c r="J314" s="340"/>
      <c r="K314" s="341"/>
      <c r="L314" s="341"/>
      <c r="M314" s="341"/>
      <c r="N314" s="342"/>
      <c r="P314" s="18">
        <f t="shared" si="12"/>
        <v>0</v>
      </c>
      <c r="Q314" s="338"/>
      <c r="R314" s="344"/>
      <c r="S314" s="474"/>
      <c r="T314" s="344"/>
      <c r="U314" s="475"/>
    </row>
    <row r="315" spans="2:21" x14ac:dyDescent="0.25">
      <c r="B315" s="55" t="s">
        <v>421</v>
      </c>
      <c r="C315" s="354" t="str">
        <f>HLOOKUP(Deckblatt!$C$12,Language!$C$1:$D$730,470,FALSE)</f>
        <v>Mobilitätsinfrastruktur– Motorisierter Verkehr</v>
      </c>
      <c r="D315" s="354"/>
      <c r="E315" s="355"/>
      <c r="F315" s="66">
        <f>Q315</f>
        <v>0</v>
      </c>
      <c r="G315" s="364"/>
      <c r="H315" s="21">
        <v>130</v>
      </c>
      <c r="I315" s="176">
        <v>4</v>
      </c>
      <c r="J315" s="340"/>
      <c r="K315" s="341"/>
      <c r="L315" s="341"/>
      <c r="M315" s="341"/>
      <c r="N315" s="342"/>
      <c r="P315" s="18">
        <f t="shared" si="12"/>
        <v>0</v>
      </c>
      <c r="Q315" s="337">
        <f>IF(SUM(P317,IF(P319+P320&gt;20,20,P319+P320),P323,P326,,P328,P330,P332,P334,P336:P337,P339)&gt;110,110+P324+P340,SUM(P317,IF(P319+P320&gt;20,20,P319+P320),P323,P326,,P328,P330,P332,P334,P336:P337,P339)+P324+P340)</f>
        <v>0</v>
      </c>
      <c r="R315" s="343">
        <f>Q315/100</f>
        <v>0</v>
      </c>
      <c r="S315" s="474"/>
      <c r="T315" s="344"/>
      <c r="U315" s="475"/>
    </row>
    <row r="316" spans="2:21" ht="13.2" customHeight="1" x14ac:dyDescent="0.25">
      <c r="B316" s="375"/>
      <c r="C316" s="351" t="s">
        <v>54</v>
      </c>
      <c r="D316" s="352" t="str">
        <f>HLOOKUP(Deckblatt!$C$12,Language!$C$1:$D$730,471,FALSE)</f>
        <v>Verkehrsmodell</v>
      </c>
      <c r="E316" s="353"/>
      <c r="F316" s="363"/>
      <c r="G316" s="364"/>
      <c r="H316" s="21">
        <v>5</v>
      </c>
      <c r="I316" s="379"/>
      <c r="J316" s="340"/>
      <c r="K316" s="341"/>
      <c r="L316" s="341"/>
      <c r="M316" s="341"/>
      <c r="N316" s="342"/>
      <c r="P316" s="18">
        <f t="shared" si="12"/>
        <v>0</v>
      </c>
      <c r="Q316" s="338"/>
      <c r="R316" s="344"/>
      <c r="S316" s="474"/>
      <c r="T316" s="344"/>
      <c r="U316" s="475"/>
    </row>
    <row r="317" spans="2:21" ht="26.4" x14ac:dyDescent="0.25">
      <c r="B317" s="375"/>
      <c r="C317" s="351"/>
      <c r="D317" s="71" t="s">
        <v>58</v>
      </c>
      <c r="E317" s="134" t="str">
        <f>HLOOKUP(Deckblatt!$C$12,Language!$C$1:$D$730,472,FALSE)</f>
        <v xml:space="preserve">Aktualität Verkehrsmodell
</v>
      </c>
      <c r="F317" s="363"/>
      <c r="G317" s="69"/>
      <c r="H317" s="18">
        <v>5</v>
      </c>
      <c r="I317" s="379"/>
      <c r="J317" s="340"/>
      <c r="K317" s="341"/>
      <c r="L317" s="341"/>
      <c r="M317" s="341"/>
      <c r="N317" s="342"/>
      <c r="P317" s="18">
        <f t="shared" si="12"/>
        <v>0</v>
      </c>
      <c r="Q317" s="338"/>
      <c r="R317" s="344"/>
      <c r="S317" s="474"/>
      <c r="T317" s="344"/>
      <c r="U317" s="475"/>
    </row>
    <row r="318" spans="2:21" x14ac:dyDescent="0.25">
      <c r="B318" s="375"/>
      <c r="C318" s="351" t="s">
        <v>61</v>
      </c>
      <c r="D318" s="352" t="str">
        <f>HLOOKUP(Deckblatt!$C$12,Language!$C$1:$D$730,473,FALSE)</f>
        <v>Modal Split</v>
      </c>
      <c r="E318" s="353"/>
      <c r="F318" s="363"/>
      <c r="G318" s="113"/>
      <c r="H318" s="21">
        <v>20</v>
      </c>
      <c r="I318" s="379"/>
      <c r="J318" s="340"/>
      <c r="K318" s="341"/>
      <c r="L318" s="341"/>
      <c r="M318" s="341"/>
      <c r="N318" s="342"/>
      <c r="P318" s="18">
        <f t="shared" si="12"/>
        <v>0</v>
      </c>
      <c r="Q318" s="338"/>
      <c r="R318" s="344"/>
      <c r="S318" s="474"/>
      <c r="T318" s="344"/>
      <c r="U318" s="475"/>
    </row>
    <row r="319" spans="2:21" ht="39.6" x14ac:dyDescent="0.25">
      <c r="B319" s="375"/>
      <c r="C319" s="351"/>
      <c r="D319" s="71" t="s">
        <v>63</v>
      </c>
      <c r="E319" s="134" t="str">
        <f>HLOOKUP(Deckblatt!$C$12,Language!$C$1:$D$730,474,FALSE)</f>
        <v xml:space="preserve">Umweltverbund
Anteil am Umweltverbund 
</v>
      </c>
      <c r="F319" s="363"/>
      <c r="G319" s="69"/>
      <c r="H319" s="18">
        <v>20</v>
      </c>
      <c r="I319" s="379"/>
      <c r="J319" s="340"/>
      <c r="K319" s="341"/>
      <c r="L319" s="341"/>
      <c r="M319" s="341"/>
      <c r="N319" s="342"/>
      <c r="P319" s="18">
        <f t="shared" si="12"/>
        <v>0</v>
      </c>
      <c r="Q319" s="338"/>
      <c r="R319" s="344"/>
      <c r="S319" s="474"/>
      <c r="T319" s="344"/>
      <c r="U319" s="475"/>
    </row>
    <row r="320" spans="2:21" ht="158.4" x14ac:dyDescent="0.25">
      <c r="B320" s="375"/>
      <c r="C320" s="351"/>
      <c r="D320" s="71" t="s">
        <v>437</v>
      </c>
      <c r="E320"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20" s="363"/>
      <c r="G320" s="69"/>
      <c r="H320" s="18">
        <v>10</v>
      </c>
      <c r="I320" s="379"/>
      <c r="J320" s="340"/>
      <c r="K320" s="341"/>
      <c r="L320" s="341"/>
      <c r="M320" s="341"/>
      <c r="N320" s="342"/>
      <c r="P320" s="18">
        <f t="shared" si="12"/>
        <v>0</v>
      </c>
      <c r="Q320" s="338"/>
      <c r="R320" s="344"/>
      <c r="S320" s="474"/>
      <c r="T320" s="344"/>
      <c r="U320" s="475"/>
    </row>
    <row r="321" spans="2:21" ht="13.2" customHeight="1" x14ac:dyDescent="0.25">
      <c r="B321" s="375"/>
      <c r="C321" s="351" t="s">
        <v>64</v>
      </c>
      <c r="D321" s="352" t="str">
        <f>HLOOKUP(Deckblatt!$C$12,Language!$C$1:$D$730,476,FALSE)</f>
        <v>Infrastruktur für alternative Antriebstechnologien</v>
      </c>
      <c r="E321" s="353"/>
      <c r="F321" s="363"/>
      <c r="G321" s="356"/>
      <c r="H321" s="21">
        <v>30</v>
      </c>
      <c r="I321" s="379"/>
      <c r="J321" s="340"/>
      <c r="K321" s="341"/>
      <c r="L321" s="341"/>
      <c r="M321" s="341"/>
      <c r="N321" s="342"/>
      <c r="P321" s="18">
        <f t="shared" si="12"/>
        <v>0</v>
      </c>
      <c r="Q321" s="338"/>
      <c r="R321" s="344"/>
      <c r="S321" s="474"/>
      <c r="T321" s="344"/>
      <c r="U321" s="475"/>
    </row>
    <row r="322" spans="2:21" x14ac:dyDescent="0.25">
      <c r="B322" s="375"/>
      <c r="C322" s="351"/>
      <c r="D322" s="361" t="s">
        <v>66</v>
      </c>
      <c r="E322" s="134" t="str">
        <f>HLOOKUP(Deckblatt!$C$12,Language!$C$1:$D$730,477,FALSE)</f>
        <v>Motorisierter Individualverkehr (MIV)</v>
      </c>
      <c r="F322" s="363"/>
      <c r="G322" s="356"/>
      <c r="H322" s="21">
        <v>20</v>
      </c>
      <c r="I322" s="379"/>
      <c r="J322" s="340"/>
      <c r="K322" s="341"/>
      <c r="L322" s="341"/>
      <c r="M322" s="341"/>
      <c r="N322" s="342"/>
      <c r="P322" s="18">
        <f t="shared" si="12"/>
        <v>0</v>
      </c>
      <c r="Q322" s="338"/>
      <c r="R322" s="344"/>
      <c r="S322" s="474"/>
      <c r="T322" s="344"/>
      <c r="U322" s="475"/>
    </row>
    <row r="323" spans="2:21" ht="52.8" x14ac:dyDescent="0.25">
      <c r="B323" s="375"/>
      <c r="C323" s="351"/>
      <c r="D323" s="361"/>
      <c r="E323" s="134" t="str">
        <f>HLOOKUP(Deckblatt!$C$12,Language!$C$1:$D$730,478,FALSE)</f>
        <v xml:space="preserve">Mobilitätsmanagement-Strategie – Ladeinfrastruktur (Variante A) 
Mobilitätsmanagement-Strategie – Keine Pkw-Stellplätze (Variante B) 
</v>
      </c>
      <c r="F323" s="363"/>
      <c r="G323" s="69"/>
      <c r="H323" s="18">
        <v>20</v>
      </c>
      <c r="I323" s="379"/>
      <c r="J323" s="340"/>
      <c r="K323" s="341"/>
      <c r="L323" s="341"/>
      <c r="M323" s="341"/>
      <c r="N323" s="342"/>
      <c r="P323" s="18">
        <f t="shared" si="12"/>
        <v>0</v>
      </c>
      <c r="Q323" s="338"/>
      <c r="R323" s="344"/>
      <c r="S323" s="474"/>
      <c r="T323" s="344"/>
      <c r="U323" s="475"/>
    </row>
    <row r="324" spans="2:21" ht="66" x14ac:dyDescent="0.25">
      <c r="B324" s="375"/>
      <c r="C324" s="351"/>
      <c r="D324" s="71" t="s">
        <v>188</v>
      </c>
      <c r="E324" s="54" t="str">
        <f>HLOOKUP(Deckblatt!$C$12,Language!$C$1:$D$730,479,FALSE)</f>
        <v xml:space="preserve">AGENDA 2030 BONUS – KLIMASCHUTZZIELE
Keine PKW-Stellplätze 
Eine Mobilitätsmanagement-Strategie nach Variante B wurde vollständig umgesetzt.
</v>
      </c>
      <c r="F324" s="363"/>
      <c r="G324" s="69"/>
      <c r="H324" s="18">
        <v>10</v>
      </c>
      <c r="I324" s="379"/>
      <c r="J324" s="340"/>
      <c r="K324" s="341"/>
      <c r="L324" s="341"/>
      <c r="M324" s="341"/>
      <c r="N324" s="342"/>
      <c r="P324" s="18">
        <f t="shared" si="12"/>
        <v>0</v>
      </c>
      <c r="Q324" s="338"/>
      <c r="R324" s="344"/>
      <c r="S324" s="474"/>
      <c r="T324" s="344"/>
      <c r="U324" s="475"/>
    </row>
    <row r="325" spans="2:21" ht="13.2" customHeight="1" x14ac:dyDescent="0.25">
      <c r="B325" s="375"/>
      <c r="C325" s="351" t="s">
        <v>67</v>
      </c>
      <c r="D325" s="352" t="str">
        <f>HLOOKUP(Deckblatt!$C$12,Language!$C$1:$D$730,480,FALSE)</f>
        <v>Fahrzeugsharing</v>
      </c>
      <c r="E325" s="353"/>
      <c r="F325" s="363"/>
      <c r="G325" s="113"/>
      <c r="H325" s="21">
        <v>10</v>
      </c>
      <c r="I325" s="379"/>
      <c r="J325" s="340"/>
      <c r="K325" s="341"/>
      <c r="L325" s="341"/>
      <c r="M325" s="341"/>
      <c r="N325" s="342"/>
      <c r="P325" s="18">
        <f t="shared" si="12"/>
        <v>0</v>
      </c>
      <c r="Q325" s="338"/>
      <c r="R325" s="344"/>
      <c r="S325" s="474"/>
      <c r="T325" s="344"/>
      <c r="U325" s="475"/>
    </row>
    <row r="326" spans="2:21" ht="79.2" x14ac:dyDescent="0.25">
      <c r="B326" s="375"/>
      <c r="C326" s="351"/>
      <c r="D326" s="71" t="s">
        <v>69</v>
      </c>
      <c r="E326" s="134" t="str">
        <f>HLOOKUP(Deckblatt!$C$12,Language!$C$1:$D$730,481,FALSE)</f>
        <v xml:space="preserve">Fahrzeugsharing Angebote
Es gibt ein Sharing-Angebot für motorisierte Fahrzeuge (Kommerzielles/Privates Sharing, Werksfahrzeuge, etc.) im Quartier/am Standort oder im direkten Umfeld (max. 5 Gehminuten). 
</v>
      </c>
      <c r="F326" s="363"/>
      <c r="G326" s="69"/>
      <c r="H326" s="18">
        <v>10</v>
      </c>
      <c r="I326" s="379"/>
      <c r="J326" s="340"/>
      <c r="K326" s="341"/>
      <c r="L326" s="341"/>
      <c r="M326" s="341"/>
      <c r="N326" s="342"/>
      <c r="P326" s="18">
        <f t="shared" si="12"/>
        <v>0</v>
      </c>
      <c r="Q326" s="338"/>
      <c r="R326" s="344"/>
      <c r="S326" s="474"/>
      <c r="T326" s="344"/>
      <c r="U326" s="475"/>
    </row>
    <row r="327" spans="2:21" ht="13.2" customHeight="1" x14ac:dyDescent="0.25">
      <c r="B327" s="375"/>
      <c r="C327" s="359" t="s">
        <v>154</v>
      </c>
      <c r="D327" s="352" t="str">
        <f>HLOOKUP(Deckblatt!$C$12,Language!$C$1:$D$730,482,FALSE)</f>
        <v>ÖPNV-Erschließungsqualität</v>
      </c>
      <c r="E327" s="353"/>
      <c r="F327" s="363"/>
      <c r="G327" s="113"/>
      <c r="H327" s="21">
        <v>9</v>
      </c>
      <c r="I327" s="379"/>
      <c r="J327" s="340"/>
      <c r="K327" s="341"/>
      <c r="L327" s="341"/>
      <c r="M327" s="341"/>
      <c r="N327" s="342"/>
      <c r="P327" s="18">
        <f t="shared" si="12"/>
        <v>0</v>
      </c>
      <c r="Q327" s="338"/>
      <c r="R327" s="344"/>
      <c r="S327" s="474"/>
      <c r="T327" s="344"/>
      <c r="U327" s="475"/>
    </row>
    <row r="328" spans="2:21" ht="26.4" x14ac:dyDescent="0.25">
      <c r="B328" s="375"/>
      <c r="C328" s="360"/>
      <c r="D328" s="71" t="s">
        <v>218</v>
      </c>
      <c r="E328" s="134" t="str">
        <f>HLOOKUP(Deckblatt!$C$12,Language!$C$1:$D$730,484,FALSE)</f>
        <v xml:space="preserve">Alternative zu 5.1: Angebot Bus- und Bahnlinien
</v>
      </c>
      <c r="F328" s="363"/>
      <c r="G328" s="69"/>
      <c r="H328" s="18">
        <v>9</v>
      </c>
      <c r="I328" s="379"/>
      <c r="J328" s="340"/>
      <c r="K328" s="341"/>
      <c r="L328" s="341"/>
      <c r="M328" s="341"/>
      <c r="N328" s="342"/>
      <c r="P328" s="18">
        <f t="shared" si="12"/>
        <v>0</v>
      </c>
      <c r="Q328" s="338"/>
      <c r="R328" s="344"/>
      <c r="S328" s="474"/>
      <c r="T328" s="344"/>
      <c r="U328" s="475"/>
    </row>
    <row r="329" spans="2:21" ht="13.2" customHeight="1" x14ac:dyDescent="0.25">
      <c r="B329" s="375"/>
      <c r="C329" s="359" t="s">
        <v>157</v>
      </c>
      <c r="D329" s="352" t="str">
        <f>HLOOKUP(Deckblatt!$C$12,Language!$C$1:$D$730,485,FALSE)</f>
        <v>Intermodale Plattformen</v>
      </c>
      <c r="E329" s="353"/>
      <c r="F329" s="363"/>
      <c r="G329" s="113"/>
      <c r="H329" s="21">
        <v>10</v>
      </c>
      <c r="I329" s="379"/>
      <c r="J329" s="340"/>
      <c r="K329" s="341"/>
      <c r="L329" s="341"/>
      <c r="M329" s="341"/>
      <c r="N329" s="342"/>
      <c r="P329" s="18">
        <f t="shared" si="12"/>
        <v>0</v>
      </c>
      <c r="Q329" s="338"/>
      <c r="R329" s="344"/>
      <c r="S329" s="474"/>
      <c r="T329" s="344"/>
      <c r="U329" s="475"/>
    </row>
    <row r="330" spans="2:21" ht="79.2" x14ac:dyDescent="0.25">
      <c r="B330" s="375"/>
      <c r="C330" s="360"/>
      <c r="D330" s="71" t="s">
        <v>159</v>
      </c>
      <c r="E330"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30" s="363"/>
      <c r="G330" s="69"/>
      <c r="H330" s="18">
        <v>10</v>
      </c>
      <c r="I330" s="379"/>
      <c r="J330" s="340"/>
      <c r="K330" s="341"/>
      <c r="L330" s="341"/>
      <c r="M330" s="341"/>
      <c r="N330" s="342"/>
      <c r="P330" s="18">
        <f t="shared" si="12"/>
        <v>0</v>
      </c>
      <c r="Q330" s="338"/>
      <c r="R330" s="344"/>
      <c r="S330" s="474"/>
      <c r="T330" s="344"/>
      <c r="U330" s="475"/>
    </row>
    <row r="331" spans="2:21" ht="13.2" customHeight="1" x14ac:dyDescent="0.25">
      <c r="B331" s="375"/>
      <c r="C331" s="359" t="s">
        <v>282</v>
      </c>
      <c r="D331" s="352" t="str">
        <f>HLOOKUP(Deckblatt!$C$12,Language!$C$1:$D$730,487,FALSE)</f>
        <v>Zugang zum nächstgelegenen Bahnhof</v>
      </c>
      <c r="E331" s="353"/>
      <c r="F331" s="363"/>
      <c r="G331" s="113"/>
      <c r="H331" s="21">
        <v>5</v>
      </c>
      <c r="I331" s="379"/>
      <c r="J331" s="340"/>
      <c r="K331" s="341"/>
      <c r="L331" s="341"/>
      <c r="M331" s="341"/>
      <c r="N331" s="342"/>
      <c r="P331" s="18">
        <f t="shared" si="12"/>
        <v>0</v>
      </c>
      <c r="Q331" s="338"/>
      <c r="R331" s="344"/>
      <c r="S331" s="474"/>
      <c r="T331" s="344"/>
      <c r="U331" s="475"/>
    </row>
    <row r="332" spans="2:21" ht="66" x14ac:dyDescent="0.25">
      <c r="B332" s="375"/>
      <c r="C332" s="360"/>
      <c r="D332" s="71" t="s">
        <v>284</v>
      </c>
      <c r="E332" s="134" t="str">
        <f>HLOOKUP(Deckblatt!$C$12,Language!$C$1:$D$730,488,FALSE)</f>
        <v xml:space="preserve">Öffentliche Verkehrsmittel
Zugang zum nächstgelegenen Bahnhof (S-Bahn, Regional-und/oder Fernverkehr) mit öffentlichen Verkehrsmitteln, mit dem Fahrrad oder zu Fuß.
</v>
      </c>
      <c r="F332" s="363"/>
      <c r="G332" s="69"/>
      <c r="H332" s="18">
        <v>5</v>
      </c>
      <c r="I332" s="379"/>
      <c r="J332" s="340"/>
      <c r="K332" s="341"/>
      <c r="L332" s="341"/>
      <c r="M332" s="341"/>
      <c r="N332" s="342"/>
      <c r="P332" s="18">
        <f t="shared" si="12"/>
        <v>0</v>
      </c>
      <c r="Q332" s="338"/>
      <c r="R332" s="344"/>
      <c r="S332" s="474"/>
      <c r="T332" s="344"/>
      <c r="U332" s="475"/>
    </row>
    <row r="333" spans="2:21" ht="13.2" customHeight="1" x14ac:dyDescent="0.25">
      <c r="B333" s="375"/>
      <c r="C333" s="359" t="s">
        <v>285</v>
      </c>
      <c r="D333" s="352" t="str">
        <f>HLOOKUP(Deckblatt!$C$12,Language!$C$1:$D$730,489,FALSE)</f>
        <v>Takt des ÖPNV</v>
      </c>
      <c r="E333" s="353"/>
      <c r="F333" s="363"/>
      <c r="G333" s="113"/>
      <c r="H333" s="21">
        <v>5</v>
      </c>
      <c r="I333" s="379"/>
      <c r="J333" s="340"/>
      <c r="K333" s="341"/>
      <c r="L333" s="341"/>
      <c r="M333" s="341"/>
      <c r="N333" s="342"/>
      <c r="P333" s="18">
        <f t="shared" si="12"/>
        <v>0</v>
      </c>
      <c r="Q333" s="338"/>
      <c r="R333" s="344"/>
      <c r="S333" s="474"/>
      <c r="T333" s="344"/>
      <c r="U333" s="475"/>
    </row>
    <row r="334" spans="2:21" ht="52.8" x14ac:dyDescent="0.25">
      <c r="B334" s="375"/>
      <c r="C334" s="360"/>
      <c r="D334" s="71" t="s">
        <v>287</v>
      </c>
      <c r="E334" s="134" t="str">
        <f>HLOOKUP(Deckblatt!$C$12,Language!$C$1:$D$730,490,FALSE)</f>
        <v xml:space="preserve">Takt ÖPNV
Durchschnittlicher Takt aller ÖPNV-Linien werktags zwischen 6 und 19 Uhr. Beziehungsweise an die Schichtwechsel angepasste ÖPNV Taktung.
</v>
      </c>
      <c r="F334" s="363"/>
      <c r="G334" s="69"/>
      <c r="H334" s="18">
        <v>5</v>
      </c>
      <c r="I334" s="379"/>
      <c r="J334" s="340"/>
      <c r="K334" s="341"/>
      <c r="L334" s="341"/>
      <c r="M334" s="341"/>
      <c r="N334" s="342"/>
      <c r="P334" s="18">
        <f t="shared" si="12"/>
        <v>0</v>
      </c>
      <c r="Q334" s="338"/>
      <c r="R334" s="344"/>
      <c r="S334" s="474"/>
      <c r="T334" s="344"/>
      <c r="U334" s="475"/>
    </row>
    <row r="335" spans="2:21" ht="13.2" customHeight="1" x14ac:dyDescent="0.25">
      <c r="B335" s="375"/>
      <c r="C335" s="359" t="s">
        <v>292</v>
      </c>
      <c r="D335" s="352" t="str">
        <f>HLOOKUP(Deckblatt!$C$12,Language!$C$1:$D$730,491,FALSE)</f>
        <v>Besondere Maßnahmen zur Förderung des ÖPNV</v>
      </c>
      <c r="E335" s="353"/>
      <c r="F335" s="363"/>
      <c r="G335" s="113"/>
      <c r="H335" s="21">
        <v>16</v>
      </c>
      <c r="I335" s="379"/>
      <c r="J335" s="340"/>
      <c r="K335" s="341"/>
      <c r="L335" s="341"/>
      <c r="M335" s="341"/>
      <c r="N335" s="342"/>
      <c r="P335" s="18">
        <f t="shared" si="12"/>
        <v>0</v>
      </c>
      <c r="Q335" s="338"/>
      <c r="R335" s="344"/>
      <c r="S335" s="474"/>
      <c r="T335" s="344"/>
      <c r="U335" s="475"/>
    </row>
    <row r="336" spans="2:21" ht="26.4" x14ac:dyDescent="0.25">
      <c r="B336" s="375"/>
      <c r="C336" s="390"/>
      <c r="D336" s="71" t="s">
        <v>293</v>
      </c>
      <c r="E336" s="134" t="str">
        <f>HLOOKUP(Deckblatt!$C$12,Language!$C$1:$D$730,492,FALSE)</f>
        <v xml:space="preserve">Bauliche oder Betriebliche Maßnahmen
</v>
      </c>
      <c r="F336" s="363"/>
      <c r="G336" s="69"/>
      <c r="H336" s="18">
        <v>8</v>
      </c>
      <c r="I336" s="379"/>
      <c r="J336" s="340"/>
      <c r="K336" s="341"/>
      <c r="L336" s="341"/>
      <c r="M336" s="341"/>
      <c r="N336" s="342"/>
      <c r="P336" s="18">
        <f t="shared" si="12"/>
        <v>0</v>
      </c>
      <c r="Q336" s="338"/>
      <c r="R336" s="344"/>
      <c r="S336" s="474"/>
      <c r="T336" s="344"/>
      <c r="U336" s="475"/>
    </row>
    <row r="337" spans="2:21" ht="92.4" x14ac:dyDescent="0.25">
      <c r="B337" s="375"/>
      <c r="C337" s="360"/>
      <c r="D337" s="19" t="s">
        <v>460</v>
      </c>
      <c r="E337"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337" s="363"/>
      <c r="G337" s="69"/>
      <c r="H337" s="18">
        <v>8</v>
      </c>
      <c r="I337" s="379"/>
      <c r="J337" s="340"/>
      <c r="K337" s="341"/>
      <c r="L337" s="341"/>
      <c r="M337" s="341"/>
      <c r="N337" s="342"/>
      <c r="P337" s="18">
        <f t="shared" si="12"/>
        <v>0</v>
      </c>
      <c r="Q337" s="338"/>
      <c r="R337" s="344"/>
      <c r="S337" s="474"/>
      <c r="T337" s="344"/>
      <c r="U337" s="475"/>
    </row>
    <row r="338" spans="2:21" ht="13.2" customHeight="1" x14ac:dyDescent="0.25">
      <c r="B338" s="375"/>
      <c r="C338" s="359" t="s">
        <v>448</v>
      </c>
      <c r="D338" s="352" t="str">
        <f>HLOOKUP(Deckblatt!$C$12,Language!$C$1:$D$730,494,FALSE)</f>
        <v>Konzept Wirtschaftsverkehr</v>
      </c>
      <c r="E338" s="353"/>
      <c r="F338" s="363"/>
      <c r="G338" s="113"/>
      <c r="H338" s="21">
        <v>30</v>
      </c>
      <c r="I338" s="379"/>
      <c r="J338" s="340"/>
      <c r="K338" s="341"/>
      <c r="L338" s="341"/>
      <c r="M338" s="341"/>
      <c r="N338" s="342"/>
      <c r="P338" s="18">
        <f t="shared" si="12"/>
        <v>0</v>
      </c>
      <c r="Q338" s="338"/>
      <c r="R338" s="344"/>
      <c r="S338" s="474"/>
      <c r="T338" s="344"/>
      <c r="U338" s="475"/>
    </row>
    <row r="339" spans="2:21" ht="26.4" x14ac:dyDescent="0.25">
      <c r="B339" s="375"/>
      <c r="C339" s="390"/>
      <c r="D339" s="19" t="s">
        <v>459</v>
      </c>
      <c r="E339" s="134" t="str">
        <f>HLOOKUP(Deckblatt!$C$12,Language!$C$1:$D$730,495,FALSE)</f>
        <v xml:space="preserve">Konzept Wirtschaftsverkehr
</v>
      </c>
      <c r="F339" s="363"/>
      <c r="G339" s="69"/>
      <c r="H339" s="18">
        <v>20</v>
      </c>
      <c r="I339" s="379"/>
      <c r="J339" s="340"/>
      <c r="K339" s="341"/>
      <c r="L339" s="341"/>
      <c r="M339" s="341"/>
      <c r="N339" s="342"/>
      <c r="P339" s="18">
        <f t="shared" si="12"/>
        <v>0</v>
      </c>
      <c r="Q339" s="338"/>
      <c r="R339" s="344"/>
      <c r="S339" s="474"/>
      <c r="T339" s="344"/>
      <c r="U339" s="475"/>
    </row>
    <row r="340" spans="2:21" ht="52.8" x14ac:dyDescent="0.25">
      <c r="B340" s="375"/>
      <c r="C340" s="360"/>
      <c r="D340" s="71" t="s">
        <v>458</v>
      </c>
      <c r="E340" s="54" t="str">
        <f>HLOOKUP(Deckblatt!$C$12,Language!$C$1:$D$730,496,FALSE)</f>
        <v xml:space="preserve">AGENDA 2030 BONUS – KLIMASCHUTZZIELE
Ambition zum Erreichen klimaneutraler  Logistik
</v>
      </c>
      <c r="F340" s="363"/>
      <c r="G340" s="69"/>
      <c r="H340" s="18">
        <v>10</v>
      </c>
      <c r="I340" s="379"/>
      <c r="J340" s="340"/>
      <c r="K340" s="341"/>
      <c r="L340" s="341"/>
      <c r="M340" s="341"/>
      <c r="N340" s="342"/>
      <c r="P340" s="18">
        <f t="shared" si="12"/>
        <v>0</v>
      </c>
      <c r="Q340" s="338"/>
      <c r="R340" s="344"/>
      <c r="S340" s="474"/>
      <c r="T340" s="344"/>
      <c r="U340" s="475"/>
    </row>
    <row r="341" spans="2:21" x14ac:dyDescent="0.25">
      <c r="B341" s="55" t="s">
        <v>454</v>
      </c>
      <c r="C341" s="354" t="str">
        <f>HLOOKUP(Deckblatt!$C$12,Language!$C$1:$D$730,497,FALSE)</f>
        <v>Mobilitätsinfrastruktur– Nicht Motorisierter Verkehr</v>
      </c>
      <c r="D341" s="354"/>
      <c r="E341" s="355"/>
      <c r="F341" s="66">
        <f>Q341</f>
        <v>0</v>
      </c>
      <c r="G341" s="364"/>
      <c r="H341" s="21">
        <v>100</v>
      </c>
      <c r="I341" s="176">
        <v>3</v>
      </c>
      <c r="J341" s="340"/>
      <c r="K341" s="341"/>
      <c r="L341" s="341"/>
      <c r="M341" s="341"/>
      <c r="N341" s="342"/>
      <c r="P341" s="18">
        <f t="shared" si="12"/>
        <v>0</v>
      </c>
      <c r="Q341" s="337">
        <f>IF(SUM(P343:P357)&gt;100,100,SUM(P343:P357))</f>
        <v>0</v>
      </c>
      <c r="R341" s="343">
        <f>Q341/100</f>
        <v>0</v>
      </c>
      <c r="S341" s="474"/>
      <c r="T341" s="344"/>
      <c r="U341" s="475"/>
    </row>
    <row r="342" spans="2:21" ht="13.2" customHeight="1" x14ac:dyDescent="0.25">
      <c r="B342" s="375"/>
      <c r="C342" s="351" t="s">
        <v>54</v>
      </c>
      <c r="D342" s="352" t="str">
        <f>HLOOKUP(Deckblatt!$C$12,Language!$C$1:$D$730,498,FALSE)</f>
        <v>Mobilitätselemente für Rad- und Fußgänger/innen</v>
      </c>
      <c r="E342" s="353"/>
      <c r="F342" s="363"/>
      <c r="G342" s="364"/>
      <c r="H342" s="21">
        <v>30</v>
      </c>
      <c r="I342" s="379"/>
      <c r="J342" s="340"/>
      <c r="K342" s="341"/>
      <c r="L342" s="341"/>
      <c r="M342" s="341"/>
      <c r="N342" s="342"/>
      <c r="P342" s="18">
        <f t="shared" si="12"/>
        <v>0</v>
      </c>
      <c r="Q342" s="338"/>
      <c r="R342" s="344"/>
      <c r="S342" s="474"/>
      <c r="T342" s="344"/>
      <c r="U342" s="475"/>
    </row>
    <row r="343" spans="2:21" ht="52.8" x14ac:dyDescent="0.25">
      <c r="B343" s="375"/>
      <c r="C343" s="351"/>
      <c r="D343" s="71" t="s">
        <v>58</v>
      </c>
      <c r="E343" s="134" t="str">
        <f>HLOOKUP(Deckblatt!$C$12,Language!$C$1:$D$730,499,FALSE)</f>
        <v xml:space="preserve">Rad-/Fußgängerverkehr fördernde Mobilitätselemente
Pro (innovativem) Mobilitätselement können 10 Punkte angerechnet werden. Beispiele sind unter Methode Indikator 1 aufgeführt.
</v>
      </c>
      <c r="F343" s="363"/>
      <c r="G343" s="69"/>
      <c r="H343" s="18">
        <v>30</v>
      </c>
      <c r="I343" s="379"/>
      <c r="J343" s="340"/>
      <c r="K343" s="341"/>
      <c r="L343" s="341"/>
      <c r="M343" s="341"/>
      <c r="N343" s="342"/>
      <c r="P343" s="18">
        <f t="shared" si="12"/>
        <v>0</v>
      </c>
      <c r="Q343" s="338"/>
      <c r="R343" s="344"/>
      <c r="S343" s="474"/>
      <c r="T343" s="344"/>
      <c r="U343" s="475"/>
    </row>
    <row r="344" spans="2:21" ht="13.2" customHeight="1" x14ac:dyDescent="0.25">
      <c r="B344" s="375"/>
      <c r="C344" s="359" t="s">
        <v>61</v>
      </c>
      <c r="D344" s="352" t="str">
        <f>HLOOKUP(Deckblatt!$C$12,Language!$C$1:$D$730,500,FALSE)</f>
        <v>Mobilitätsinfrastruktur für den Radverkehr</v>
      </c>
      <c r="E344" s="353"/>
      <c r="F344" s="363"/>
      <c r="G344" s="113"/>
      <c r="H344" s="21">
        <v>19</v>
      </c>
      <c r="I344" s="379"/>
      <c r="J344" s="340"/>
      <c r="K344" s="341"/>
      <c r="L344" s="341"/>
      <c r="M344" s="341"/>
      <c r="N344" s="342"/>
      <c r="P344" s="18">
        <f t="shared" si="12"/>
        <v>0</v>
      </c>
      <c r="Q344" s="338"/>
      <c r="R344" s="344"/>
      <c r="S344" s="474"/>
      <c r="T344" s="344"/>
      <c r="U344" s="475"/>
    </row>
    <row r="345" spans="2:21" ht="26.4" x14ac:dyDescent="0.25">
      <c r="B345" s="375"/>
      <c r="C345" s="390"/>
      <c r="D345" s="71" t="s">
        <v>63</v>
      </c>
      <c r="E345" s="229" t="str">
        <f>HLOOKUP(Deckblatt!$C$12,Language!$C$1:$D$730,501,FALSE)</f>
        <v xml:space="preserve">Priorisierung des Radverkehrs im Quartier 
</v>
      </c>
      <c r="F345" s="363"/>
      <c r="G345" s="69"/>
      <c r="H345" s="18">
        <v>6</v>
      </c>
      <c r="I345" s="379"/>
      <c r="J345" s="340"/>
      <c r="K345" s="341"/>
      <c r="L345" s="341"/>
      <c r="M345" s="341"/>
      <c r="N345" s="342"/>
      <c r="P345" s="18">
        <f t="shared" si="12"/>
        <v>0</v>
      </c>
      <c r="Q345" s="338"/>
      <c r="R345" s="344"/>
      <c r="S345" s="474"/>
      <c r="T345" s="344"/>
      <c r="U345" s="475"/>
    </row>
    <row r="346" spans="2:21" ht="26.4" x14ac:dyDescent="0.25">
      <c r="B346" s="375"/>
      <c r="C346" s="390"/>
      <c r="D346" s="71" t="s">
        <v>186</v>
      </c>
      <c r="E346" s="229" t="str">
        <f>HLOOKUP(Deckblatt!$C$12,Language!$C$1:$D$730,502,FALSE)</f>
        <v xml:space="preserve">Priorisierung des Radverkehrs am Standort
</v>
      </c>
      <c r="F346" s="363"/>
      <c r="G346" s="69"/>
      <c r="H346" s="18">
        <v>7</v>
      </c>
      <c r="I346" s="379"/>
      <c r="J346" s="340"/>
      <c r="K346" s="341"/>
      <c r="L346" s="341"/>
      <c r="M346" s="341"/>
      <c r="N346" s="342"/>
      <c r="P346" s="18">
        <f t="shared" si="12"/>
        <v>0</v>
      </c>
      <c r="Q346" s="338"/>
      <c r="R346" s="344"/>
      <c r="S346" s="474"/>
      <c r="T346" s="344"/>
      <c r="U346" s="475"/>
    </row>
    <row r="347" spans="2:21" ht="26.4" x14ac:dyDescent="0.25">
      <c r="B347" s="375"/>
      <c r="C347" s="360"/>
      <c r="D347" s="71" t="s">
        <v>255</v>
      </c>
      <c r="E347" s="229" t="str">
        <f>HLOOKUP(Deckblatt!$C$12,Language!$C$1:$D$730,503,FALSE)</f>
        <v xml:space="preserve">Erfüllungsgrad der Quantitativen Anforderungen
</v>
      </c>
      <c r="F347" s="363"/>
      <c r="G347" s="69"/>
      <c r="H347" s="18">
        <v>6</v>
      </c>
      <c r="I347" s="379"/>
      <c r="J347" s="340"/>
      <c r="K347" s="341"/>
      <c r="L347" s="341"/>
      <c r="M347" s="341"/>
      <c r="N347" s="342"/>
      <c r="P347" s="18">
        <f t="shared" si="12"/>
        <v>0</v>
      </c>
      <c r="Q347" s="338"/>
      <c r="R347" s="344"/>
      <c r="S347" s="474"/>
      <c r="T347" s="344"/>
      <c r="U347" s="475"/>
    </row>
    <row r="348" spans="2:21" ht="13.2" customHeight="1" x14ac:dyDescent="0.25">
      <c r="B348" s="375"/>
      <c r="C348" s="351" t="s">
        <v>64</v>
      </c>
      <c r="D348" s="352" t="str">
        <f>HLOOKUP(Deckblatt!$C$12,Language!$C$1:$D$730,504,FALSE)</f>
        <v>Qualität der Abstellanlagen für Fahrräder</v>
      </c>
      <c r="E348" s="353"/>
      <c r="F348" s="363"/>
      <c r="G348" s="113"/>
      <c r="H348" s="21">
        <v>20</v>
      </c>
      <c r="I348" s="379"/>
      <c r="J348" s="340"/>
      <c r="K348" s="341"/>
      <c r="L348" s="341"/>
      <c r="M348" s="341"/>
      <c r="N348" s="342"/>
      <c r="P348" s="18">
        <f t="shared" si="12"/>
        <v>0</v>
      </c>
      <c r="Q348" s="338"/>
      <c r="R348" s="344"/>
      <c r="S348" s="474"/>
      <c r="T348" s="344"/>
      <c r="U348" s="475"/>
    </row>
    <row r="349" spans="2:21" ht="26.4" x14ac:dyDescent="0.25">
      <c r="B349" s="375"/>
      <c r="C349" s="351"/>
      <c r="D349" s="71" t="s">
        <v>66</v>
      </c>
      <c r="E349" s="229" t="str">
        <f>HLOOKUP(Deckblatt!$C$12,Language!$C$1:$D$730,505,FALSE)</f>
        <v xml:space="preserve">Qualität der Abstellanlagen
</v>
      </c>
      <c r="F349" s="363"/>
      <c r="G349" s="69"/>
      <c r="H349" s="18">
        <v>20</v>
      </c>
      <c r="I349" s="379"/>
      <c r="J349" s="340"/>
      <c r="K349" s="341"/>
      <c r="L349" s="341"/>
      <c r="M349" s="341"/>
      <c r="N349" s="342"/>
      <c r="P349" s="18">
        <f t="shared" si="12"/>
        <v>0</v>
      </c>
      <c r="Q349" s="338"/>
      <c r="R349" s="344"/>
      <c r="S349" s="474"/>
      <c r="T349" s="344"/>
      <c r="U349" s="475"/>
    </row>
    <row r="350" spans="2:21" ht="13.2" customHeight="1" x14ac:dyDescent="0.25">
      <c r="B350" s="375"/>
      <c r="C350" s="351" t="s">
        <v>67</v>
      </c>
      <c r="D350" s="352" t="str">
        <f>HLOOKUP(Deckblatt!$C$12,Language!$C$1:$D$730,506,FALSE)</f>
        <v>Wegweisungssysteme für Radverkehr</v>
      </c>
      <c r="E350" s="353"/>
      <c r="F350" s="363"/>
      <c r="G350" s="113"/>
      <c r="H350" s="21">
        <v>10</v>
      </c>
      <c r="I350" s="379"/>
      <c r="J350" s="340"/>
      <c r="K350" s="341"/>
      <c r="L350" s="341"/>
      <c r="M350" s="341"/>
      <c r="N350" s="342"/>
      <c r="P350" s="18">
        <f t="shared" si="12"/>
        <v>0</v>
      </c>
      <c r="Q350" s="338"/>
      <c r="R350" s="344"/>
      <c r="S350" s="474"/>
      <c r="T350" s="344"/>
      <c r="U350" s="475"/>
    </row>
    <row r="351" spans="2:21" ht="26.4" x14ac:dyDescent="0.25">
      <c r="B351" s="375"/>
      <c r="C351" s="351"/>
      <c r="D351" s="71" t="s">
        <v>69</v>
      </c>
      <c r="E351" s="229" t="str">
        <f>HLOOKUP(Deckblatt!$C$12,Language!$C$1:$D$730,507,FALSE)</f>
        <v xml:space="preserve">Wegweisungssysteme
</v>
      </c>
      <c r="F351" s="363"/>
      <c r="G351" s="69"/>
      <c r="H351" s="18">
        <v>10</v>
      </c>
      <c r="I351" s="379"/>
      <c r="J351" s="340"/>
      <c r="K351" s="341"/>
      <c r="L351" s="341"/>
      <c r="M351" s="341"/>
      <c r="N351" s="342"/>
      <c r="P351" s="18">
        <f t="shared" si="12"/>
        <v>0</v>
      </c>
      <c r="Q351" s="338"/>
      <c r="R351" s="344"/>
      <c r="S351" s="474"/>
      <c r="T351" s="344"/>
      <c r="U351" s="475"/>
    </row>
    <row r="352" spans="2:21" ht="13.2" customHeight="1" x14ac:dyDescent="0.25">
      <c r="B352" s="375"/>
      <c r="C352" s="351" t="s">
        <v>154</v>
      </c>
      <c r="D352" s="352" t="str">
        <f>HLOOKUP(Deckblatt!$C$12,Language!$C$1:$D$730,508,FALSE)</f>
        <v>Fußwegenetz</v>
      </c>
      <c r="E352" s="353"/>
      <c r="F352" s="363"/>
      <c r="G352" s="113"/>
      <c r="H352" s="21">
        <v>15</v>
      </c>
      <c r="I352" s="379"/>
      <c r="J352" s="340"/>
      <c r="K352" s="341"/>
      <c r="L352" s="341"/>
      <c r="M352" s="341"/>
      <c r="N352" s="342"/>
      <c r="P352" s="18">
        <f t="shared" si="12"/>
        <v>0</v>
      </c>
      <c r="Q352" s="338"/>
      <c r="R352" s="344"/>
      <c r="S352" s="474"/>
      <c r="T352" s="344"/>
      <c r="U352" s="475"/>
    </row>
    <row r="353" spans="2:21" ht="26.4" x14ac:dyDescent="0.25">
      <c r="B353" s="375"/>
      <c r="C353" s="351"/>
      <c r="D353" s="71" t="s">
        <v>156</v>
      </c>
      <c r="E353" s="229" t="str">
        <f>HLOOKUP(Deckblatt!$C$12,Language!$C$1:$D$730,509,FALSE)</f>
        <v xml:space="preserve">Fußgängerinfrastruktur
</v>
      </c>
      <c r="F353" s="363"/>
      <c r="G353" s="69"/>
      <c r="H353" s="18">
        <v>15</v>
      </c>
      <c r="I353" s="379"/>
      <c r="J353" s="340"/>
      <c r="K353" s="341"/>
      <c r="L353" s="341"/>
      <c r="M353" s="341"/>
      <c r="N353" s="342"/>
      <c r="P353" s="18">
        <f t="shared" si="12"/>
        <v>0</v>
      </c>
      <c r="Q353" s="338"/>
      <c r="R353" s="344"/>
      <c r="S353" s="474"/>
      <c r="T353" s="344"/>
      <c r="U353" s="475"/>
    </row>
    <row r="354" spans="2:21" ht="13.2" customHeight="1" x14ac:dyDescent="0.25">
      <c r="B354" s="375"/>
      <c r="C354" s="351" t="s">
        <v>282</v>
      </c>
      <c r="D354" s="352" t="str">
        <f>HLOOKUP(Deckblatt!$C$12,Language!$C$1:$D$730,512,FALSE)</f>
        <v>Wegweisungssysteme für Fußgänger/-innen</v>
      </c>
      <c r="E354" s="353"/>
      <c r="F354" s="363"/>
      <c r="G354" s="356"/>
      <c r="H354" s="21">
        <v>10</v>
      </c>
      <c r="I354" s="379"/>
      <c r="J354" s="340"/>
      <c r="K354" s="341"/>
      <c r="L354" s="341"/>
      <c r="M354" s="341"/>
      <c r="N354" s="342"/>
      <c r="P354" s="18">
        <f t="shared" ref="P354:P389" si="13">IF(G354&gt;H354,H354,G354)</f>
        <v>0</v>
      </c>
      <c r="Q354" s="338"/>
      <c r="R354" s="344"/>
      <c r="S354" s="474"/>
      <c r="T354" s="344"/>
      <c r="U354" s="475"/>
    </row>
    <row r="355" spans="2:21" x14ac:dyDescent="0.25">
      <c r="B355" s="375"/>
      <c r="C355" s="351"/>
      <c r="D355" s="361" t="s">
        <v>284</v>
      </c>
      <c r="E355" s="229" t="str">
        <f>HLOOKUP(Deckblatt!$C$12,Language!$C$1:$D$730,513,FALSE)</f>
        <v>Wegweisungssysteme</v>
      </c>
      <c r="F355" s="363"/>
      <c r="G355" s="356"/>
      <c r="H355" s="21">
        <v>10</v>
      </c>
      <c r="I355" s="379"/>
      <c r="J355" s="340"/>
      <c r="K355" s="341"/>
      <c r="L355" s="341"/>
      <c r="M355" s="341"/>
      <c r="N355" s="342"/>
      <c r="P355" s="18">
        <f t="shared" si="13"/>
        <v>0</v>
      </c>
      <c r="Q355" s="338"/>
      <c r="R355" s="344"/>
      <c r="S355" s="474"/>
      <c r="T355" s="344"/>
      <c r="U355" s="475"/>
    </row>
    <row r="356" spans="2:21" ht="39.6" x14ac:dyDescent="0.25">
      <c r="B356" s="375"/>
      <c r="C356" s="351"/>
      <c r="D356" s="361"/>
      <c r="E356" s="134" t="str">
        <f>HLOOKUP(Deckblatt!$C$12,Language!$C$1:$D$730,514,FALSE)</f>
        <v xml:space="preserve">Flächendeckende Beschilderung (Ziele, Entfernungen, ggf. Gehminuten) ist vorhanden, die wichtigsten Ziele sind ausgeschildert.≤ 30 Minuten
</v>
      </c>
      <c r="F356" s="363"/>
      <c r="G356" s="69"/>
      <c r="H356" s="18">
        <v>5</v>
      </c>
      <c r="I356" s="379"/>
      <c r="J356" s="340"/>
      <c r="K356" s="341"/>
      <c r="L356" s="341"/>
      <c r="M356" s="341"/>
      <c r="N356" s="342"/>
      <c r="P356" s="18">
        <f t="shared" si="13"/>
        <v>0</v>
      </c>
      <c r="Q356" s="338"/>
      <c r="R356" s="344"/>
      <c r="S356" s="474"/>
      <c r="T356" s="344"/>
      <c r="U356" s="475"/>
    </row>
    <row r="357" spans="2:21" ht="40.200000000000003" thickBot="1" x14ac:dyDescent="0.3">
      <c r="B357" s="377"/>
      <c r="C357" s="351"/>
      <c r="D357" s="361"/>
      <c r="E357" s="134" t="str">
        <f>HLOOKUP(Deckblatt!$C$12,Language!$C$1:$D$730,515,FALSE)</f>
        <v xml:space="preserve">Flächendeckende Orientierungspläne (z. B. an zentralen Einrichtungen, Plätzen etc.) unterstützen die Orientierung und erhöhen die Sicherheit.
</v>
      </c>
      <c r="F357" s="378"/>
      <c r="G357" s="70"/>
      <c r="H357" s="59">
        <v>5</v>
      </c>
      <c r="I357" s="380"/>
      <c r="J357" s="340"/>
      <c r="K357" s="341"/>
      <c r="L357" s="341"/>
      <c r="M357" s="341"/>
      <c r="N357" s="342"/>
      <c r="P357" s="18">
        <f t="shared" si="13"/>
        <v>0</v>
      </c>
      <c r="Q357" s="339"/>
      <c r="R357" s="365"/>
      <c r="S357" s="474"/>
      <c r="T357" s="365"/>
      <c r="U357" s="475"/>
    </row>
    <row r="358" spans="2:21" x14ac:dyDescent="0.25">
      <c r="B358" s="49" t="s">
        <v>474</v>
      </c>
      <c r="C358" s="438" t="str">
        <f>IF($N$3="Bestand",HLOOKUP(Deckblatt!$C$12,Language!$C$1:$D$730,537,FALSE),HLOOKUP(Deckblatt!$C$12,Language!$C$1:$D$730,516,FALSE))</f>
        <v>Integrale Planung</v>
      </c>
      <c r="D358" s="438"/>
      <c r="E358" s="439"/>
      <c r="F358" s="62">
        <f>Q358</f>
        <v>0</v>
      </c>
      <c r="G358" s="391"/>
      <c r="H358" s="51">
        <v>100</v>
      </c>
      <c r="I358" s="178">
        <f>IF(OR($N$3="Bestand",$N$3="Mischung"),0,3)</f>
        <v>0</v>
      </c>
      <c r="J358" s="340"/>
      <c r="K358" s="341"/>
      <c r="L358" s="341"/>
      <c r="M358" s="341"/>
      <c r="N358" s="342"/>
      <c r="P358" s="18">
        <f t="shared" si="13"/>
        <v>0</v>
      </c>
      <c r="Q358" s="337">
        <f>SUM(P361:P370)</f>
        <v>0</v>
      </c>
      <c r="R358" s="343">
        <f>Q358/100</f>
        <v>0</v>
      </c>
      <c r="S358" s="474">
        <v>0.2</v>
      </c>
      <c r="T358" s="343">
        <f>IF((R358*I358+R371*I371+R390*I390+R405*I405)/(I358+I371+I390+I405)&gt;1,1,(R358*I358+R371*I371+R390*I390+R405*I405)/(I358+I371+I390+I405))</f>
        <v>0</v>
      </c>
      <c r="U358" s="475"/>
    </row>
    <row r="359" spans="2:21" ht="13.2" customHeight="1" x14ac:dyDescent="0.25">
      <c r="B359" s="375"/>
      <c r="C359" s="351" t="s">
        <v>54</v>
      </c>
      <c r="D359" s="352" t="str">
        <f>HLOOKUP(Deckblatt!$C$12,Language!$C$1:$D$730,517,FALSE)</f>
        <v>Integrales Planungsteam</v>
      </c>
      <c r="E359" s="353"/>
      <c r="F359" s="363"/>
      <c r="G359" s="364"/>
      <c r="H359" s="21">
        <f>IF(OR($N$3="Bestand",$N$3="Mischung"),0,36)</f>
        <v>0</v>
      </c>
      <c r="I359" s="379"/>
      <c r="J359" s="340"/>
      <c r="K359" s="341"/>
      <c r="L359" s="341"/>
      <c r="M359" s="341"/>
      <c r="N359" s="342"/>
      <c r="P359" s="18">
        <f t="shared" si="13"/>
        <v>0</v>
      </c>
      <c r="Q359" s="338"/>
      <c r="R359" s="344"/>
      <c r="S359" s="474"/>
      <c r="T359" s="344"/>
      <c r="U359" s="475"/>
    </row>
    <row r="360" spans="2:21" x14ac:dyDescent="0.25">
      <c r="B360" s="375"/>
      <c r="C360" s="351"/>
      <c r="D360" s="361" t="s">
        <v>58</v>
      </c>
      <c r="E360" s="229" t="str">
        <f>HLOOKUP(Deckblatt!$C$12,Language!$C$1:$D$730,518,FALSE)</f>
        <v>Kernplanungsteam</v>
      </c>
      <c r="F360" s="363"/>
      <c r="G360" s="364"/>
      <c r="H360" s="21">
        <f>IF(OR($N$3="Bestand",$N$3="Mischung"),0,36)</f>
        <v>0</v>
      </c>
      <c r="I360" s="379"/>
      <c r="J360" s="340"/>
      <c r="K360" s="341"/>
      <c r="L360" s="341"/>
      <c r="M360" s="341"/>
      <c r="N360" s="342"/>
      <c r="P360" s="18">
        <f t="shared" si="13"/>
        <v>0</v>
      </c>
      <c r="Q360" s="338"/>
      <c r="R360" s="344"/>
      <c r="S360" s="474"/>
      <c r="T360" s="344"/>
      <c r="U360" s="475"/>
    </row>
    <row r="361" spans="2:21" ht="26.4" x14ac:dyDescent="0.25">
      <c r="B361" s="375"/>
      <c r="C361" s="351"/>
      <c r="D361" s="361"/>
      <c r="E361" s="134" t="str">
        <f>HLOOKUP(Deckblatt!$C$12,Language!$C$1:$D$730,519,FALSE)</f>
        <v xml:space="preserve">Für jede Disziplin des Kern- Planungsteams (max. 4 Disziplinen / max. 24 PUNKTE) </v>
      </c>
      <c r="F361" s="363"/>
      <c r="G361" s="69"/>
      <c r="H361" s="18">
        <f>IF(OR($N$3="Bestand",$N$3="Mischung"),0,24)</f>
        <v>0</v>
      </c>
      <c r="I361" s="379"/>
      <c r="J361" s="340"/>
      <c r="K361" s="341"/>
      <c r="L361" s="341"/>
      <c r="M361" s="341"/>
      <c r="N361" s="342"/>
      <c r="P361" s="18">
        <f t="shared" si="13"/>
        <v>0</v>
      </c>
      <c r="Q361" s="338"/>
      <c r="R361" s="344"/>
      <c r="S361" s="474"/>
      <c r="T361" s="344"/>
      <c r="U361" s="475"/>
    </row>
    <row r="362" spans="2:21" ht="39.6" x14ac:dyDescent="0.25">
      <c r="B362" s="375"/>
      <c r="C362" s="351"/>
      <c r="D362" s="361"/>
      <c r="E362" s="134" t="str">
        <f>HLOOKUP(Deckblatt!$C$12,Language!$C$1:$D$730,520,FALSE)</f>
        <v xml:space="preserve">Für jede Disziplin der zusätzlich wünschenswerten Disziplinen (max. 4 Disziplinen / max. 12 PUNKTE) 
</v>
      </c>
      <c r="F362" s="363"/>
      <c r="G362" s="69"/>
      <c r="H362" s="18">
        <f>IF(OR($N$3="Bestand",$N$3="Mischung"),0,12)</f>
        <v>0</v>
      </c>
      <c r="I362" s="379"/>
      <c r="J362" s="340"/>
      <c r="K362" s="341"/>
      <c r="L362" s="341"/>
      <c r="M362" s="341"/>
      <c r="N362" s="342"/>
      <c r="P362" s="18">
        <f t="shared" si="13"/>
        <v>0</v>
      </c>
      <c r="Q362" s="338"/>
      <c r="R362" s="344"/>
      <c r="S362" s="474"/>
      <c r="T362" s="344"/>
      <c r="U362" s="475"/>
    </row>
    <row r="363" spans="2:21" ht="13.2" customHeight="1" x14ac:dyDescent="0.25">
      <c r="B363" s="375"/>
      <c r="C363" s="351" t="s">
        <v>61</v>
      </c>
      <c r="D363" s="352" t="str">
        <f>HLOOKUP(Deckblatt!$C$12,Language!$C$1:$D$730,521,FALSE)</f>
        <v>Integraler Planungsprozess</v>
      </c>
      <c r="E363" s="353"/>
      <c r="F363" s="363"/>
      <c r="G363" s="113"/>
      <c r="H363" s="21">
        <f>IF(OR($N$3="Bestand",$N$3="Mischung"),0,34)</f>
        <v>0</v>
      </c>
      <c r="I363" s="379"/>
      <c r="J363" s="340"/>
      <c r="K363" s="341"/>
      <c r="L363" s="341"/>
      <c r="M363" s="341"/>
      <c r="N363" s="342"/>
      <c r="P363" s="18">
        <f t="shared" si="13"/>
        <v>0</v>
      </c>
      <c r="Q363" s="338"/>
      <c r="R363" s="344"/>
      <c r="S363" s="474"/>
      <c r="T363" s="344"/>
      <c r="U363" s="475"/>
    </row>
    <row r="364" spans="2:21" ht="39.6" x14ac:dyDescent="0.25">
      <c r="B364" s="375"/>
      <c r="C364" s="351"/>
      <c r="D364" s="71" t="s">
        <v>63</v>
      </c>
      <c r="E364" s="229" t="str">
        <f>HLOOKUP(Deckblatt!$C$12,Language!$C$1:$D$730,522,FALSE)</f>
        <v xml:space="preserve">Zeitpunkt der Integration von DGNB Zertifizierungskriterien in den Planungsprozess
</v>
      </c>
      <c r="F364" s="363"/>
      <c r="G364" s="69"/>
      <c r="H364" s="18">
        <f>IF(OR($N$3="Bestand",$N$3="Mischung"),0,23)</f>
        <v>0</v>
      </c>
      <c r="I364" s="379"/>
      <c r="J364" s="340"/>
      <c r="K364" s="341"/>
      <c r="L364" s="341"/>
      <c r="M364" s="341"/>
      <c r="N364" s="342"/>
      <c r="P364" s="18">
        <f t="shared" si="13"/>
        <v>0</v>
      </c>
      <c r="Q364" s="338"/>
      <c r="R364" s="344"/>
      <c r="S364" s="474"/>
      <c r="T364" s="344"/>
      <c r="U364" s="475"/>
    </row>
    <row r="365" spans="2:21" ht="26.4" x14ac:dyDescent="0.25">
      <c r="B365" s="375"/>
      <c r="C365" s="351"/>
      <c r="D365" s="71" t="s">
        <v>186</v>
      </c>
      <c r="E365" s="229" t="str">
        <f>HLOOKUP(Deckblatt!$C$12,Language!$C$1:$D$730,523,FALSE)</f>
        <v xml:space="preserve">Zusammenarbeit des Planungsteam
</v>
      </c>
      <c r="F365" s="363"/>
      <c r="G365" s="69"/>
      <c r="H365" s="18">
        <f>IF(OR($N$3="Bestand",$N$3="Mischung"),0,11)</f>
        <v>0</v>
      </c>
      <c r="I365" s="379"/>
      <c r="J365" s="340"/>
      <c r="K365" s="341"/>
      <c r="L365" s="341"/>
      <c r="M365" s="341"/>
      <c r="N365" s="342"/>
      <c r="P365" s="18">
        <f t="shared" si="13"/>
        <v>0</v>
      </c>
      <c r="Q365" s="338"/>
      <c r="R365" s="344"/>
      <c r="S365" s="474"/>
      <c r="T365" s="344"/>
      <c r="U365" s="475"/>
    </row>
    <row r="366" spans="2:21" ht="13.2" customHeight="1" x14ac:dyDescent="0.25">
      <c r="B366" s="375"/>
      <c r="C366" s="351" t="s">
        <v>64</v>
      </c>
      <c r="D366" s="352" t="str">
        <f>HLOOKUP(Deckblatt!$C$12,Language!$C$1:$D$730,528,FALSE)</f>
        <v>Planungsszenarien und -varianten</v>
      </c>
      <c r="E366" s="353"/>
      <c r="F366" s="363"/>
      <c r="G366" s="113"/>
      <c r="H366" s="21">
        <f>IF(OR($N$3="Bestand",$N$3="Mischung"),0,30)</f>
        <v>0</v>
      </c>
      <c r="I366" s="379"/>
      <c r="J366" s="340"/>
      <c r="K366" s="341"/>
      <c r="L366" s="341"/>
      <c r="M366" s="341"/>
      <c r="N366" s="342"/>
      <c r="P366" s="18">
        <f t="shared" si="13"/>
        <v>0</v>
      </c>
      <c r="Q366" s="338"/>
      <c r="R366" s="344"/>
      <c r="S366" s="474"/>
      <c r="T366" s="344"/>
      <c r="U366" s="475"/>
    </row>
    <row r="367" spans="2:21" ht="26.4" x14ac:dyDescent="0.25">
      <c r="B367" s="375"/>
      <c r="C367" s="351"/>
      <c r="D367" s="71" t="s">
        <v>66</v>
      </c>
      <c r="E367" s="229" t="str">
        <f>HLOOKUP(Deckblatt!$C$12,Language!$C$1:$D$730,529,FALSE)</f>
        <v xml:space="preserve">Planungsszenarien
</v>
      </c>
      <c r="F367" s="363"/>
      <c r="G367" s="69"/>
      <c r="H367" s="18">
        <f>IF(OR($N$3="Bestand",$N$3="Mischung"),0,6)</f>
        <v>0</v>
      </c>
      <c r="I367" s="379"/>
      <c r="J367" s="340"/>
      <c r="K367" s="341"/>
      <c r="L367" s="341"/>
      <c r="M367" s="341"/>
      <c r="N367" s="342"/>
      <c r="P367" s="18">
        <f t="shared" si="13"/>
        <v>0</v>
      </c>
      <c r="Q367" s="338"/>
      <c r="R367" s="344"/>
      <c r="S367" s="474"/>
      <c r="T367" s="344"/>
      <c r="U367" s="475"/>
    </row>
    <row r="368" spans="2:21" ht="26.4" x14ac:dyDescent="0.25">
      <c r="B368" s="375"/>
      <c r="C368" s="351"/>
      <c r="D368" s="71" t="s">
        <v>188</v>
      </c>
      <c r="E368" s="229" t="str">
        <f>HLOOKUP(Deckblatt!$C$12,Language!$C$1:$D$730,530,FALSE)</f>
        <v xml:space="preserve">Planungsvarianten 
</v>
      </c>
      <c r="F368" s="363"/>
      <c r="G368" s="69"/>
      <c r="H368" s="18">
        <f>IF(OR($N$3="Bestand",$N$3="Mischung"),0,6)</f>
        <v>0</v>
      </c>
      <c r="I368" s="379"/>
      <c r="J368" s="340"/>
      <c r="K368" s="341"/>
      <c r="L368" s="341"/>
      <c r="M368" s="341"/>
      <c r="N368" s="342"/>
      <c r="P368" s="18">
        <f t="shared" si="13"/>
        <v>0</v>
      </c>
      <c r="Q368" s="338"/>
      <c r="R368" s="344"/>
      <c r="S368" s="474"/>
      <c r="T368" s="344"/>
      <c r="U368" s="475"/>
    </row>
    <row r="369" spans="2:21" x14ac:dyDescent="0.25">
      <c r="B369" s="375"/>
      <c r="C369" s="351"/>
      <c r="D369" s="361" t="s">
        <v>150</v>
      </c>
      <c r="E369" s="229" t="str">
        <f>HLOOKUP(Deckblatt!$C$12,Language!$C$1:$D$730,531,FALSE)</f>
        <v>Verfahren zur gestalterischen und funktionalen Konzeptfindung</v>
      </c>
      <c r="F369" s="363"/>
      <c r="G369" s="113"/>
      <c r="H369" s="21">
        <f>IF(OR($N$3="Bestand",$N$3="Mischung"),0,18)</f>
        <v>0</v>
      </c>
      <c r="I369" s="379"/>
      <c r="J369" s="340"/>
      <c r="K369" s="341"/>
      <c r="L369" s="341"/>
      <c r="M369" s="341"/>
      <c r="N369" s="342"/>
      <c r="P369" s="18">
        <f t="shared" si="13"/>
        <v>0</v>
      </c>
      <c r="Q369" s="338"/>
      <c r="R369" s="344"/>
      <c r="S369" s="474"/>
      <c r="T369" s="344"/>
      <c r="U369" s="475"/>
    </row>
    <row r="370" spans="2:21" ht="26.4" x14ac:dyDescent="0.25">
      <c r="B370" s="375"/>
      <c r="C370" s="351"/>
      <c r="D370" s="361"/>
      <c r="E370" s="134" t="str">
        <f>HLOOKUP(Deckblatt!$C$12,Language!$C$1:$D$730,532,FALSE)</f>
        <v>Konzeptfindung/Leitbildfindung für Planung von Gebäuden und Außenanlagen (nicht für Produktionsprozesse).</v>
      </c>
      <c r="F370" s="363"/>
      <c r="G370" s="69"/>
      <c r="H370" s="18">
        <f>IF(OR($N$3="Bestand",$N$3="Mischung"),0,18)</f>
        <v>0</v>
      </c>
      <c r="I370" s="379"/>
      <c r="J370" s="340"/>
      <c r="K370" s="341"/>
      <c r="L370" s="341"/>
      <c r="M370" s="341"/>
      <c r="N370" s="342"/>
      <c r="P370" s="18">
        <f t="shared" si="13"/>
        <v>0</v>
      </c>
      <c r="Q370" s="338"/>
      <c r="R370" s="344"/>
      <c r="S370" s="474"/>
      <c r="T370" s="344"/>
      <c r="U370" s="475"/>
    </row>
    <row r="371" spans="2:21" x14ac:dyDescent="0.25">
      <c r="B371" s="55" t="s">
        <v>495</v>
      </c>
      <c r="C371" s="354" t="str">
        <f>HLOOKUP(Deckblatt!$C$12,Language!$C$1:$D$730,538,FALSE)</f>
        <v>Partizipation</v>
      </c>
      <c r="D371" s="354"/>
      <c r="E371" s="355"/>
      <c r="F371" s="66">
        <f>Q371</f>
        <v>0</v>
      </c>
      <c r="G371" s="364"/>
      <c r="H371" s="21">
        <v>100</v>
      </c>
      <c r="I371" s="176">
        <v>3</v>
      </c>
      <c r="J371" s="340"/>
      <c r="K371" s="341"/>
      <c r="L371" s="341"/>
      <c r="M371" s="341"/>
      <c r="N371" s="342"/>
      <c r="P371" s="18">
        <f t="shared" si="13"/>
        <v>0</v>
      </c>
      <c r="Q371" s="337">
        <f>SUM(MAX(P373:P375),MAX(P377:P379),MAX(P381:P383),P386:P389)</f>
        <v>0</v>
      </c>
      <c r="R371" s="343">
        <f>Q371/100</f>
        <v>0</v>
      </c>
      <c r="S371" s="474"/>
      <c r="T371" s="344"/>
      <c r="U371" s="475"/>
    </row>
    <row r="372" spans="2:21" ht="80.099999999999994" customHeight="1" x14ac:dyDescent="0.25">
      <c r="B372" s="345"/>
      <c r="C372" s="351" t="s">
        <v>54</v>
      </c>
      <c r="D372" s="367"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372" s="368"/>
      <c r="F372" s="363"/>
      <c r="G372" s="364"/>
      <c r="H372" s="21">
        <f>IF($N$3="Bestand",0,25)</f>
        <v>25</v>
      </c>
      <c r="I372" s="379"/>
      <c r="J372" s="340"/>
      <c r="K372" s="341"/>
      <c r="L372" s="341"/>
      <c r="M372" s="341"/>
      <c r="N372" s="342"/>
      <c r="P372" s="18">
        <f t="shared" si="13"/>
        <v>0</v>
      </c>
      <c r="Q372" s="338"/>
      <c r="R372" s="344"/>
      <c r="S372" s="474"/>
      <c r="T372" s="344"/>
      <c r="U372" s="475"/>
    </row>
    <row r="373" spans="2:21" ht="26.4" x14ac:dyDescent="0.25">
      <c r="B373" s="346"/>
      <c r="C373" s="351"/>
      <c r="D373" s="71" t="s">
        <v>58</v>
      </c>
      <c r="E373" s="134" t="str">
        <f>HLOOKUP(Deckblatt!$C$12,Language!$C$1:$D$730,540,FALSE)</f>
        <v xml:space="preserve">Information
</v>
      </c>
      <c r="F373" s="363"/>
      <c r="G373" s="69"/>
      <c r="H373" s="18">
        <f>IF($N$3="Bestand",0,8)</f>
        <v>8</v>
      </c>
      <c r="I373" s="379"/>
      <c r="J373" s="340"/>
      <c r="K373" s="341"/>
      <c r="L373" s="341"/>
      <c r="M373" s="341"/>
      <c r="N373" s="342"/>
      <c r="P373" s="18">
        <f t="shared" si="13"/>
        <v>0</v>
      </c>
      <c r="Q373" s="338"/>
      <c r="R373" s="344"/>
      <c r="S373" s="474"/>
      <c r="T373" s="344"/>
      <c r="U373" s="475"/>
    </row>
    <row r="374" spans="2:21" ht="39.6" x14ac:dyDescent="0.25">
      <c r="B374" s="346"/>
      <c r="C374" s="351"/>
      <c r="D374" s="71" t="s">
        <v>181</v>
      </c>
      <c r="E374" s="134" t="str">
        <f>HLOOKUP(Deckblatt!$C$12,Language!$C$1:$D$730,541,FALSE)</f>
        <v xml:space="preserve">Konsultative Nutzerbeteiligung / Beratung
</v>
      </c>
      <c r="F374" s="363"/>
      <c r="G374" s="69"/>
      <c r="H374" s="18">
        <f>IF($N$3="Bestand",0,15)</f>
        <v>15</v>
      </c>
      <c r="I374" s="379"/>
      <c r="J374" s="340"/>
      <c r="K374" s="341"/>
      <c r="L374" s="341"/>
      <c r="M374" s="341"/>
      <c r="N374" s="342"/>
      <c r="P374" s="18">
        <f t="shared" si="13"/>
        <v>0</v>
      </c>
      <c r="Q374" s="338"/>
      <c r="R374" s="344"/>
      <c r="S374" s="474"/>
      <c r="T374" s="344"/>
      <c r="U374" s="475"/>
    </row>
    <row r="375" spans="2:21" ht="26.4" x14ac:dyDescent="0.25">
      <c r="B375" s="346"/>
      <c r="C375" s="351"/>
      <c r="D375" s="71" t="s">
        <v>246</v>
      </c>
      <c r="E375" s="134" t="str">
        <f>HLOOKUP(Deckblatt!$C$12,Language!$C$1:$D$730,542,FALSE)</f>
        <v xml:space="preserve">Mitbestimmung
</v>
      </c>
      <c r="F375" s="363"/>
      <c r="G375" s="69"/>
      <c r="H375" s="18">
        <f>IF($N$3="Bestand",0,25)</f>
        <v>25</v>
      </c>
      <c r="I375" s="379"/>
      <c r="J375" s="340"/>
      <c r="K375" s="341"/>
      <c r="L375" s="341"/>
      <c r="M375" s="341"/>
      <c r="N375" s="342"/>
      <c r="P375" s="18">
        <f t="shared" si="13"/>
        <v>0</v>
      </c>
      <c r="Q375" s="338"/>
      <c r="R375" s="344"/>
      <c r="S375" s="474"/>
      <c r="T375" s="344"/>
      <c r="U375" s="475"/>
    </row>
    <row r="376" spans="2:21" ht="80.099999999999994" customHeight="1" x14ac:dyDescent="0.25">
      <c r="B376" s="346"/>
      <c r="C376" s="351" t="s">
        <v>61</v>
      </c>
      <c r="D376" s="367"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376" s="368"/>
      <c r="F376" s="363"/>
      <c r="G376" s="113"/>
      <c r="H376" s="21">
        <f>IF($N$3="Bestand",0,25)</f>
        <v>25</v>
      </c>
      <c r="I376" s="379"/>
      <c r="J376" s="340"/>
      <c r="K376" s="341"/>
      <c r="L376" s="341"/>
      <c r="M376" s="341"/>
      <c r="N376" s="342"/>
      <c r="P376" s="18">
        <f t="shared" si="13"/>
        <v>0</v>
      </c>
      <c r="Q376" s="338"/>
      <c r="R376" s="344"/>
      <c r="S376" s="474"/>
      <c r="T376" s="344"/>
      <c r="U376" s="475"/>
    </row>
    <row r="377" spans="2:21" ht="26.4" x14ac:dyDescent="0.25">
      <c r="B377" s="346"/>
      <c r="C377" s="351"/>
      <c r="D377" s="71" t="s">
        <v>63</v>
      </c>
      <c r="E377" s="134" t="str">
        <f>HLOOKUP(Deckblatt!$C$12,Language!$C$1:$D$730,545,FALSE)</f>
        <v xml:space="preserve">Information
</v>
      </c>
      <c r="F377" s="363"/>
      <c r="G377" s="69"/>
      <c r="H377" s="18">
        <f>IF($N$3="Bestand",0,8)</f>
        <v>8</v>
      </c>
      <c r="I377" s="379"/>
      <c r="J377" s="340"/>
      <c r="K377" s="341"/>
      <c r="L377" s="341"/>
      <c r="M377" s="341"/>
      <c r="N377" s="342"/>
      <c r="P377" s="18">
        <f t="shared" si="13"/>
        <v>0</v>
      </c>
      <c r="Q377" s="338"/>
      <c r="R377" s="344"/>
      <c r="S377" s="474"/>
      <c r="T377" s="344"/>
      <c r="U377" s="475"/>
    </row>
    <row r="378" spans="2:21" ht="39.6" x14ac:dyDescent="0.25">
      <c r="B378" s="346"/>
      <c r="C378" s="351"/>
      <c r="D378" s="71" t="s">
        <v>186</v>
      </c>
      <c r="E378" s="134" t="str">
        <f>HLOOKUP(Deckblatt!$C$12,Language!$C$1:$D$730,546,FALSE)</f>
        <v xml:space="preserve">Konsultative Nutzerbeteiligung
</v>
      </c>
      <c r="F378" s="363"/>
      <c r="G378" s="69"/>
      <c r="H378" s="18">
        <f>IF($N$3="Bestand",0,15)</f>
        <v>15</v>
      </c>
      <c r="I378" s="379"/>
      <c r="J378" s="340"/>
      <c r="K378" s="341"/>
      <c r="L378" s="341"/>
      <c r="M378" s="341"/>
      <c r="N378" s="342"/>
      <c r="P378" s="18">
        <f t="shared" si="13"/>
        <v>0</v>
      </c>
      <c r="Q378" s="338"/>
      <c r="R378" s="344"/>
      <c r="S378" s="474"/>
      <c r="T378" s="344"/>
      <c r="U378" s="475"/>
    </row>
    <row r="379" spans="2:21" ht="88.5" customHeight="1" x14ac:dyDescent="0.25">
      <c r="B379" s="346"/>
      <c r="C379" s="351"/>
      <c r="D379" s="71" t="s">
        <v>255</v>
      </c>
      <c r="E379" s="134" t="str">
        <f>HLOOKUP(Deckblatt!$C$12,Language!$C$1:$D$730,547,FALSE)</f>
        <v xml:space="preserve">Mitbestimmung
</v>
      </c>
      <c r="F379" s="363"/>
      <c r="G379" s="69"/>
      <c r="H379" s="18">
        <f>IF($N$3="Bestand",0,25)</f>
        <v>25</v>
      </c>
      <c r="I379" s="379"/>
      <c r="J379" s="340"/>
      <c r="K379" s="341"/>
      <c r="L379" s="341"/>
      <c r="M379" s="341"/>
      <c r="N379" s="342"/>
      <c r="P379" s="18">
        <f t="shared" si="13"/>
        <v>0</v>
      </c>
      <c r="Q379" s="338"/>
      <c r="R379" s="344"/>
      <c r="S379" s="474"/>
      <c r="T379" s="344"/>
      <c r="U379" s="475"/>
    </row>
    <row r="380" spans="2:21" ht="80.099999999999994" customHeight="1" x14ac:dyDescent="0.25">
      <c r="B380" s="346"/>
      <c r="C380" s="351" t="s">
        <v>64</v>
      </c>
      <c r="D380" s="367"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380" s="368"/>
      <c r="F380" s="363"/>
      <c r="G380" s="113"/>
      <c r="H380" s="21">
        <f>IF($N$3="Bestand",0,25)</f>
        <v>25</v>
      </c>
      <c r="I380" s="379"/>
      <c r="J380" s="340"/>
      <c r="K380" s="341"/>
      <c r="L380" s="341"/>
      <c r="M380" s="341"/>
      <c r="N380" s="342"/>
      <c r="P380" s="18">
        <f t="shared" si="13"/>
        <v>0</v>
      </c>
      <c r="Q380" s="338"/>
      <c r="R380" s="344"/>
      <c r="S380" s="474"/>
      <c r="T380" s="344"/>
      <c r="U380" s="475"/>
    </row>
    <row r="381" spans="2:21" ht="39.6" x14ac:dyDescent="0.25">
      <c r="B381" s="346"/>
      <c r="C381" s="351"/>
      <c r="D381" s="71" t="s">
        <v>66</v>
      </c>
      <c r="E381" s="134" t="str">
        <f>HLOOKUP(Deckblatt!$C$12,Language!$C$1:$D$730,550,FALSE)</f>
        <v xml:space="preserve">Information
</v>
      </c>
      <c r="F381" s="363"/>
      <c r="G381" s="69"/>
      <c r="H381" s="18">
        <f>IF($N$3="Bestand",0,8)</f>
        <v>8</v>
      </c>
      <c r="I381" s="379"/>
      <c r="J381" s="340"/>
      <c r="K381" s="341"/>
      <c r="L381" s="341"/>
      <c r="M381" s="341"/>
      <c r="N381" s="342"/>
      <c r="P381" s="18">
        <f t="shared" si="13"/>
        <v>0</v>
      </c>
      <c r="Q381" s="338"/>
      <c r="R381" s="344"/>
      <c r="S381" s="474"/>
      <c r="T381" s="344"/>
      <c r="U381" s="475"/>
    </row>
    <row r="382" spans="2:21" ht="39.6" x14ac:dyDescent="0.25">
      <c r="B382" s="346"/>
      <c r="C382" s="351"/>
      <c r="D382" s="71" t="s">
        <v>188</v>
      </c>
      <c r="E382" s="134" t="str">
        <f>HLOOKUP(Deckblatt!$C$12,Language!$C$1:$D$730,551,FALSE)</f>
        <v xml:space="preserve">Konsultative Nutzerbeteiligung
</v>
      </c>
      <c r="F382" s="363"/>
      <c r="G382" s="69"/>
      <c r="H382" s="18">
        <f>IF($N$3="Bestand",0,15)</f>
        <v>15</v>
      </c>
      <c r="I382" s="379"/>
      <c r="J382" s="340"/>
      <c r="K382" s="341"/>
      <c r="L382" s="341"/>
      <c r="M382" s="341"/>
      <c r="N382" s="342"/>
      <c r="P382" s="18">
        <f t="shared" si="13"/>
        <v>0</v>
      </c>
      <c r="Q382" s="338"/>
      <c r="R382" s="344"/>
      <c r="S382" s="474"/>
      <c r="T382" s="344"/>
      <c r="U382" s="475"/>
    </row>
    <row r="383" spans="2:21" ht="26.4" x14ac:dyDescent="0.25">
      <c r="B383" s="346"/>
      <c r="C383" s="351"/>
      <c r="D383" s="71" t="s">
        <v>150</v>
      </c>
      <c r="E383" s="134" t="str">
        <f>HLOOKUP(Deckblatt!$C$12,Language!$C$1:$D$730,552,FALSE)</f>
        <v xml:space="preserve">Mitbestimmung
</v>
      </c>
      <c r="F383" s="363"/>
      <c r="G383" s="69"/>
      <c r="H383" s="18">
        <f>IF($N$3="Bestand",0,25)</f>
        <v>25</v>
      </c>
      <c r="I383" s="379"/>
      <c r="J383" s="340"/>
      <c r="K383" s="341"/>
      <c r="L383" s="341"/>
      <c r="M383" s="341"/>
      <c r="N383" s="342"/>
      <c r="P383" s="18">
        <f t="shared" si="13"/>
        <v>0</v>
      </c>
      <c r="Q383" s="338"/>
      <c r="R383" s="344"/>
      <c r="S383" s="474"/>
      <c r="T383" s="344"/>
      <c r="U383" s="475"/>
    </row>
    <row r="384" spans="2:21" ht="36.6" customHeight="1" x14ac:dyDescent="0.25">
      <c r="B384" s="346"/>
      <c r="C384" s="359" t="s">
        <v>67</v>
      </c>
      <c r="D384" s="367"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384" s="368"/>
      <c r="F384" s="363"/>
      <c r="G384" s="113"/>
      <c r="H384" s="21">
        <v>25</v>
      </c>
      <c r="I384" s="379"/>
      <c r="J384" s="340"/>
      <c r="K384" s="341"/>
      <c r="L384" s="341"/>
      <c r="M384" s="341"/>
      <c r="N384" s="342"/>
      <c r="P384" s="18">
        <f t="shared" si="13"/>
        <v>0</v>
      </c>
      <c r="Q384" s="338"/>
      <c r="R384" s="344"/>
      <c r="S384" s="474"/>
      <c r="T384" s="344"/>
      <c r="U384" s="475"/>
    </row>
    <row r="385" spans="2:21" ht="26.4" x14ac:dyDescent="0.25">
      <c r="B385" s="346"/>
      <c r="C385" s="390"/>
      <c r="D385" s="71" t="s">
        <v>69</v>
      </c>
      <c r="E385" s="134" t="str">
        <f>HLOOKUP(Deckblatt!$C$12,Language!$C$1:$D$730,555,FALSE)</f>
        <v xml:space="preserve">Information
</v>
      </c>
      <c r="F385" s="363"/>
      <c r="G385" s="113"/>
      <c r="H385" s="18">
        <v>25</v>
      </c>
      <c r="I385" s="379"/>
      <c r="J385" s="340"/>
      <c r="K385" s="341"/>
      <c r="L385" s="341"/>
      <c r="M385" s="341"/>
      <c r="N385" s="342"/>
      <c r="P385" s="18">
        <f t="shared" si="13"/>
        <v>0</v>
      </c>
      <c r="Q385" s="338"/>
      <c r="R385" s="344"/>
      <c r="S385" s="474"/>
      <c r="T385" s="344"/>
      <c r="U385" s="475"/>
    </row>
    <row r="386" spans="2:21" ht="105.6" x14ac:dyDescent="0.25">
      <c r="B386" s="346"/>
      <c r="C386" s="390"/>
      <c r="D386" s="164" t="s">
        <v>855</v>
      </c>
      <c r="E386" s="134" t="str">
        <f>HLOOKUP(Deckblatt!$C$12,Language!$C$1:$D$730,556,FALSE)</f>
        <v xml:space="preserve">Bei Industrie gibt es ein Budget für die Beteiligung der Mitarbeiter und
Umsetzung von Vorschlägen, welches das Ziel hat:
- die soziale Qualität und Mitarbeiterzufriedenheit zu erhöhen 
   (Neubau 4 BWP | Bestand 12,5 BWP)
- die ökologische Qualität zu erhöhen
   (Neubau 3 BWP | Bestand 12,5 BWP) </v>
      </c>
      <c r="F386" s="140"/>
      <c r="G386" s="69"/>
      <c r="H386" s="18">
        <f>IF($N$3="Bestand",25,7)</f>
        <v>7</v>
      </c>
      <c r="I386" s="181"/>
      <c r="J386" s="340"/>
      <c r="K386" s="341"/>
      <c r="L386" s="341"/>
      <c r="M386" s="341"/>
      <c r="N386" s="342"/>
      <c r="P386" s="18">
        <f t="shared" si="13"/>
        <v>0</v>
      </c>
      <c r="Q386" s="338"/>
      <c r="R386" s="344"/>
      <c r="S386" s="474"/>
      <c r="T386" s="344"/>
      <c r="U386" s="475"/>
    </row>
    <row r="387" spans="2:21" ht="92.4" x14ac:dyDescent="0.25">
      <c r="B387" s="346"/>
      <c r="C387" s="390"/>
      <c r="D387" s="164" t="s">
        <v>856</v>
      </c>
      <c r="E387" s="134" t="str">
        <f>HLOOKUP(Deckblatt!$C$12,Language!$C$1:$D$730,557,FALSE)</f>
        <v xml:space="preserve">Bei Industrie gibt es ein institutionalisiertes Managementsystem zur Aufnahme, Bewertung und Umsetzung der Beiträge im:
- sozialen Bereich  (Neubau 3 BWP | Bestand 12,5 BWP)
- ökologischen Bereich  (Neubau 3 BWP | Bestand 12,5 BWP) 
</v>
      </c>
      <c r="F387" s="140"/>
      <c r="G387" s="69"/>
      <c r="H387" s="18">
        <f>IF($N$3="Bestand",25,6)</f>
        <v>6</v>
      </c>
      <c r="I387" s="181"/>
      <c r="J387" s="340"/>
      <c r="K387" s="341"/>
      <c r="L387" s="341"/>
      <c r="M387" s="341"/>
      <c r="N387" s="342"/>
      <c r="P387" s="18">
        <f t="shared" si="13"/>
        <v>0</v>
      </c>
      <c r="Q387" s="338"/>
      <c r="R387" s="344"/>
      <c r="S387" s="474"/>
      <c r="T387" s="344"/>
      <c r="U387" s="475"/>
    </row>
    <row r="388" spans="2:21" ht="105.6" x14ac:dyDescent="0.25">
      <c r="B388" s="346"/>
      <c r="C388" s="390"/>
      <c r="D388" s="164" t="s">
        <v>857</v>
      </c>
      <c r="E388" s="134" t="str">
        <f>HLOOKUP(Deckblatt!$C$12,Language!$C$1:$D$730,558,FALSE)</f>
        <v xml:space="preserve">Bei Industrie gibt es ein Anreizsystem zur Beteiligung der Mitarbeiter (z. B.Werbung, Prämien) für:
- Maßnahmen zur Verbesserung der Mitarbeiterzufriedenheit
   (Neubau 3 BWP | Bestand 12,5 BWP)
- ökologischen Bereich
   (Neubau 3 BWP | Bestand 12,5 BWP) </v>
      </c>
      <c r="F388" s="140"/>
      <c r="G388" s="69"/>
      <c r="H388" s="18">
        <f>IF($N$3="Bestand",25,6)</f>
        <v>6</v>
      </c>
      <c r="I388" s="181"/>
      <c r="J388" s="340"/>
      <c r="K388" s="341"/>
      <c r="L388" s="341"/>
      <c r="M388" s="341"/>
      <c r="N388" s="342"/>
      <c r="P388" s="18">
        <f t="shared" si="13"/>
        <v>0</v>
      </c>
      <c r="Q388" s="338"/>
      <c r="R388" s="344"/>
      <c r="S388" s="474"/>
      <c r="T388" s="344"/>
      <c r="U388" s="475"/>
    </row>
    <row r="389" spans="2:21" ht="105.6" x14ac:dyDescent="0.25">
      <c r="B389" s="370"/>
      <c r="C389" s="360"/>
      <c r="D389" s="164" t="s">
        <v>858</v>
      </c>
      <c r="E389" s="134" t="str">
        <f>HLOOKUP(Deckblatt!$C$12,Language!$C$1:$D$730,559,FALSE)</f>
        <v xml:space="preserve">Bei Industrie gibt es eine regelmäßige Berichterstattung der Werksleitung und Mitarbeitern zu den Vorschlägen und Maßnahmen im:
- sozialen Bereich 
   (Neubau 3 BWP | Bestand 12,5 BWP)
- ökologischen Bereich
   (Neubau 3 BWP | Bestand 12,5 BWP) </v>
      </c>
      <c r="F389" s="140"/>
      <c r="G389" s="69"/>
      <c r="H389" s="18">
        <f>IF($N$3="Bestand",25,6)</f>
        <v>6</v>
      </c>
      <c r="I389" s="181"/>
      <c r="J389" s="340"/>
      <c r="K389" s="341"/>
      <c r="L389" s="341"/>
      <c r="M389" s="341"/>
      <c r="N389" s="342"/>
      <c r="P389" s="18">
        <f t="shared" si="13"/>
        <v>0</v>
      </c>
      <c r="Q389" s="339"/>
      <c r="R389" s="365"/>
      <c r="S389" s="474"/>
      <c r="T389" s="344"/>
      <c r="U389" s="475"/>
    </row>
    <row r="390" spans="2:21" x14ac:dyDescent="0.25">
      <c r="B390" s="55" t="s">
        <v>536</v>
      </c>
      <c r="C390" s="354" t="str">
        <f>HLOOKUP(Deckblatt!$C$12,Language!$C$1:$D$730,627,FALSE)</f>
        <v>Baustelle, Bauprozesse</v>
      </c>
      <c r="D390" s="354"/>
      <c r="E390" s="355"/>
      <c r="F390" s="66">
        <f>Q390</f>
        <v>0</v>
      </c>
      <c r="G390" s="364"/>
      <c r="H390" s="21">
        <v>110</v>
      </c>
      <c r="I390" s="176">
        <f>IF(OR($N$3="Bestand",$N$3="Mischung"),0,2)</f>
        <v>0</v>
      </c>
      <c r="J390" s="340"/>
      <c r="K390" s="341"/>
      <c r="L390" s="341"/>
      <c r="M390" s="341"/>
      <c r="N390" s="342"/>
      <c r="P390" s="18">
        <f t="shared" ref="P390:P421" si="14">IF(G390&gt;H390,H390,G390)</f>
        <v>0</v>
      </c>
      <c r="Q390" s="337">
        <f>SUM(P392:P398,MAX(P400:P401),MAX(P403:P404))</f>
        <v>0</v>
      </c>
      <c r="R390" s="343">
        <f>Q390/100</f>
        <v>0</v>
      </c>
      <c r="S390" s="474"/>
      <c r="T390" s="344"/>
      <c r="U390" s="475"/>
    </row>
    <row r="391" spans="2:21" ht="13.2" customHeight="1" x14ac:dyDescent="0.25">
      <c r="B391" s="345"/>
      <c r="C391" s="359" t="s">
        <v>54</v>
      </c>
      <c r="D391" s="352" t="str">
        <f>HLOOKUP(Deckblatt!$C$12,Language!$C$1:$D$730,628,FALSE)</f>
        <v>Beschilderung und Information</v>
      </c>
      <c r="E391" s="353"/>
      <c r="F391" s="347"/>
      <c r="G391" s="364"/>
      <c r="H391" s="21">
        <f>IF($N$3="Bestand",0,15)</f>
        <v>15</v>
      </c>
      <c r="I391" s="349"/>
      <c r="J391" s="340"/>
      <c r="K391" s="341"/>
      <c r="L391" s="341"/>
      <c r="M391" s="341"/>
      <c r="N391" s="342"/>
      <c r="P391" s="18">
        <f t="shared" si="14"/>
        <v>0</v>
      </c>
      <c r="Q391" s="338"/>
      <c r="R391" s="344"/>
      <c r="S391" s="474"/>
      <c r="T391" s="344"/>
      <c r="U391" s="475"/>
    </row>
    <row r="392" spans="2:21" ht="52.8" x14ac:dyDescent="0.25">
      <c r="B392" s="346"/>
      <c r="C392" s="390"/>
      <c r="D392" s="160" t="s">
        <v>58</v>
      </c>
      <c r="E392" s="134" t="str">
        <f>HLOOKUP(Deckblatt!$C$12,Language!$C$1:$D$730,629,FALSE)</f>
        <v>Konzept und Maßnahmen
Anwohner werden über Beschilderung über das Bauvorhaben und Baustelle informiert. Hierzu zählen Bauinformationen, Wegeführung, ggf. Verantwortliche und Ansprechpartner.</v>
      </c>
      <c r="F392" s="348"/>
      <c r="G392" s="69"/>
      <c r="H392" s="18">
        <f>IF(OR($N$3="Bestand",$N$3="Mischung"),0,5)</f>
        <v>0</v>
      </c>
      <c r="I392" s="350"/>
      <c r="J392" s="340"/>
      <c r="K392" s="341"/>
      <c r="L392" s="341"/>
      <c r="M392" s="341"/>
      <c r="N392" s="342"/>
      <c r="P392" s="18">
        <f t="shared" si="14"/>
        <v>0</v>
      </c>
      <c r="Q392" s="338"/>
      <c r="R392" s="344"/>
      <c r="S392" s="474"/>
      <c r="T392" s="344"/>
      <c r="U392" s="475"/>
    </row>
    <row r="393" spans="2:21" ht="118.8" x14ac:dyDescent="0.25">
      <c r="B393" s="346"/>
      <c r="C393" s="360"/>
      <c r="D393" s="160" t="s">
        <v>181</v>
      </c>
      <c r="E393"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393" s="348"/>
      <c r="G393" s="69"/>
      <c r="H393" s="18">
        <f>IF(OR($N$3="Bestand",$N$3="Mischung"),0,10)</f>
        <v>0</v>
      </c>
      <c r="I393" s="350"/>
      <c r="J393" s="340"/>
      <c r="K393" s="341"/>
      <c r="L393" s="341"/>
      <c r="M393" s="341"/>
      <c r="N393" s="342"/>
      <c r="P393" s="18">
        <f t="shared" si="14"/>
        <v>0</v>
      </c>
      <c r="Q393" s="338"/>
      <c r="R393" s="344"/>
      <c r="S393" s="474"/>
      <c r="T393" s="344"/>
      <c r="U393" s="475"/>
    </row>
    <row r="394" spans="2:21" x14ac:dyDescent="0.25">
      <c r="B394" s="346"/>
      <c r="C394" s="351" t="s">
        <v>61</v>
      </c>
      <c r="D394" s="352" t="str">
        <f>HLOOKUP(Deckblatt!$C$12,Language!$C$1:$D$730,631,FALSE)</f>
        <v>Abfall</v>
      </c>
      <c r="E394" s="353"/>
      <c r="F394" s="348"/>
      <c r="G394" s="113"/>
      <c r="H394" s="21">
        <f>IF(OR($N$3="Bestand",$N$3="Mischung"),0,25)</f>
        <v>0</v>
      </c>
      <c r="I394" s="350"/>
      <c r="J394" s="340"/>
      <c r="K394" s="341"/>
      <c r="L394" s="341"/>
      <c r="M394" s="341"/>
      <c r="N394" s="342"/>
      <c r="P394" s="18">
        <f t="shared" si="14"/>
        <v>0</v>
      </c>
      <c r="Q394" s="338"/>
      <c r="R394" s="344"/>
      <c r="S394" s="474"/>
      <c r="T394" s="344"/>
      <c r="U394" s="475"/>
    </row>
    <row r="395" spans="2:21" ht="52.8" x14ac:dyDescent="0.25">
      <c r="B395" s="346"/>
      <c r="C395" s="351"/>
      <c r="D395" s="160" t="s">
        <v>63</v>
      </c>
      <c r="E395" s="134" t="str">
        <f>HLOOKUP(Deckblatt!$C$12,Language!$C$1:$D$730,632,FALSE)</f>
        <v xml:space="preserve">Abfall
(Details siehe Kriterium)
</v>
      </c>
      <c r="F395" s="348"/>
      <c r="G395" s="69"/>
      <c r="H395" s="18">
        <f>IF(OR($N$3="Bestand",$N$3="Mischung"),0,25)</f>
        <v>0</v>
      </c>
      <c r="I395" s="350"/>
      <c r="J395" s="340"/>
      <c r="K395" s="341"/>
      <c r="L395" s="341"/>
      <c r="M395" s="341"/>
      <c r="N395" s="342"/>
      <c r="P395" s="18">
        <f t="shared" si="14"/>
        <v>0</v>
      </c>
      <c r="Q395" s="338"/>
      <c r="R395" s="344"/>
      <c r="S395" s="474"/>
      <c r="T395" s="344"/>
      <c r="U395" s="475"/>
    </row>
    <row r="396" spans="2:21" ht="79.2" x14ac:dyDescent="0.25">
      <c r="B396" s="346"/>
      <c r="C396" s="351"/>
      <c r="D396" s="71" t="s">
        <v>186</v>
      </c>
      <c r="E396" s="239" t="str">
        <f>HLOOKUP(Deckblatt!$C$12,Language!$C$1:$D$730,633,FALSE)</f>
        <v xml:space="preserve">CIRCULAR ECONOMY BONUS – ABFALLVERMEIDUNG AUF DER BAUSTELLE
Auf der Baustelle werden neuartige und in wesentlichem Umfang abfallvermeidende Konzepte, Bauweisen oder Technologien umgesetzt.
</v>
      </c>
      <c r="F396" s="348"/>
      <c r="G396" s="69"/>
      <c r="H396" s="18">
        <f>IF(OR($N$3="Bestand",$N$3="Mischung"),0,10)</f>
        <v>0</v>
      </c>
      <c r="I396" s="350"/>
      <c r="J396" s="340"/>
      <c r="K396" s="341"/>
      <c r="L396" s="341"/>
      <c r="M396" s="341"/>
      <c r="N396" s="342"/>
      <c r="P396" s="18">
        <f t="shared" si="14"/>
        <v>0</v>
      </c>
      <c r="Q396" s="338"/>
      <c r="R396" s="344"/>
      <c r="S396" s="474"/>
      <c r="T396" s="344"/>
      <c r="U396" s="475"/>
    </row>
    <row r="397" spans="2:21" x14ac:dyDescent="0.25">
      <c r="B397" s="346"/>
      <c r="C397" s="351" t="s">
        <v>64</v>
      </c>
      <c r="D397" s="352" t="str">
        <f>HLOOKUP(Deckblatt!$C$12,Language!$C$1:$D$730,634,FALSE)</f>
        <v>Lärm</v>
      </c>
      <c r="E397" s="353"/>
      <c r="F397" s="348"/>
      <c r="G397" s="113"/>
      <c r="H397" s="21">
        <f t="shared" ref="H397:H404" si="15">IF(OR($N$3="Bestand",$N$3="Mischung"),0,20)</f>
        <v>0</v>
      </c>
      <c r="I397" s="350"/>
      <c r="J397" s="340"/>
      <c r="K397" s="341"/>
      <c r="L397" s="341"/>
      <c r="M397" s="341"/>
      <c r="N397" s="342"/>
      <c r="P397" s="18">
        <f t="shared" si="14"/>
        <v>0</v>
      </c>
      <c r="Q397" s="338"/>
      <c r="R397" s="344"/>
      <c r="S397" s="474"/>
      <c r="T397" s="344"/>
      <c r="U397" s="475"/>
    </row>
    <row r="398" spans="2:21" ht="52.8" x14ac:dyDescent="0.25">
      <c r="B398" s="346"/>
      <c r="C398" s="351"/>
      <c r="D398" s="71" t="s">
        <v>66</v>
      </c>
      <c r="E398" s="134" t="str">
        <f>HLOOKUP(Deckblatt!$C$12,Language!$C$1:$D$730,635,FALSE)</f>
        <v xml:space="preserve">Lärm
(Details siehe Kriterium)
</v>
      </c>
      <c r="F398" s="348"/>
      <c r="G398" s="69"/>
      <c r="H398" s="18">
        <f t="shared" si="15"/>
        <v>0</v>
      </c>
      <c r="I398" s="350"/>
      <c r="J398" s="340"/>
      <c r="K398" s="341"/>
      <c r="L398" s="341"/>
      <c r="M398" s="341"/>
      <c r="N398" s="342"/>
      <c r="P398" s="18">
        <f t="shared" si="14"/>
        <v>0</v>
      </c>
      <c r="Q398" s="338"/>
      <c r="R398" s="344"/>
      <c r="S398" s="474"/>
      <c r="T398" s="344"/>
      <c r="U398" s="475"/>
    </row>
    <row r="399" spans="2:21" x14ac:dyDescent="0.25">
      <c r="B399" s="346"/>
      <c r="C399" s="351" t="s">
        <v>67</v>
      </c>
      <c r="D399" s="352" t="str">
        <f>HLOOKUP(Deckblatt!$C$12,Language!$C$1:$D$730,636,FALSE)</f>
        <v>Staub</v>
      </c>
      <c r="E399" s="353"/>
      <c r="F399" s="348"/>
      <c r="G399" s="113"/>
      <c r="H399" s="21">
        <f t="shared" si="15"/>
        <v>0</v>
      </c>
      <c r="I399" s="350"/>
      <c r="J399" s="340"/>
      <c r="K399" s="341"/>
      <c r="L399" s="341"/>
      <c r="M399" s="341"/>
      <c r="N399" s="342"/>
      <c r="P399" s="18">
        <f t="shared" si="14"/>
        <v>0</v>
      </c>
      <c r="Q399" s="338"/>
      <c r="R399" s="344"/>
      <c r="S399" s="474"/>
      <c r="T399" s="344"/>
      <c r="U399" s="475"/>
    </row>
    <row r="400" spans="2:21" ht="52.8" x14ac:dyDescent="0.25">
      <c r="B400" s="346"/>
      <c r="C400" s="351"/>
      <c r="D400" s="71" t="s">
        <v>69</v>
      </c>
      <c r="E400" s="134" t="str">
        <f>HLOOKUP(Deckblatt!$C$12,Language!$C$1:$D$730,637,FALSE)</f>
        <v xml:space="preserve">Staub
(Details siehe Kriterium)
</v>
      </c>
      <c r="F400" s="348"/>
      <c r="G400" s="69"/>
      <c r="H400" s="18">
        <f t="shared" si="15"/>
        <v>0</v>
      </c>
      <c r="I400" s="350"/>
      <c r="J400" s="340"/>
      <c r="K400" s="341"/>
      <c r="L400" s="341"/>
      <c r="M400" s="341"/>
      <c r="N400" s="342"/>
      <c r="P400" s="18">
        <f t="shared" si="14"/>
        <v>0</v>
      </c>
      <c r="Q400" s="338"/>
      <c r="R400" s="344"/>
      <c r="S400" s="474"/>
      <c r="T400" s="344"/>
      <c r="U400" s="475"/>
    </row>
    <row r="401" spans="2:21" ht="66" x14ac:dyDescent="0.25">
      <c r="B401" s="346"/>
      <c r="C401" s="351"/>
      <c r="D401" s="57" t="s">
        <v>542</v>
      </c>
      <c r="E401"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401" s="348"/>
      <c r="G401" s="69"/>
      <c r="H401" s="18">
        <f t="shared" si="15"/>
        <v>0</v>
      </c>
      <c r="I401" s="350"/>
      <c r="J401" s="340"/>
      <c r="K401" s="341"/>
      <c r="L401" s="341"/>
      <c r="M401" s="341"/>
      <c r="N401" s="342"/>
      <c r="P401" s="18">
        <f t="shared" si="14"/>
        <v>0</v>
      </c>
      <c r="Q401" s="338"/>
      <c r="R401" s="344"/>
      <c r="S401" s="474"/>
      <c r="T401" s="344"/>
      <c r="U401" s="475"/>
    </row>
    <row r="402" spans="2:21" ht="13.2" customHeight="1" x14ac:dyDescent="0.25">
      <c r="B402" s="346"/>
      <c r="C402" s="359" t="s">
        <v>154</v>
      </c>
      <c r="D402" s="352" t="str">
        <f>HLOOKUP(Deckblatt!$C$12,Language!$C$1:$D$730,639,FALSE)</f>
        <v>Umwelt- und Naturschutz</v>
      </c>
      <c r="E402" s="353"/>
      <c r="F402" s="348"/>
      <c r="G402" s="113"/>
      <c r="H402" s="21">
        <f t="shared" si="15"/>
        <v>0</v>
      </c>
      <c r="I402" s="350"/>
      <c r="J402" s="340"/>
      <c r="K402" s="341"/>
      <c r="L402" s="341"/>
      <c r="M402" s="341"/>
      <c r="N402" s="342"/>
      <c r="P402" s="18">
        <f t="shared" si="14"/>
        <v>0</v>
      </c>
      <c r="Q402" s="338"/>
      <c r="R402" s="344"/>
      <c r="S402" s="474"/>
      <c r="T402" s="344"/>
      <c r="U402" s="475"/>
    </row>
    <row r="403" spans="2:21" ht="52.8" x14ac:dyDescent="0.25">
      <c r="B403" s="346"/>
      <c r="C403" s="390"/>
      <c r="D403" s="71" t="s">
        <v>156</v>
      </c>
      <c r="E403" s="134" t="str">
        <f>HLOOKUP(Deckblatt!$C$12,Language!$C$1:$D$730,640,FALSE)</f>
        <v xml:space="preserve">Umwelt- und Naturschutz
(Details siehe Kriterium)
</v>
      </c>
      <c r="F403" s="348"/>
      <c r="G403" s="69"/>
      <c r="H403" s="18">
        <f t="shared" si="15"/>
        <v>0</v>
      </c>
      <c r="I403" s="350"/>
      <c r="J403" s="340"/>
      <c r="K403" s="341"/>
      <c r="L403" s="341"/>
      <c r="M403" s="341"/>
      <c r="N403" s="342"/>
      <c r="P403" s="18">
        <f t="shared" si="14"/>
        <v>0</v>
      </c>
      <c r="Q403" s="338"/>
      <c r="R403" s="344"/>
      <c r="S403" s="474"/>
      <c r="T403" s="344"/>
      <c r="U403" s="475"/>
    </row>
    <row r="404" spans="2:21" ht="92.4" x14ac:dyDescent="0.25">
      <c r="B404" s="370"/>
      <c r="C404" s="360"/>
      <c r="D404" s="57" t="s">
        <v>694</v>
      </c>
      <c r="E404"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404" s="371"/>
      <c r="G404" s="69"/>
      <c r="H404" s="18">
        <f t="shared" si="15"/>
        <v>0</v>
      </c>
      <c r="I404" s="366"/>
      <c r="J404" s="340"/>
      <c r="K404" s="341"/>
      <c r="L404" s="341"/>
      <c r="M404" s="341"/>
      <c r="N404" s="342"/>
      <c r="P404" s="18">
        <f t="shared" si="14"/>
        <v>0</v>
      </c>
      <c r="Q404" s="339"/>
      <c r="R404" s="365"/>
      <c r="S404" s="474"/>
      <c r="T404" s="344"/>
      <c r="U404" s="475"/>
    </row>
    <row r="405" spans="2:21" ht="13.8" thickBot="1" x14ac:dyDescent="0.3">
      <c r="B405" s="215" t="s">
        <v>545</v>
      </c>
      <c r="C405" s="354" t="str">
        <f>HLOOKUP(Deckblatt!$C$12,Language!$C$1:$D$730,642,FALSE)</f>
        <v>Qualitätssicherung &amp; Monitoring</v>
      </c>
      <c r="D405" s="354"/>
      <c r="E405" s="355"/>
      <c r="F405" s="66">
        <f>Q405</f>
        <v>0</v>
      </c>
      <c r="G405" s="364"/>
      <c r="H405" s="21">
        <v>100</v>
      </c>
      <c r="I405" s="176">
        <v>3</v>
      </c>
      <c r="J405" s="340"/>
      <c r="K405" s="341"/>
      <c r="L405" s="341"/>
      <c r="M405" s="341"/>
      <c r="N405" s="342"/>
      <c r="P405" s="18">
        <f t="shared" si="14"/>
        <v>0</v>
      </c>
      <c r="Q405" s="337">
        <f>SUM(P407:P408,IF(SUM(P411:P416)&gt;35,35,SUM(P411:P416)),P418:P419,P421)</f>
        <v>0</v>
      </c>
      <c r="R405" s="343">
        <f>Q405/100</f>
        <v>0</v>
      </c>
      <c r="S405" s="474"/>
      <c r="T405" s="344"/>
      <c r="U405" s="475"/>
    </row>
    <row r="406" spans="2:21" ht="13.2" customHeight="1" x14ac:dyDescent="0.25">
      <c r="B406" s="501"/>
      <c r="C406" s="386" t="s">
        <v>54</v>
      </c>
      <c r="D406" s="352" t="str">
        <f>HLOOKUP(Deckblatt!$C$12,Language!$C$1:$D$730,649,FALSE)</f>
        <v>Energiemonitoring/-management</v>
      </c>
      <c r="E406" s="353"/>
      <c r="F406" s="363"/>
      <c r="G406" s="364"/>
      <c r="H406" s="21">
        <v>40</v>
      </c>
      <c r="I406" s="379"/>
      <c r="J406" s="340"/>
      <c r="K406" s="341"/>
      <c r="L406" s="341"/>
      <c r="M406" s="341"/>
      <c r="N406" s="342"/>
      <c r="P406" s="18">
        <f t="shared" si="14"/>
        <v>0</v>
      </c>
      <c r="Q406" s="338"/>
      <c r="R406" s="344"/>
      <c r="S406" s="474"/>
      <c r="T406" s="344"/>
      <c r="U406" s="475"/>
    </row>
    <row r="407" spans="2:21" ht="39.6" x14ac:dyDescent="0.25">
      <c r="B407" s="375"/>
      <c r="C407" s="351"/>
      <c r="D407" s="160" t="s">
        <v>58</v>
      </c>
      <c r="E407" s="134" t="str">
        <f>HLOOKUP(Deckblatt!$C$12,Language!$C$1:$D$730,644,FALSE)</f>
        <v xml:space="preserve">Standortmanagement
</v>
      </c>
      <c r="F407" s="363"/>
      <c r="G407" s="69"/>
      <c r="H407" s="18">
        <v>24</v>
      </c>
      <c r="I407" s="379"/>
      <c r="J407" s="340"/>
      <c r="K407" s="341"/>
      <c r="L407" s="341"/>
      <c r="M407" s="341"/>
      <c r="N407" s="342"/>
      <c r="P407" s="18">
        <f t="shared" si="14"/>
        <v>0</v>
      </c>
      <c r="Q407" s="338"/>
      <c r="R407" s="344"/>
      <c r="S407" s="474"/>
      <c r="T407" s="344"/>
      <c r="U407" s="475"/>
    </row>
    <row r="408" spans="2:21" ht="26.4" x14ac:dyDescent="0.25">
      <c r="B408" s="375"/>
      <c r="C408" s="351"/>
      <c r="D408" s="71" t="s">
        <v>121</v>
      </c>
      <c r="E408" s="134" t="str">
        <f>HLOOKUP(Deckblatt!$C$12,Language!$C$1:$D$730,648,FALSE)</f>
        <v xml:space="preserve">Corporate Social Responsibility
</v>
      </c>
      <c r="F408" s="363"/>
      <c r="G408" s="69"/>
      <c r="H408" s="18">
        <v>16</v>
      </c>
      <c r="I408" s="379"/>
      <c r="J408" s="340"/>
      <c r="K408" s="341"/>
      <c r="L408" s="341"/>
      <c r="M408" s="341"/>
      <c r="N408" s="342"/>
      <c r="P408" s="18">
        <f t="shared" si="14"/>
        <v>0</v>
      </c>
      <c r="Q408" s="338"/>
      <c r="R408" s="344"/>
      <c r="S408" s="474"/>
      <c r="T408" s="344"/>
      <c r="U408" s="475"/>
    </row>
    <row r="409" spans="2:21" ht="13.2" customHeight="1" x14ac:dyDescent="0.25">
      <c r="B409" s="375"/>
      <c r="C409" s="351" t="s">
        <v>61</v>
      </c>
      <c r="D409" s="352" t="str">
        <f>HLOOKUP(Deckblatt!$C$12,Language!$C$1:$D$730,649,FALSE)</f>
        <v>Energiemonitoring/-management</v>
      </c>
      <c r="E409" s="353"/>
      <c r="F409" s="363"/>
      <c r="G409" s="356"/>
      <c r="H409" s="21">
        <v>35</v>
      </c>
      <c r="I409" s="379"/>
      <c r="J409" s="340"/>
      <c r="K409" s="341"/>
      <c r="L409" s="341"/>
      <c r="M409" s="341"/>
      <c r="N409" s="342"/>
      <c r="P409" s="18">
        <f t="shared" si="14"/>
        <v>0</v>
      </c>
      <c r="Q409" s="338"/>
      <c r="R409" s="344"/>
      <c r="S409" s="474"/>
      <c r="T409" s="344"/>
      <c r="U409" s="475"/>
    </row>
    <row r="410" spans="2:21" x14ac:dyDescent="0.25">
      <c r="B410" s="375"/>
      <c r="C410" s="351"/>
      <c r="D410" s="361" t="s">
        <v>63</v>
      </c>
      <c r="E410" s="134" t="str">
        <f>HLOOKUP(Deckblatt!$C$12,Language!$C$1:$D$730,650,FALSE)</f>
        <v>Energiemonitoring</v>
      </c>
      <c r="F410" s="363"/>
      <c r="G410" s="356"/>
      <c r="H410" s="21">
        <v>35</v>
      </c>
      <c r="I410" s="379"/>
      <c r="J410" s="340"/>
      <c r="K410" s="341"/>
      <c r="L410" s="341"/>
      <c r="M410" s="341"/>
      <c r="N410" s="342"/>
      <c r="P410" s="18">
        <f t="shared" si="14"/>
        <v>0</v>
      </c>
      <c r="Q410" s="338"/>
      <c r="R410" s="344"/>
      <c r="S410" s="474"/>
      <c r="T410" s="344"/>
      <c r="U410" s="475"/>
    </row>
    <row r="411" spans="2:21" ht="66" x14ac:dyDescent="0.25">
      <c r="B411" s="375"/>
      <c r="C411" s="351"/>
      <c r="D411" s="361"/>
      <c r="E411" s="134" t="str">
        <f>HLOOKUP(Deckblatt!$C$12,Language!$C$1:$D$730,654,FALSE)</f>
        <v xml:space="preserve">Zertifiziert nach der aktuellen Fassung der internationalen Energiemanagementnorm  ISO 50001 (Alternativer Nachweis für kleine und mittlere Unternehmen: DIN EN 16247 -1 oder durch vergleichbare Maßnahmen).
</v>
      </c>
      <c r="F411" s="363"/>
      <c r="G411" s="69"/>
      <c r="H411" s="18">
        <v>13</v>
      </c>
      <c r="I411" s="379"/>
      <c r="J411" s="340"/>
      <c r="K411" s="341"/>
      <c r="L411" s="341"/>
      <c r="M411" s="341"/>
      <c r="N411" s="342"/>
      <c r="P411" s="18">
        <f t="shared" si="14"/>
        <v>0</v>
      </c>
      <c r="Q411" s="338"/>
      <c r="R411" s="344"/>
      <c r="S411" s="474"/>
      <c r="T411" s="344"/>
      <c r="U411" s="475"/>
    </row>
    <row r="412" spans="2:21" ht="52.8" x14ac:dyDescent="0.25">
      <c r="B412" s="375"/>
      <c r="C412" s="351"/>
      <c r="D412" s="361"/>
      <c r="E412" s="134" t="str">
        <f>HLOOKUP(Deckblatt!$C$12,Language!$C$1:$D$730,655,FALSE)</f>
        <v xml:space="preserve">Es liegt ein Konzept vor, das alle Mitarbeiter dauerhaft zur Reduzierung des Energiebedarfs auffordert (z. B. Schulungen, Fortbildungen, festgelegte Standby-Standards für mehr als 80 % der Maschinen).
</v>
      </c>
      <c r="F412" s="363"/>
      <c r="G412" s="69"/>
      <c r="H412" s="18">
        <v>5</v>
      </c>
      <c r="I412" s="379"/>
      <c r="J412" s="340"/>
      <c r="K412" s="341"/>
      <c r="L412" s="341"/>
      <c r="M412" s="341"/>
      <c r="N412" s="342"/>
      <c r="P412" s="18">
        <f t="shared" si="14"/>
        <v>0</v>
      </c>
      <c r="Q412" s="338"/>
      <c r="R412" s="344"/>
      <c r="S412" s="474"/>
      <c r="T412" s="344"/>
      <c r="U412" s="475"/>
    </row>
    <row r="413" spans="2:21" ht="39.6" x14ac:dyDescent="0.25">
      <c r="B413" s="375"/>
      <c r="C413" s="351"/>
      <c r="D413" s="361"/>
      <c r="E413" s="134" t="str">
        <f>HLOOKUP(Deckblatt!$C$12,Language!$C$1:$D$730,656,FALSE)</f>
        <v xml:space="preserve">Es gibt eine Überprüfung der energetischen Qualität während der Bauausführung.
</v>
      </c>
      <c r="F413" s="363"/>
      <c r="G413" s="69"/>
      <c r="H413" s="18">
        <v>5</v>
      </c>
      <c r="I413" s="379"/>
      <c r="J413" s="340"/>
      <c r="K413" s="341"/>
      <c r="L413" s="341"/>
      <c r="M413" s="341"/>
      <c r="N413" s="342"/>
      <c r="P413" s="18">
        <f t="shared" si="14"/>
        <v>0</v>
      </c>
      <c r="Q413" s="338"/>
      <c r="R413" s="344"/>
      <c r="S413" s="474"/>
      <c r="T413" s="344"/>
      <c r="U413" s="475"/>
    </row>
    <row r="414" spans="2:21" ht="39.6" x14ac:dyDescent="0.25">
      <c r="B414" s="375"/>
      <c r="C414" s="351"/>
      <c r="D414" s="361"/>
      <c r="E414" s="134" t="str">
        <f>HLOOKUP(Deckblatt!$C$12,Language!$C$1:$D$730,657,FALSE)</f>
        <v>Qualitätsstufe 2: Erfassung in einem zentralen Monitoring-System mit monatlicher Messung + Differenzierung in A Strom und B Wärme und ggf. andere Konditionierungen (Erfassungstiefe: Gebäude/Gebäudebereich).</v>
      </c>
      <c r="F414" s="363"/>
      <c r="G414" s="69"/>
      <c r="H414" s="18">
        <v>7</v>
      </c>
      <c r="I414" s="379"/>
      <c r="J414" s="340"/>
      <c r="K414" s="341"/>
      <c r="L414" s="341"/>
      <c r="M414" s="341"/>
      <c r="N414" s="342"/>
      <c r="P414" s="18">
        <f t="shared" si="14"/>
        <v>0</v>
      </c>
      <c r="Q414" s="338"/>
      <c r="R414" s="344"/>
      <c r="S414" s="474"/>
      <c r="T414" s="344"/>
      <c r="U414" s="475"/>
    </row>
    <row r="415" spans="2:21" ht="26.4" x14ac:dyDescent="0.25">
      <c r="B415" s="375"/>
      <c r="C415" s="351"/>
      <c r="D415" s="361"/>
      <c r="E415" s="134" t="str">
        <f>HLOOKUP(Deckblatt!$C$12,Language!$C$1:$D$730,658,FALSE)</f>
        <v>Qualitätsstufe 3: Wie Stufe 2 + weitere Differenzierung in A Strom, B Wärme, C Kühlung  (Erfassungstiefe. Gebäudebereich/Raum/Maschine).</v>
      </c>
      <c r="F415" s="363"/>
      <c r="G415" s="69"/>
      <c r="H415" s="18">
        <v>9</v>
      </c>
      <c r="I415" s="379"/>
      <c r="J415" s="340"/>
      <c r="K415" s="341"/>
      <c r="L415" s="341"/>
      <c r="M415" s="341"/>
      <c r="N415" s="342"/>
      <c r="P415" s="18">
        <f t="shared" si="14"/>
        <v>0</v>
      </c>
      <c r="Q415" s="338"/>
      <c r="R415" s="344"/>
      <c r="S415" s="474"/>
      <c r="T415" s="344"/>
      <c r="U415" s="475"/>
    </row>
    <row r="416" spans="2:21" ht="52.8" x14ac:dyDescent="0.25">
      <c r="B416" s="375"/>
      <c r="C416" s="351"/>
      <c r="D416" s="361"/>
      <c r="E416" s="134" t="str">
        <f>HLOOKUP(Deckblatt!$C$12,Language!$C$1:$D$730,659,FALSE)</f>
        <v xml:space="preserve">Qualitätsstufe 4: Wie Stufe 3 + D ggf. andere Konditionierungen, Erfassung in einem zentralen Monitoring-System mit stündlicher Echtzeitmessung (Gebäudebereich/Raum/Maschine).
</v>
      </c>
      <c r="F416" s="363"/>
      <c r="G416" s="69"/>
      <c r="H416" s="18">
        <v>12</v>
      </c>
      <c r="I416" s="379"/>
      <c r="J416" s="340"/>
      <c r="K416" s="341"/>
      <c r="L416" s="341"/>
      <c r="M416" s="341"/>
      <c r="N416" s="342"/>
      <c r="P416" s="18">
        <f t="shared" si="14"/>
        <v>0</v>
      </c>
      <c r="Q416" s="338"/>
      <c r="R416" s="344"/>
      <c r="S416" s="474"/>
      <c r="T416" s="344"/>
      <c r="U416" s="475"/>
    </row>
    <row r="417" spans="2:21" ht="13.2" customHeight="1" x14ac:dyDescent="0.25">
      <c r="B417" s="375"/>
      <c r="C417" s="351" t="s">
        <v>64</v>
      </c>
      <c r="D417" s="352" t="str">
        <f>HLOOKUP(Deckblatt!$C$12,Language!$C$1:$D$730,660,FALSE)</f>
        <v>Wassermonitoring /-management</v>
      </c>
      <c r="E417" s="353"/>
      <c r="F417" s="363"/>
      <c r="G417" s="113"/>
      <c r="H417" s="21">
        <v>15</v>
      </c>
      <c r="I417" s="379"/>
      <c r="J417" s="340"/>
      <c r="K417" s="341"/>
      <c r="L417" s="341"/>
      <c r="M417" s="341"/>
      <c r="N417" s="342"/>
      <c r="P417" s="18">
        <f t="shared" si="14"/>
        <v>0</v>
      </c>
      <c r="Q417" s="338"/>
      <c r="R417" s="344"/>
      <c r="S417" s="474"/>
      <c r="T417" s="344"/>
      <c r="U417" s="475"/>
    </row>
    <row r="418" spans="2:21" ht="39.6" x14ac:dyDescent="0.25">
      <c r="B418" s="375"/>
      <c r="C418" s="351"/>
      <c r="D418" s="160" t="s">
        <v>188</v>
      </c>
      <c r="E418" s="134" t="str">
        <f>HLOOKUP(Deckblatt!$C$12,Language!$C$1:$D$730,662,FALSE)</f>
        <v xml:space="preserve">Trink- und Betriebswasserbedarf
</v>
      </c>
      <c r="F418" s="363"/>
      <c r="G418" s="69"/>
      <c r="H418" s="18">
        <v>8</v>
      </c>
      <c r="I418" s="379"/>
      <c r="J418" s="340"/>
      <c r="K418" s="341"/>
      <c r="L418" s="341"/>
      <c r="M418" s="341"/>
      <c r="N418" s="342"/>
      <c r="P418" s="18">
        <f t="shared" ref="P418" si="16">IF(G418&gt;H418,H418,G418)</f>
        <v>0</v>
      </c>
      <c r="Q418" s="338"/>
      <c r="R418" s="344"/>
      <c r="S418" s="474"/>
      <c r="T418" s="344"/>
      <c r="U418" s="475"/>
    </row>
    <row r="419" spans="2:21" ht="39.6" x14ac:dyDescent="0.25">
      <c r="B419" s="375"/>
      <c r="C419" s="351"/>
      <c r="D419" s="160" t="s">
        <v>150</v>
      </c>
      <c r="E419" s="134" t="str">
        <f>HLOOKUP(Deckblatt!$C$12,Language!$C$1:$D$730,663,FALSE)</f>
        <v xml:space="preserve">Reduzierung Trink- und Betriebswasserbedarf
</v>
      </c>
      <c r="F419" s="363"/>
      <c r="G419" s="69"/>
      <c r="H419" s="18">
        <v>7</v>
      </c>
      <c r="I419" s="379"/>
      <c r="J419" s="340"/>
      <c r="K419" s="341"/>
      <c r="L419" s="341"/>
      <c r="M419" s="341"/>
      <c r="N419" s="342"/>
      <c r="P419" s="18">
        <f t="shared" si="14"/>
        <v>0</v>
      </c>
      <c r="Q419" s="338"/>
      <c r="R419" s="344"/>
      <c r="S419" s="474"/>
      <c r="T419" s="344"/>
      <c r="U419" s="475"/>
    </row>
    <row r="420" spans="2:21" ht="13.2" customHeight="1" x14ac:dyDescent="0.25">
      <c r="B420" s="375"/>
      <c r="C420" s="351" t="s">
        <v>154</v>
      </c>
      <c r="D420" s="352" t="str">
        <f>HLOOKUP(Deckblatt!$C$12,Language!$C$1:$D$730,667,FALSE)</f>
        <v>Datenmodelle</v>
      </c>
      <c r="E420" s="353"/>
      <c r="F420" s="363"/>
      <c r="G420" s="113"/>
      <c r="H420" s="21">
        <v>10</v>
      </c>
      <c r="I420" s="379"/>
      <c r="J420" s="340"/>
      <c r="K420" s="341"/>
      <c r="L420" s="341"/>
      <c r="M420" s="341"/>
      <c r="N420" s="342"/>
      <c r="P420" s="18">
        <f t="shared" si="14"/>
        <v>0</v>
      </c>
      <c r="Q420" s="338"/>
      <c r="R420" s="344"/>
      <c r="S420" s="474"/>
      <c r="T420" s="344"/>
      <c r="U420" s="475"/>
    </row>
    <row r="421" spans="2:21" ht="53.4" thickBot="1" x14ac:dyDescent="0.3">
      <c r="B421" s="377"/>
      <c r="C421" s="389"/>
      <c r="D421" s="165" t="s">
        <v>156</v>
      </c>
      <c r="E421" s="242" t="str">
        <f>HLOOKUP(Deckblatt!$C$12,Language!$C$1:$D$730,668,FALSE)</f>
        <v xml:space="preserve">3-D-Datenmodelle
Es gibt eine weiterführende Zusammenarbeit auf der Basis von 3-D-Datenmodellen (GIS, CIM, BIM).
</v>
      </c>
      <c r="F421" s="378"/>
      <c r="G421" s="70"/>
      <c r="H421" s="59">
        <v>10</v>
      </c>
      <c r="I421" s="380"/>
      <c r="J421" s="381"/>
      <c r="K421" s="382"/>
      <c r="L421" s="382"/>
      <c r="M421" s="382"/>
      <c r="N421" s="383"/>
      <c r="P421" s="18">
        <f t="shared" si="14"/>
        <v>0</v>
      </c>
      <c r="Q421" s="339"/>
      <c r="R421" s="365"/>
      <c r="S421" s="474"/>
      <c r="T421" s="365"/>
      <c r="U421" s="476"/>
    </row>
  </sheetData>
  <sheetProtection algorithmName="SHA-512" hashValue="cglIYSx+Oc5aQchE2ZcJvvLOAGdQz+KdNNV5cgi20GgnjwGGzcnprMfg4SFz8eQCvdfIEfRio+JOpzFIum3Kug==" saltValue="KJ+M9cvvykil8tABV0buww==" spinCount="100000" sheet="1" objects="1" scenarios="1"/>
  <mergeCells count="895">
    <mergeCell ref="J142:N142"/>
    <mergeCell ref="I138:I142"/>
    <mergeCell ref="B138:B142"/>
    <mergeCell ref="D142:E142"/>
    <mergeCell ref="F138:F142"/>
    <mergeCell ref="Q137:Q142"/>
    <mergeCell ref="R137:R142"/>
    <mergeCell ref="S92:S142"/>
    <mergeCell ref="T92:T142"/>
    <mergeCell ref="J96:N96"/>
    <mergeCell ref="C97:C101"/>
    <mergeCell ref="D97:E97"/>
    <mergeCell ref="G97:G98"/>
    <mergeCell ref="C102:C104"/>
    <mergeCell ref="D102:E102"/>
    <mergeCell ref="J102:N102"/>
    <mergeCell ref="J103:N103"/>
    <mergeCell ref="J104:N104"/>
    <mergeCell ref="C105:E105"/>
    <mergeCell ref="G105:G107"/>
    <mergeCell ref="J105:N105"/>
    <mergeCell ref="J97:N97"/>
    <mergeCell ref="C93:C96"/>
    <mergeCell ref="D93:E93"/>
    <mergeCell ref="R173:R196"/>
    <mergeCell ref="C384:C389"/>
    <mergeCell ref="B372:B389"/>
    <mergeCell ref="D344:E344"/>
    <mergeCell ref="D384:E384"/>
    <mergeCell ref="C350:C351"/>
    <mergeCell ref="D350:E350"/>
    <mergeCell ref="C372:C375"/>
    <mergeCell ref="D372:E372"/>
    <mergeCell ref="F372:F385"/>
    <mergeCell ref="C380:C383"/>
    <mergeCell ref="D380:E380"/>
    <mergeCell ref="J259:N259"/>
    <mergeCell ref="J260:N260"/>
    <mergeCell ref="J261:N261"/>
    <mergeCell ref="J262:N262"/>
    <mergeCell ref="D267:E267"/>
    <mergeCell ref="J267:N267"/>
    <mergeCell ref="C204:C205"/>
    <mergeCell ref="D204:E204"/>
    <mergeCell ref="J204:N204"/>
    <mergeCell ref="J205:N205"/>
    <mergeCell ref="J198:N198"/>
    <mergeCell ref="D201:D203"/>
    <mergeCell ref="B2:D2"/>
    <mergeCell ref="J2:L4"/>
    <mergeCell ref="M2:M4"/>
    <mergeCell ref="P2:U4"/>
    <mergeCell ref="B3:D3"/>
    <mergeCell ref="B4:D4"/>
    <mergeCell ref="U10:U11"/>
    <mergeCell ref="B6:D6"/>
    <mergeCell ref="F6:G6"/>
    <mergeCell ref="H6:I6"/>
    <mergeCell ref="J6:M6"/>
    <mergeCell ref="B10:B11"/>
    <mergeCell ref="C10:D11"/>
    <mergeCell ref="E10:E11"/>
    <mergeCell ref="F10:H10"/>
    <mergeCell ref="I10:I11"/>
    <mergeCell ref="J10:N11"/>
    <mergeCell ref="S10:S11"/>
    <mergeCell ref="T10:T11"/>
    <mergeCell ref="P10:P11"/>
    <mergeCell ref="Q10:Q11"/>
    <mergeCell ref="R10:R11"/>
    <mergeCell ref="B8:N8"/>
    <mergeCell ref="T12:T91"/>
    <mergeCell ref="C68:E68"/>
    <mergeCell ref="G68:G69"/>
    <mergeCell ref="J68:N68"/>
    <mergeCell ref="Q68:Q78"/>
    <mergeCell ref="R68:R78"/>
    <mergeCell ref="C79:E79"/>
    <mergeCell ref="G79:G80"/>
    <mergeCell ref="J79:N79"/>
    <mergeCell ref="R79:R91"/>
    <mergeCell ref="Q79:Q91"/>
    <mergeCell ref="J91:N91"/>
    <mergeCell ref="C32:C33"/>
    <mergeCell ref="D32:E32"/>
    <mergeCell ref="C20:C21"/>
    <mergeCell ref="D23:E23"/>
    <mergeCell ref="G23:G24"/>
    <mergeCell ref="J19:N19"/>
    <mergeCell ref="J17:N17"/>
    <mergeCell ref="D18:D19"/>
    <mergeCell ref="J18:N18"/>
    <mergeCell ref="D47:D51"/>
    <mergeCell ref="J22:N22"/>
    <mergeCell ref="R34:R43"/>
    <mergeCell ref="B35:B43"/>
    <mergeCell ref="U12:U421"/>
    <mergeCell ref="B13:B28"/>
    <mergeCell ref="C13:C16"/>
    <mergeCell ref="D13:E13"/>
    <mergeCell ref="F13:F28"/>
    <mergeCell ref="I13:I28"/>
    <mergeCell ref="J13:N13"/>
    <mergeCell ref="D14:D16"/>
    <mergeCell ref="J14:N14"/>
    <mergeCell ref="C12:E12"/>
    <mergeCell ref="G12:G14"/>
    <mergeCell ref="J12:N12"/>
    <mergeCell ref="Q12:Q28"/>
    <mergeCell ref="R12:R28"/>
    <mergeCell ref="S12:S91"/>
    <mergeCell ref="J15:N15"/>
    <mergeCell ref="J16:N16"/>
    <mergeCell ref="C17:C19"/>
    <mergeCell ref="D17:E17"/>
    <mergeCell ref="C23:C28"/>
    <mergeCell ref="C59:C60"/>
    <mergeCell ref="D37:E37"/>
    <mergeCell ref="C37:C38"/>
    <mergeCell ref="F35:F43"/>
    <mergeCell ref="C35:C36"/>
    <mergeCell ref="D35:E35"/>
    <mergeCell ref="D20:E20"/>
    <mergeCell ref="J20:N20"/>
    <mergeCell ref="J21:N21"/>
    <mergeCell ref="C45:C58"/>
    <mergeCell ref="D45:E45"/>
    <mergeCell ref="C39:C41"/>
    <mergeCell ref="D39:E39"/>
    <mergeCell ref="J39:N39"/>
    <mergeCell ref="J40:N40"/>
    <mergeCell ref="J41:N41"/>
    <mergeCell ref="C42:C43"/>
    <mergeCell ref="D42:E42"/>
    <mergeCell ref="J42:N42"/>
    <mergeCell ref="J43:N43"/>
    <mergeCell ref="J35:N35"/>
    <mergeCell ref="J36:N36"/>
    <mergeCell ref="J23:N23"/>
    <mergeCell ref="D24:D27"/>
    <mergeCell ref="J27:N27"/>
    <mergeCell ref="B69:B78"/>
    <mergeCell ref="C69:C70"/>
    <mergeCell ref="D69:E69"/>
    <mergeCell ref="F69:F78"/>
    <mergeCell ref="I69:I78"/>
    <mergeCell ref="J76:N76"/>
    <mergeCell ref="C77:C78"/>
    <mergeCell ref="J77:N77"/>
    <mergeCell ref="J78:N78"/>
    <mergeCell ref="J69:N69"/>
    <mergeCell ref="J70:N70"/>
    <mergeCell ref="C71:C72"/>
    <mergeCell ref="J71:N71"/>
    <mergeCell ref="J72:N72"/>
    <mergeCell ref="C73:C75"/>
    <mergeCell ref="J73:N73"/>
    <mergeCell ref="D74:D75"/>
    <mergeCell ref="J74:N74"/>
    <mergeCell ref="J75:N75"/>
    <mergeCell ref="D71:E71"/>
    <mergeCell ref="D73:E73"/>
    <mergeCell ref="D77:E77"/>
    <mergeCell ref="B80:B91"/>
    <mergeCell ref="C80:C81"/>
    <mergeCell ref="D80:E80"/>
    <mergeCell ref="F80:F91"/>
    <mergeCell ref="I80:I91"/>
    <mergeCell ref="J80:N80"/>
    <mergeCell ref="J81:N81"/>
    <mergeCell ref="C82:C83"/>
    <mergeCell ref="D82:E82"/>
    <mergeCell ref="J82:N82"/>
    <mergeCell ref="J83:N83"/>
    <mergeCell ref="C84:C86"/>
    <mergeCell ref="D84:E84"/>
    <mergeCell ref="J84:N84"/>
    <mergeCell ref="J85:N85"/>
    <mergeCell ref="J86:N86"/>
    <mergeCell ref="C87:C88"/>
    <mergeCell ref="D87:E87"/>
    <mergeCell ref="J87:N87"/>
    <mergeCell ref="J88:N88"/>
    <mergeCell ref="C89:C91"/>
    <mergeCell ref="D89:E89"/>
    <mergeCell ref="J89:N89"/>
    <mergeCell ref="J90:N90"/>
    <mergeCell ref="J93:N93"/>
    <mergeCell ref="D94:D96"/>
    <mergeCell ref="J94:N94"/>
    <mergeCell ref="J95:N95"/>
    <mergeCell ref="C92:E92"/>
    <mergeCell ref="G92:G94"/>
    <mergeCell ref="J92:N92"/>
    <mergeCell ref="D98:D99"/>
    <mergeCell ref="J98:N98"/>
    <mergeCell ref="J99:N99"/>
    <mergeCell ref="J100:N100"/>
    <mergeCell ref="J101:N101"/>
    <mergeCell ref="D103:D104"/>
    <mergeCell ref="G102:G103"/>
    <mergeCell ref="I106:I121"/>
    <mergeCell ref="J106:N106"/>
    <mergeCell ref="D107:D110"/>
    <mergeCell ref="J107:N107"/>
    <mergeCell ref="J108:N108"/>
    <mergeCell ref="J109:N109"/>
    <mergeCell ref="J110:N110"/>
    <mergeCell ref="J111:N111"/>
    <mergeCell ref="J112:N112"/>
    <mergeCell ref="J113:N113"/>
    <mergeCell ref="J114:N114"/>
    <mergeCell ref="J119:N119"/>
    <mergeCell ref="D120:D121"/>
    <mergeCell ref="J120:N120"/>
    <mergeCell ref="J121:N121"/>
    <mergeCell ref="C115:C121"/>
    <mergeCell ref="D115:E115"/>
    <mergeCell ref="J115:N115"/>
    <mergeCell ref="J116:N116"/>
    <mergeCell ref="J117:N117"/>
    <mergeCell ref="J118:N118"/>
    <mergeCell ref="R122:R126"/>
    <mergeCell ref="B123:B126"/>
    <mergeCell ref="C123:C124"/>
    <mergeCell ref="D123:E123"/>
    <mergeCell ref="F123:F126"/>
    <mergeCell ref="I123:I126"/>
    <mergeCell ref="J123:N123"/>
    <mergeCell ref="J124:N124"/>
    <mergeCell ref="C125:C126"/>
    <mergeCell ref="C122:E122"/>
    <mergeCell ref="G122:G123"/>
    <mergeCell ref="J122:N122"/>
    <mergeCell ref="J126:N126"/>
    <mergeCell ref="C127:E127"/>
    <mergeCell ref="G127:G128"/>
    <mergeCell ref="J127:N127"/>
    <mergeCell ref="D130:E130"/>
    <mergeCell ref="J130:N130"/>
    <mergeCell ref="J131:N131"/>
    <mergeCell ref="C135:C136"/>
    <mergeCell ref="Q122:Q126"/>
    <mergeCell ref="B106:B121"/>
    <mergeCell ref="C106:C111"/>
    <mergeCell ref="D106:E106"/>
    <mergeCell ref="F106:F121"/>
    <mergeCell ref="B128:B136"/>
    <mergeCell ref="C128:C129"/>
    <mergeCell ref="D128:E128"/>
    <mergeCell ref="F128:F136"/>
    <mergeCell ref="I128:I136"/>
    <mergeCell ref="C130:C131"/>
    <mergeCell ref="D125:E125"/>
    <mergeCell ref="C112:C114"/>
    <mergeCell ref="D112:E112"/>
    <mergeCell ref="C132:C134"/>
    <mergeCell ref="D132:E132"/>
    <mergeCell ref="D135:E135"/>
    <mergeCell ref="J136:N136"/>
    <mergeCell ref="J138:N138"/>
    <mergeCell ref="J139:N139"/>
    <mergeCell ref="C137:E137"/>
    <mergeCell ref="J137:N137"/>
    <mergeCell ref="T143:T255"/>
    <mergeCell ref="B144:B149"/>
    <mergeCell ref="C144:C147"/>
    <mergeCell ref="D144:E144"/>
    <mergeCell ref="F144:F149"/>
    <mergeCell ref="I144:I149"/>
    <mergeCell ref="J144:N144"/>
    <mergeCell ref="J145:N145"/>
    <mergeCell ref="J146:N146"/>
    <mergeCell ref="C143:E143"/>
    <mergeCell ref="G143:G144"/>
    <mergeCell ref="J143:N143"/>
    <mergeCell ref="Q143:Q149"/>
    <mergeCell ref="R143:R149"/>
    <mergeCell ref="S143:S255"/>
    <mergeCell ref="J147:N147"/>
    <mergeCell ref="C150:E150"/>
    <mergeCell ref="C169:C170"/>
    <mergeCell ref="D169:E169"/>
    <mergeCell ref="J169:N169"/>
    <mergeCell ref="J170:N170"/>
    <mergeCell ref="R150:R172"/>
    <mergeCell ref="J200:N200"/>
    <mergeCell ref="G150:G152"/>
    <mergeCell ref="B151:B172"/>
    <mergeCell ref="C151:C163"/>
    <mergeCell ref="D151:E151"/>
    <mergeCell ref="F151:F172"/>
    <mergeCell ref="I151:I172"/>
    <mergeCell ref="J151:N151"/>
    <mergeCell ref="D152:D154"/>
    <mergeCell ref="J152:N152"/>
    <mergeCell ref="J153:N153"/>
    <mergeCell ref="J154:N154"/>
    <mergeCell ref="D155:D157"/>
    <mergeCell ref="J155:N155"/>
    <mergeCell ref="J156:N156"/>
    <mergeCell ref="J157:N157"/>
    <mergeCell ref="C164:C168"/>
    <mergeCell ref="D164:E164"/>
    <mergeCell ref="J161:N161"/>
    <mergeCell ref="C171:C172"/>
    <mergeCell ref="D171:E171"/>
    <mergeCell ref="J171:N171"/>
    <mergeCell ref="B198:B213"/>
    <mergeCell ref="C198:C203"/>
    <mergeCell ref="D198:E198"/>
    <mergeCell ref="F198:F213"/>
    <mergeCell ref="I198:I213"/>
    <mergeCell ref="G208:G209"/>
    <mergeCell ref="J208:N208"/>
    <mergeCell ref="D209:D213"/>
    <mergeCell ref="J209:N209"/>
    <mergeCell ref="J210:N210"/>
    <mergeCell ref="J211:N211"/>
    <mergeCell ref="J212:N212"/>
    <mergeCell ref="J213:N213"/>
    <mergeCell ref="D206:E206"/>
    <mergeCell ref="J206:N206"/>
    <mergeCell ref="J207:N207"/>
    <mergeCell ref="C206:C207"/>
    <mergeCell ref="J179:N179"/>
    <mergeCell ref="J174:N174"/>
    <mergeCell ref="J175:N175"/>
    <mergeCell ref="J173:N173"/>
    <mergeCell ref="D189:E189"/>
    <mergeCell ref="J189:N189"/>
    <mergeCell ref="Q214:Q218"/>
    <mergeCell ref="C214:E214"/>
    <mergeCell ref="J214:N214"/>
    <mergeCell ref="F215:F218"/>
    <mergeCell ref="I215:I218"/>
    <mergeCell ref="J201:N201"/>
    <mergeCell ref="J202:N202"/>
    <mergeCell ref="J203:N203"/>
    <mergeCell ref="C208:C213"/>
    <mergeCell ref="D208:E208"/>
    <mergeCell ref="Q197:Q213"/>
    <mergeCell ref="C217:C218"/>
    <mergeCell ref="D217:E217"/>
    <mergeCell ref="J217:N217"/>
    <mergeCell ref="J218:N218"/>
    <mergeCell ref="D215:E215"/>
    <mergeCell ref="J215:N215"/>
    <mergeCell ref="D199:D200"/>
    <mergeCell ref="B242:B255"/>
    <mergeCell ref="C242:C244"/>
    <mergeCell ref="D242:E242"/>
    <mergeCell ref="F242:F255"/>
    <mergeCell ref="I242:I255"/>
    <mergeCell ref="D252:E252"/>
    <mergeCell ref="J253:N253"/>
    <mergeCell ref="J252:N252"/>
    <mergeCell ref="C254:C255"/>
    <mergeCell ref="D254:E254"/>
    <mergeCell ref="J254:N254"/>
    <mergeCell ref="J255:N255"/>
    <mergeCell ref="C252:C253"/>
    <mergeCell ref="J242:N242"/>
    <mergeCell ref="J243:N243"/>
    <mergeCell ref="J244:N244"/>
    <mergeCell ref="G241:G242"/>
    <mergeCell ref="J241:N241"/>
    <mergeCell ref="R241:R255"/>
    <mergeCell ref="C245:C251"/>
    <mergeCell ref="D245:E245"/>
    <mergeCell ref="J245:N245"/>
    <mergeCell ref="J246:N246"/>
    <mergeCell ref="J247:N247"/>
    <mergeCell ref="J248:N248"/>
    <mergeCell ref="J249:N249"/>
    <mergeCell ref="J250:N250"/>
    <mergeCell ref="J251:N251"/>
    <mergeCell ref="C241:E241"/>
    <mergeCell ref="S256:S357"/>
    <mergeCell ref="T256:T357"/>
    <mergeCell ref="B257:B274"/>
    <mergeCell ref="C257:C262"/>
    <mergeCell ref="D257:E257"/>
    <mergeCell ref="F257:F274"/>
    <mergeCell ref="I257:I274"/>
    <mergeCell ref="J257:N257"/>
    <mergeCell ref="C273:C274"/>
    <mergeCell ref="D273:E273"/>
    <mergeCell ref="J273:N273"/>
    <mergeCell ref="J274:N274"/>
    <mergeCell ref="J268:N268"/>
    <mergeCell ref="C269:C272"/>
    <mergeCell ref="D269:E269"/>
    <mergeCell ref="J269:N269"/>
    <mergeCell ref="J270:N270"/>
    <mergeCell ref="D271:D272"/>
    <mergeCell ref="J271:N271"/>
    <mergeCell ref="J272:N272"/>
    <mergeCell ref="Q256:Q274"/>
    <mergeCell ref="C263:C266"/>
    <mergeCell ref="D263:E263"/>
    <mergeCell ref="C256:E256"/>
    <mergeCell ref="B276:B301"/>
    <mergeCell ref="D276:E276"/>
    <mergeCell ref="F276:F301"/>
    <mergeCell ref="I276:I301"/>
    <mergeCell ref="J294:N294"/>
    <mergeCell ref="J295:N295"/>
    <mergeCell ref="J296:N296"/>
    <mergeCell ref="C299:C301"/>
    <mergeCell ref="D299:E299"/>
    <mergeCell ref="J299:N299"/>
    <mergeCell ref="J300:N300"/>
    <mergeCell ref="J301:N301"/>
    <mergeCell ref="C291:C292"/>
    <mergeCell ref="D291:E291"/>
    <mergeCell ref="J291:N291"/>
    <mergeCell ref="C276:C282"/>
    <mergeCell ref="D293:E293"/>
    <mergeCell ref="J293:N293"/>
    <mergeCell ref="D294:D296"/>
    <mergeCell ref="J277:N277"/>
    <mergeCell ref="J278:N278"/>
    <mergeCell ref="J292:N292"/>
    <mergeCell ref="J276:N276"/>
    <mergeCell ref="J279:N279"/>
    <mergeCell ref="R256:R274"/>
    <mergeCell ref="G256:G257"/>
    <mergeCell ref="J256:N256"/>
    <mergeCell ref="C275:E275"/>
    <mergeCell ref="G275:G276"/>
    <mergeCell ref="J275:N275"/>
    <mergeCell ref="Q275:Q301"/>
    <mergeCell ref="R275:R301"/>
    <mergeCell ref="D265:D266"/>
    <mergeCell ref="J265:N265"/>
    <mergeCell ref="J266:N266"/>
    <mergeCell ref="J258:N258"/>
    <mergeCell ref="J286:N286"/>
    <mergeCell ref="J290:N290"/>
    <mergeCell ref="C283:C284"/>
    <mergeCell ref="D283:E283"/>
    <mergeCell ref="J283:N283"/>
    <mergeCell ref="J284:N284"/>
    <mergeCell ref="J287:N287"/>
    <mergeCell ref="J288:N288"/>
    <mergeCell ref="J289:N289"/>
    <mergeCell ref="C285:C290"/>
    <mergeCell ref="D285:E285"/>
    <mergeCell ref="J285:N285"/>
    <mergeCell ref="C302:E302"/>
    <mergeCell ref="G302:G303"/>
    <mergeCell ref="J302:N302"/>
    <mergeCell ref="J298:N298"/>
    <mergeCell ref="J297:N297"/>
    <mergeCell ref="C293:C298"/>
    <mergeCell ref="Q302:Q314"/>
    <mergeCell ref="J303:N303"/>
    <mergeCell ref="J304:N304"/>
    <mergeCell ref="C305:C309"/>
    <mergeCell ref="D305:E305"/>
    <mergeCell ref="G305:G306"/>
    <mergeCell ref="J305:N305"/>
    <mergeCell ref="D306:D307"/>
    <mergeCell ref="J306:N306"/>
    <mergeCell ref="J307:N307"/>
    <mergeCell ref="J308:N308"/>
    <mergeCell ref="R302:R314"/>
    <mergeCell ref="B303:B314"/>
    <mergeCell ref="C303:C304"/>
    <mergeCell ref="D303:E303"/>
    <mergeCell ref="F303:F314"/>
    <mergeCell ref="I303:I314"/>
    <mergeCell ref="Q315:Q340"/>
    <mergeCell ref="R315:R340"/>
    <mergeCell ref="B316:B340"/>
    <mergeCell ref="C316:C317"/>
    <mergeCell ref="D316:E316"/>
    <mergeCell ref="F316:F340"/>
    <mergeCell ref="I316:I340"/>
    <mergeCell ref="J309:N309"/>
    <mergeCell ref="C310:C311"/>
    <mergeCell ref="D310:E310"/>
    <mergeCell ref="J310:N310"/>
    <mergeCell ref="J311:N311"/>
    <mergeCell ref="C312:C314"/>
    <mergeCell ref="D312:E312"/>
    <mergeCell ref="J312:N312"/>
    <mergeCell ref="J313:N313"/>
    <mergeCell ref="J314:N314"/>
    <mergeCell ref="C331:C332"/>
    <mergeCell ref="D331:E331"/>
    <mergeCell ref="J331:N331"/>
    <mergeCell ref="J332:N332"/>
    <mergeCell ref="C325:C326"/>
    <mergeCell ref="D325:E325"/>
    <mergeCell ref="J325:N325"/>
    <mergeCell ref="J326:N326"/>
    <mergeCell ref="C327:C328"/>
    <mergeCell ref="D327:E327"/>
    <mergeCell ref="J327:N327"/>
    <mergeCell ref="J328:N328"/>
    <mergeCell ref="C315:E315"/>
    <mergeCell ref="G315:G316"/>
    <mergeCell ref="J315:N315"/>
    <mergeCell ref="C329:C330"/>
    <mergeCell ref="D329:E329"/>
    <mergeCell ref="J329:N329"/>
    <mergeCell ref="J330:N330"/>
    <mergeCell ref="C321:C324"/>
    <mergeCell ref="D321:E321"/>
    <mergeCell ref="G321:G322"/>
    <mergeCell ref="J321:N321"/>
    <mergeCell ref="D322:D323"/>
    <mergeCell ref="J322:N322"/>
    <mergeCell ref="J323:N323"/>
    <mergeCell ref="J324:N324"/>
    <mergeCell ref="C318:C320"/>
    <mergeCell ref="D318:E318"/>
    <mergeCell ref="J316:N316"/>
    <mergeCell ref="J317:N317"/>
    <mergeCell ref="R341:R357"/>
    <mergeCell ref="G358:G360"/>
    <mergeCell ref="J358:N358"/>
    <mergeCell ref="Q358:Q370"/>
    <mergeCell ref="J360:N360"/>
    <mergeCell ref="J361:N361"/>
    <mergeCell ref="J362:N362"/>
    <mergeCell ref="C363:C365"/>
    <mergeCell ref="C354:C357"/>
    <mergeCell ref="D354:E354"/>
    <mergeCell ref="G354:G355"/>
    <mergeCell ref="J354:N354"/>
    <mergeCell ref="D355:D357"/>
    <mergeCell ref="J355:N355"/>
    <mergeCell ref="D363:E363"/>
    <mergeCell ref="J363:N363"/>
    <mergeCell ref="J366:N366"/>
    <mergeCell ref="R358:R370"/>
    <mergeCell ref="C342:C343"/>
    <mergeCell ref="D342:E342"/>
    <mergeCell ref="F342:F357"/>
    <mergeCell ref="I342:I357"/>
    <mergeCell ref="J342:N342"/>
    <mergeCell ref="J343:N343"/>
    <mergeCell ref="R390:R404"/>
    <mergeCell ref="J412:N412"/>
    <mergeCell ref="J413:N413"/>
    <mergeCell ref="J414:N414"/>
    <mergeCell ref="J415:N415"/>
    <mergeCell ref="J416:N416"/>
    <mergeCell ref="J369:N369"/>
    <mergeCell ref="J370:N370"/>
    <mergeCell ref="J378:N378"/>
    <mergeCell ref="J379:N379"/>
    <mergeCell ref="J384:N384"/>
    <mergeCell ref="J385:N385"/>
    <mergeCell ref="J391:N391"/>
    <mergeCell ref="J386:N386"/>
    <mergeCell ref="J387:N387"/>
    <mergeCell ref="J388:N388"/>
    <mergeCell ref="J389:N389"/>
    <mergeCell ref="J380:N380"/>
    <mergeCell ref="Q371:Q389"/>
    <mergeCell ref="R371:R389"/>
    <mergeCell ref="J403:N403"/>
    <mergeCell ref="T358:T421"/>
    <mergeCell ref="B359:B370"/>
    <mergeCell ref="C359:C362"/>
    <mergeCell ref="D359:E359"/>
    <mergeCell ref="F359:F370"/>
    <mergeCell ref="I359:I370"/>
    <mergeCell ref="J359:N359"/>
    <mergeCell ref="D360:D362"/>
    <mergeCell ref="C371:E371"/>
    <mergeCell ref="G371:G372"/>
    <mergeCell ref="J371:N371"/>
    <mergeCell ref="C376:C379"/>
    <mergeCell ref="D376:E376"/>
    <mergeCell ref="J376:N376"/>
    <mergeCell ref="J377:N377"/>
    <mergeCell ref="C366:C370"/>
    <mergeCell ref="D366:E366"/>
    <mergeCell ref="S358:S421"/>
    <mergeCell ref="I372:I385"/>
    <mergeCell ref="J372:N372"/>
    <mergeCell ref="J373:N373"/>
    <mergeCell ref="B406:B421"/>
    <mergeCell ref="J402:N402"/>
    <mergeCell ref="R405:R421"/>
    <mergeCell ref="Q34:Q43"/>
    <mergeCell ref="J54:N54"/>
    <mergeCell ref="D59:E59"/>
    <mergeCell ref="J59:N59"/>
    <mergeCell ref="J60:N60"/>
    <mergeCell ref="J55:N55"/>
    <mergeCell ref="D52:D54"/>
    <mergeCell ref="J52:N52"/>
    <mergeCell ref="C338:C340"/>
    <mergeCell ref="D338:E338"/>
    <mergeCell ref="J338:N338"/>
    <mergeCell ref="J339:N339"/>
    <mergeCell ref="J340:N340"/>
    <mergeCell ref="J45:N45"/>
    <mergeCell ref="J46:N46"/>
    <mergeCell ref="C333:C334"/>
    <mergeCell ref="D333:E333"/>
    <mergeCell ref="J333:N333"/>
    <mergeCell ref="J334:N334"/>
    <mergeCell ref="C335:C337"/>
    <mergeCell ref="D335:E335"/>
    <mergeCell ref="J335:N335"/>
    <mergeCell ref="J336:N336"/>
    <mergeCell ref="J337:N337"/>
    <mergeCell ref="B391:B404"/>
    <mergeCell ref="C391:C393"/>
    <mergeCell ref="D391:E391"/>
    <mergeCell ref="F391:F404"/>
    <mergeCell ref="J374:N374"/>
    <mergeCell ref="J375:N375"/>
    <mergeCell ref="J353:N353"/>
    <mergeCell ref="J367:N367"/>
    <mergeCell ref="J368:N368"/>
    <mergeCell ref="B342:B357"/>
    <mergeCell ref="J345:N345"/>
    <mergeCell ref="C348:C349"/>
    <mergeCell ref="C394:C396"/>
    <mergeCell ref="C397:C398"/>
    <mergeCell ref="J404:N404"/>
    <mergeCell ref="J344:N344"/>
    <mergeCell ref="C352:C353"/>
    <mergeCell ref="D352:E352"/>
    <mergeCell ref="G341:G342"/>
    <mergeCell ref="J341:N341"/>
    <mergeCell ref="C341:E341"/>
    <mergeCell ref="J352:N352"/>
    <mergeCell ref="J350:N350"/>
    <mergeCell ref="J351:N351"/>
    <mergeCell ref="C267:C268"/>
    <mergeCell ref="D180:E180"/>
    <mergeCell ref="D192:E192"/>
    <mergeCell ref="J192:N192"/>
    <mergeCell ref="J193:N193"/>
    <mergeCell ref="C182:C183"/>
    <mergeCell ref="D182:E182"/>
    <mergeCell ref="J182:N182"/>
    <mergeCell ref="J183:N183"/>
    <mergeCell ref="C184:C186"/>
    <mergeCell ref="D184:E184"/>
    <mergeCell ref="J184:N184"/>
    <mergeCell ref="J185:N185"/>
    <mergeCell ref="C192:C196"/>
    <mergeCell ref="J264:N264"/>
    <mergeCell ref="J180:N180"/>
    <mergeCell ref="J181:N181"/>
    <mergeCell ref="D230:D232"/>
    <mergeCell ref="F174:F196"/>
    <mergeCell ref="C219:E219"/>
    <mergeCell ref="G219:G221"/>
    <mergeCell ref="C189:C191"/>
    <mergeCell ref="C197:E197"/>
    <mergeCell ref="G197:G199"/>
    <mergeCell ref="J129:N129"/>
    <mergeCell ref="J125:N125"/>
    <mergeCell ref="J318:N318"/>
    <mergeCell ref="J319:N319"/>
    <mergeCell ref="J320:N320"/>
    <mergeCell ref="J220:N220"/>
    <mergeCell ref="J162:N162"/>
    <mergeCell ref="J163:N163"/>
    <mergeCell ref="J158:N158"/>
    <mergeCell ref="J135:N135"/>
    <mergeCell ref="J159:N159"/>
    <mergeCell ref="J160:N160"/>
    <mergeCell ref="J221:N221"/>
    <mergeCell ref="J222:N222"/>
    <mergeCell ref="J219:N219"/>
    <mergeCell ref="J223:N223"/>
    <mergeCell ref="J263:N263"/>
    <mergeCell ref="J187:N187"/>
    <mergeCell ref="J188:N188"/>
    <mergeCell ref="J186:N186"/>
    <mergeCell ref="J191:N191"/>
    <mergeCell ref="J197:N197"/>
    <mergeCell ref="J199:N199"/>
    <mergeCell ref="J195:N195"/>
    <mergeCell ref="D161:D163"/>
    <mergeCell ref="C29:E29"/>
    <mergeCell ref="G29:G30"/>
    <mergeCell ref="J29:N29"/>
    <mergeCell ref="J32:N32"/>
    <mergeCell ref="J172:N172"/>
    <mergeCell ref="J164:N164"/>
    <mergeCell ref="J165:N165"/>
    <mergeCell ref="J166:N166"/>
    <mergeCell ref="J167:N167"/>
    <mergeCell ref="J168:N168"/>
    <mergeCell ref="C148:C149"/>
    <mergeCell ref="D148:E148"/>
    <mergeCell ref="J148:N148"/>
    <mergeCell ref="J132:N132"/>
    <mergeCell ref="J133:N133"/>
    <mergeCell ref="J134:N134"/>
    <mergeCell ref="J141:N141"/>
    <mergeCell ref="J140:N140"/>
    <mergeCell ref="J37:N37"/>
    <mergeCell ref="J38:N38"/>
    <mergeCell ref="J33:N33"/>
    <mergeCell ref="C44:E44"/>
    <mergeCell ref="C34:E34"/>
    <mergeCell ref="J190:N190"/>
    <mergeCell ref="C215:C216"/>
    <mergeCell ref="I174:I196"/>
    <mergeCell ref="J365:N365"/>
    <mergeCell ref="D369:D370"/>
    <mergeCell ref="G405:G406"/>
    <mergeCell ref="J405:N405"/>
    <mergeCell ref="D394:E394"/>
    <mergeCell ref="J394:N394"/>
    <mergeCell ref="J395:N395"/>
    <mergeCell ref="J396:N396"/>
    <mergeCell ref="D397:E397"/>
    <mergeCell ref="J397:N397"/>
    <mergeCell ref="J398:N398"/>
    <mergeCell ref="I391:I404"/>
    <mergeCell ref="J381:N381"/>
    <mergeCell ref="J382:N382"/>
    <mergeCell ref="J383:N383"/>
    <mergeCell ref="J392:N392"/>
    <mergeCell ref="J393:N393"/>
    <mergeCell ref="J390:N390"/>
    <mergeCell ref="J406:N406"/>
    <mergeCell ref="C405:E405"/>
    <mergeCell ref="D406:E406"/>
    <mergeCell ref="F406:F421"/>
    <mergeCell ref="I406:I421"/>
    <mergeCell ref="C399:C401"/>
    <mergeCell ref="D399:E399"/>
    <mergeCell ref="J399:N399"/>
    <mergeCell ref="J400:N400"/>
    <mergeCell ref="J401:N401"/>
    <mergeCell ref="C402:C404"/>
    <mergeCell ref="D402:E402"/>
    <mergeCell ref="J410:N410"/>
    <mergeCell ref="J411:N411"/>
    <mergeCell ref="J407:N407"/>
    <mergeCell ref="J408:N408"/>
    <mergeCell ref="C409:C416"/>
    <mergeCell ref="J418:N418"/>
    <mergeCell ref="C420:C421"/>
    <mergeCell ref="D420:E420"/>
    <mergeCell ref="J420:N420"/>
    <mergeCell ref="J421:N421"/>
    <mergeCell ref="Q341:Q357"/>
    <mergeCell ref="J356:N356"/>
    <mergeCell ref="J357:N357"/>
    <mergeCell ref="C358:E358"/>
    <mergeCell ref="C417:C419"/>
    <mergeCell ref="D417:E417"/>
    <mergeCell ref="J417:N417"/>
    <mergeCell ref="J419:N419"/>
    <mergeCell ref="Q390:Q404"/>
    <mergeCell ref="D409:E409"/>
    <mergeCell ref="G409:G410"/>
    <mergeCell ref="J409:N409"/>
    <mergeCell ref="D410:D416"/>
    <mergeCell ref="C390:E390"/>
    <mergeCell ref="G390:G391"/>
    <mergeCell ref="Q405:Q421"/>
    <mergeCell ref="J346:N346"/>
    <mergeCell ref="J347:N347"/>
    <mergeCell ref="C344:C347"/>
    <mergeCell ref="D348:E348"/>
    <mergeCell ref="J348:N348"/>
    <mergeCell ref="J349:N349"/>
    <mergeCell ref="J364:N364"/>
    <mergeCell ref="C406:C408"/>
    <mergeCell ref="B45:B67"/>
    <mergeCell ref="Q44:Q67"/>
    <mergeCell ref="R44:R67"/>
    <mergeCell ref="B30:B33"/>
    <mergeCell ref="F30:F33"/>
    <mergeCell ref="F45:F67"/>
    <mergeCell ref="I30:I33"/>
    <mergeCell ref="Q29:Q33"/>
    <mergeCell ref="R29:R33"/>
    <mergeCell ref="I45:I67"/>
    <mergeCell ref="G34:G35"/>
    <mergeCell ref="J34:N34"/>
    <mergeCell ref="C30:C31"/>
    <mergeCell ref="D30:E30"/>
    <mergeCell ref="J30:N30"/>
    <mergeCell ref="J31:N31"/>
    <mergeCell ref="I35:I43"/>
    <mergeCell ref="J47:N47"/>
    <mergeCell ref="J48:N48"/>
    <mergeCell ref="J49:N49"/>
    <mergeCell ref="J50:N50"/>
    <mergeCell ref="J51:N51"/>
    <mergeCell ref="G44:G45"/>
    <mergeCell ref="J44:N44"/>
    <mergeCell ref="C65:C67"/>
    <mergeCell ref="D65:E65"/>
    <mergeCell ref="G65:G66"/>
    <mergeCell ref="D56:D58"/>
    <mergeCell ref="J24:N24"/>
    <mergeCell ref="J25:N25"/>
    <mergeCell ref="J26:N26"/>
    <mergeCell ref="J28:N28"/>
    <mergeCell ref="J65:N65"/>
    <mergeCell ref="D66:D67"/>
    <mergeCell ref="J66:N66"/>
    <mergeCell ref="J67:N67"/>
    <mergeCell ref="C61:C64"/>
    <mergeCell ref="D61:E61"/>
    <mergeCell ref="G61:G62"/>
    <mergeCell ref="J61:N61"/>
    <mergeCell ref="D62:D64"/>
    <mergeCell ref="J62:N62"/>
    <mergeCell ref="J63:N63"/>
    <mergeCell ref="J64:N64"/>
    <mergeCell ref="J56:N56"/>
    <mergeCell ref="J57:N57"/>
    <mergeCell ref="J58:N58"/>
    <mergeCell ref="J53:N53"/>
    <mergeCell ref="B93:B104"/>
    <mergeCell ref="F93:F104"/>
    <mergeCell ref="I93:I104"/>
    <mergeCell ref="C187:C188"/>
    <mergeCell ref="D187:E187"/>
    <mergeCell ref="C178:C179"/>
    <mergeCell ref="D178:E178"/>
    <mergeCell ref="B174:B196"/>
    <mergeCell ref="D227:D229"/>
    <mergeCell ref="B215:B218"/>
    <mergeCell ref="D224:D226"/>
    <mergeCell ref="D194:D196"/>
    <mergeCell ref="C173:E173"/>
    <mergeCell ref="C174:C175"/>
    <mergeCell ref="D174:E174"/>
    <mergeCell ref="C176:C177"/>
    <mergeCell ref="D176:E176"/>
    <mergeCell ref="B220:B240"/>
    <mergeCell ref="C220:C232"/>
    <mergeCell ref="D220:E220"/>
    <mergeCell ref="F220:F240"/>
    <mergeCell ref="I220:I240"/>
    <mergeCell ref="D221:D223"/>
    <mergeCell ref="D158:D160"/>
    <mergeCell ref="C237:C240"/>
    <mergeCell ref="D237:E237"/>
    <mergeCell ref="C233:C236"/>
    <mergeCell ref="D233:E233"/>
    <mergeCell ref="Q92:Q104"/>
    <mergeCell ref="R92:R104"/>
    <mergeCell ref="J194:N194"/>
    <mergeCell ref="R214:R218"/>
    <mergeCell ref="J176:N176"/>
    <mergeCell ref="J177:N177"/>
    <mergeCell ref="J178:N178"/>
    <mergeCell ref="J216:N216"/>
    <mergeCell ref="Q127:Q136"/>
    <mergeCell ref="R127:R136"/>
    <mergeCell ref="R105:R121"/>
    <mergeCell ref="J128:N128"/>
    <mergeCell ref="R219:R240"/>
    <mergeCell ref="R197:R213"/>
    <mergeCell ref="Q173:Q196"/>
    <mergeCell ref="J149:N149"/>
    <mergeCell ref="J150:N150"/>
    <mergeCell ref="Q150:Q172"/>
    <mergeCell ref="Q105:Q121"/>
    <mergeCell ref="J196:N196"/>
    <mergeCell ref="J280:N280"/>
    <mergeCell ref="J281:N281"/>
    <mergeCell ref="J282:N282"/>
    <mergeCell ref="Q219:Q240"/>
    <mergeCell ref="J226:N226"/>
    <mergeCell ref="J227:N227"/>
    <mergeCell ref="J228:N228"/>
    <mergeCell ref="J229:N229"/>
    <mergeCell ref="J230:N230"/>
    <mergeCell ref="J231:N231"/>
    <mergeCell ref="J232:N232"/>
    <mergeCell ref="J237:N237"/>
    <mergeCell ref="J238:N238"/>
    <mergeCell ref="J239:N239"/>
    <mergeCell ref="J240:N240"/>
    <mergeCell ref="J233:N233"/>
    <mergeCell ref="J224:N224"/>
    <mergeCell ref="J225:N225"/>
    <mergeCell ref="J234:N234"/>
    <mergeCell ref="J235:N235"/>
    <mergeCell ref="J236:N236"/>
    <mergeCell ref="Q241:Q255"/>
  </mergeCells>
  <conditionalFormatting sqref="C359:E370 C372 C391 C395:E396 C394 C398:E398 C397 C400:E401 C399 C403:E404 C402">
    <cfRule type="expression" dxfId="16" priority="22">
      <formula>$N$3="Bestand"</formula>
    </cfRule>
  </conditionalFormatting>
  <conditionalFormatting sqref="C358:E358">
    <cfRule type="expression" dxfId="15" priority="21">
      <formula>$N$3="Bestand"</formula>
    </cfRule>
  </conditionalFormatting>
  <conditionalFormatting sqref="C373:E383">
    <cfRule type="expression" dxfId="14" priority="20">
      <formula>$N$3="Bestand"</formula>
    </cfRule>
  </conditionalFormatting>
  <conditionalFormatting sqref="C390:E390">
    <cfRule type="expression" dxfId="13" priority="19">
      <formula>$N$3="Bestand"</formula>
    </cfRule>
  </conditionalFormatting>
  <conditionalFormatting sqref="C392:E393">
    <cfRule type="expression" dxfId="12" priority="18">
      <formula>$N$3="Bestand"</formula>
    </cfRule>
  </conditionalFormatting>
  <conditionalFormatting sqref="G390:G404 G373:G383 G361:G370">
    <cfRule type="expression" dxfId="11" priority="17">
      <formula>$N$3="Bestand"</formula>
    </cfRule>
  </conditionalFormatting>
  <conditionalFormatting sqref="G185">
    <cfRule type="expression" dxfId="10" priority="16">
      <formula>OR($N$3="Bestand",$N$3="Mischung")</formula>
    </cfRule>
  </conditionalFormatting>
  <conditionalFormatting sqref="G195">
    <cfRule type="expression" dxfId="9" priority="15">
      <formula>OR($N$3="Bestand",$N$3="Mischung")</formula>
    </cfRule>
  </conditionalFormatting>
  <conditionalFormatting sqref="G196">
    <cfRule type="expression" dxfId="8" priority="14">
      <formula>$N$3="Neubau"</formula>
    </cfRule>
  </conditionalFormatting>
  <conditionalFormatting sqref="G31">
    <cfRule type="expression" dxfId="7" priority="13">
      <formula>$N$3="Bestand"</formula>
    </cfRule>
  </conditionalFormatting>
  <conditionalFormatting sqref="G33">
    <cfRule type="expression" dxfId="6" priority="12">
      <formula>$N$3="Neubau"</formula>
    </cfRule>
  </conditionalFormatting>
  <conditionalFormatting sqref="D372:E372">
    <cfRule type="expression" dxfId="5" priority="9">
      <formula>$N$3="Bestand"</formula>
    </cfRule>
  </conditionalFormatting>
  <conditionalFormatting sqref="D402:E402">
    <cfRule type="expression" dxfId="4" priority="1">
      <formula>$N$3="Bestand"</formula>
    </cfRule>
  </conditionalFormatting>
  <conditionalFormatting sqref="D391:E391">
    <cfRule type="expression" dxfId="3" priority="5">
      <formula>$N$3="Bestand"</formula>
    </cfRule>
  </conditionalFormatting>
  <conditionalFormatting sqref="D394:E394">
    <cfRule type="expression" dxfId="2" priority="4">
      <formula>$N$3="Bestand"</formula>
    </cfRule>
  </conditionalFormatting>
  <conditionalFormatting sqref="D397:E397">
    <cfRule type="expression" dxfId="1" priority="3">
      <formula>$N$3="Bestand"</formula>
    </cfRule>
  </conditionalFormatting>
  <conditionalFormatting sqref="D399:E399">
    <cfRule type="expression" dxfId="0" priority="2">
      <formula>$N$3="Bestand"</formula>
    </cfRule>
  </conditionalFormatting>
  <dataValidations count="2">
    <dataValidation type="list" allowBlank="1" showInputMessage="1" showErrorMessage="1" sqref="N3" xr:uid="{A0C669FC-C99C-4B90-9092-2A6A363E2CEF}">
      <formula1>"Neubau,Mischung,Bestand"</formula1>
    </dataValidation>
    <dataValidation type="decimal" operator="lessThanOrEqual" allowBlank="1" showInputMessage="1" showErrorMessage="1" sqref="G12:G421" xr:uid="{ABA49B16-8C11-4C9E-A681-6B629F2EEDAB}">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5F62D735-3C95-4A0B-ACB6-4ED295DB3AA1}">
          <x14:formula1>
            <xm:f>IF(Deckblatt!$C$12=Language!$C$1,Language!$C$171:$C$181,IF(Deckblatt!$C$12=Language!$D$1,Language!$D$171:$D$181))</xm:f>
          </x14:formula1>
          <xm:sqref>E138:E140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51E91-FABC-4A36-84CB-827E0EF4F397}">
  <sheetPr codeName="Sheet6">
    <tabColor rgb="FF4DAA50"/>
  </sheetPr>
  <dimension ref="B1:V539"/>
  <sheetViews>
    <sheetView zoomScale="85" zoomScaleNormal="85" workbookViewId="0">
      <selection activeCell="J15" sqref="J15:N15"/>
    </sheetView>
  </sheetViews>
  <sheetFormatPr defaultColWidth="11.44140625" defaultRowHeight="13.2" outlineLevelCol="1" x14ac:dyDescent="0.25"/>
  <cols>
    <col min="1" max="1" width="1.6640625" style="17" customWidth="1"/>
    <col min="2" max="2" width="8.6640625" style="17" customWidth="1"/>
    <col min="3" max="3" width="7.109375" style="17" customWidth="1"/>
    <col min="4" max="4" width="8.6640625" style="17" customWidth="1"/>
    <col min="5" max="5" width="60.664062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71.5546875" style="184" customWidth="1" collapsed="1"/>
    <col min="23" max="16384" width="11.44140625" style="17"/>
  </cols>
  <sheetData>
    <row r="1" spans="2:22" ht="13.8" thickBot="1" x14ac:dyDescent="0.3"/>
    <row r="2" spans="2:22" ht="26.1" customHeight="1" thickBot="1" x14ac:dyDescent="0.3">
      <c r="B2" s="467" t="str">
        <f>Deckblatt!B6</f>
        <v>Vertragsnummer</v>
      </c>
      <c r="C2" s="457"/>
      <c r="D2" s="457"/>
      <c r="E2" s="35">
        <f>Deckblatt!C6</f>
        <v>0</v>
      </c>
      <c r="F2" s="250" t="str">
        <f>Deckblatt!C15</f>
        <v>Ökologische Qualität</v>
      </c>
      <c r="G2" s="118">
        <f>ROUNDDOWN(T12,3)</f>
        <v>0</v>
      </c>
      <c r="H2" s="250" t="str">
        <f>Deckblatt!C18</f>
        <v>Technische Qualität</v>
      </c>
      <c r="I2" s="37">
        <f>ROUNDDOWN(T317,3)</f>
        <v>0</v>
      </c>
      <c r="J2" s="447" t="str">
        <f>Deckblatt!C21</f>
        <v>Gesamterfüllungsgrad</v>
      </c>
      <c r="K2" s="448"/>
      <c r="L2" s="508"/>
      <c r="M2" s="511">
        <f>ROUNDDOWN(U12,3)</f>
        <v>0</v>
      </c>
      <c r="P2" s="420" t="s">
        <v>43</v>
      </c>
      <c r="Q2" s="421"/>
      <c r="R2" s="421"/>
      <c r="S2" s="421"/>
      <c r="T2" s="421"/>
      <c r="U2" s="422"/>
    </row>
    <row r="3" spans="2:22" ht="26.1" customHeight="1" thickBot="1" x14ac:dyDescent="0.3">
      <c r="B3" s="468" t="str">
        <f>Deckblatt!B7</f>
        <v>Bauvorhaben</v>
      </c>
      <c r="C3" s="469"/>
      <c r="D3" s="469"/>
      <c r="E3" s="38" t="str">
        <f>Deckblatt!C7</f>
        <v>Superquartier</v>
      </c>
      <c r="F3" s="250" t="str">
        <f>Deckblatt!C16</f>
        <v>Ökonomische Qualität</v>
      </c>
      <c r="G3" s="119">
        <f>ROUNDDOWN(T87,3)</f>
        <v>0</v>
      </c>
      <c r="H3" s="250" t="str">
        <f>Deckblatt!C19</f>
        <v>Prozessqualität</v>
      </c>
      <c r="I3" s="41">
        <f>ROUNDDOWN(T425,3)</f>
        <v>0</v>
      </c>
      <c r="J3" s="450"/>
      <c r="K3" s="451"/>
      <c r="L3" s="509"/>
      <c r="M3" s="512"/>
      <c r="P3" s="423"/>
      <c r="Q3" s="424"/>
      <c r="R3" s="424"/>
      <c r="S3" s="424"/>
      <c r="T3" s="424"/>
      <c r="U3" s="425"/>
    </row>
    <row r="4" spans="2:22" ht="26.1" customHeight="1" thickBot="1" x14ac:dyDescent="0.3">
      <c r="B4" s="402" t="str">
        <f>Deckblatt!B9</f>
        <v>DGNB Auditor</v>
      </c>
      <c r="C4" s="403"/>
      <c r="D4" s="403"/>
      <c r="E4" s="42">
        <f>Deckblatt!C9</f>
        <v>0</v>
      </c>
      <c r="F4" s="250" t="str">
        <f>Deckblatt!C17</f>
        <v>Soziokulturelle und Funktionale Qualität</v>
      </c>
      <c r="G4" s="120">
        <f>ROUNDDOWN(T153,3)</f>
        <v>0</v>
      </c>
      <c r="H4" s="44"/>
      <c r="I4" s="34"/>
      <c r="J4" s="453"/>
      <c r="K4" s="454"/>
      <c r="L4" s="510"/>
      <c r="M4" s="513"/>
      <c r="P4" s="426"/>
      <c r="Q4" s="427"/>
      <c r="R4" s="427"/>
      <c r="S4" s="427"/>
      <c r="T4" s="427"/>
      <c r="U4" s="428"/>
    </row>
    <row r="5" spans="2:22" ht="13.8" thickBot="1" x14ac:dyDescent="0.3"/>
    <row r="6" spans="2:22" ht="13.8" thickBot="1" x14ac:dyDescent="0.3">
      <c r="B6" s="429" t="str">
        <f>HLOOKUP(Deckblatt!$C$12,Language!G1:H102,41,FALSE)</f>
        <v>Legende:</v>
      </c>
      <c r="C6" s="430"/>
      <c r="D6" s="431"/>
      <c r="E6" s="45" t="str">
        <f>HLOOKUP(Deckblatt!$C$12,Language!G1:H102,42,FALSE)</f>
        <v>ist einzutragen</v>
      </c>
      <c r="F6" s="410" t="str">
        <f>HLOOKUP(Deckblatt!$C$12,Language!G1:H102,43,FALSE)</f>
        <v>wird autom. berechnet</v>
      </c>
      <c r="G6" s="411"/>
      <c r="H6" s="429" t="str">
        <f>HLOOKUP(Deckblatt!$C$12,Language!G1:H102,44,FALSE)</f>
        <v>Systemvorgaben</v>
      </c>
      <c r="I6" s="462"/>
      <c r="J6" s="463" t="str">
        <f>HLOOKUP(Deckblatt!$C$12,Language!G1:H102,45,FALSE)</f>
        <v>Zelle ohne Inhalt</v>
      </c>
      <c r="K6" s="464"/>
      <c r="L6" s="464"/>
      <c r="M6" s="465"/>
      <c r="N6" s="130" t="s">
        <v>1007</v>
      </c>
    </row>
    <row r="7" spans="2:22" ht="4.5" customHeight="1" x14ac:dyDescent="0.25">
      <c r="J7" s="17"/>
      <c r="K7" s="17"/>
      <c r="L7" s="17"/>
      <c r="M7" s="17"/>
      <c r="N7" s="17"/>
    </row>
    <row r="8" spans="2:22" x14ac:dyDescent="0.25">
      <c r="B8" s="419" t="s">
        <v>1828</v>
      </c>
      <c r="C8" s="419"/>
      <c r="D8" s="419"/>
      <c r="E8" s="419"/>
      <c r="F8" s="419"/>
      <c r="G8" s="419"/>
      <c r="H8" s="419"/>
      <c r="I8" s="419"/>
      <c r="J8" s="419"/>
      <c r="K8" s="419"/>
      <c r="L8" s="419"/>
      <c r="M8" s="419"/>
      <c r="N8" s="419"/>
    </row>
    <row r="9" spans="2:22" ht="5.25" customHeight="1" thickBot="1" x14ac:dyDescent="0.3">
      <c r="J9" s="17"/>
      <c r="K9" s="17"/>
      <c r="L9" s="17"/>
      <c r="M9" s="17"/>
      <c r="N9" s="17"/>
    </row>
    <row r="10" spans="2:22" ht="48" customHeight="1" x14ac:dyDescent="0.25">
      <c r="B10" s="404" t="str">
        <f>HLOOKUP(Deckblatt!$C$12,Language!G1:H102,47,FALSE)</f>
        <v>Nr</v>
      </c>
      <c r="C10" s="406" t="str">
        <f>HLOOKUP(Deckblatt!$C$12,Language!G1:H102,48,FALSE)</f>
        <v>Kriterium</v>
      </c>
      <c r="D10" s="406"/>
      <c r="E10" s="408" t="str">
        <f>HLOOKUP(Deckblatt!$C$12,Language!G1:H102,49,FALSE)</f>
        <v>Indikator</v>
      </c>
      <c r="F10" s="466" t="str">
        <f>HLOOKUP(Deckblatt!$C$12,Language!G1:H102,50,FALSE)</f>
        <v>Punkte
(Auditor)</v>
      </c>
      <c r="G10" s="406"/>
      <c r="H10" s="406"/>
      <c r="I10" s="442" t="str">
        <f>HLOOKUP(Deckblatt!$C$12,Language!G1:H102,54,FALSE)</f>
        <v>spezifischer
Bedeutungsfaktor</v>
      </c>
      <c r="J10" s="456" t="str">
        <f>HLOOKUP(Deckblatt!$C$12,Language!G1:H102,55,FALSE)</f>
        <v>Kommentar / Bemerkung
AUDITOR</v>
      </c>
      <c r="K10" s="457"/>
      <c r="L10" s="457"/>
      <c r="M10" s="457"/>
      <c r="N10" s="458"/>
      <c r="P10" s="440" t="s">
        <v>80</v>
      </c>
      <c r="Q10" s="432" t="s">
        <v>597</v>
      </c>
      <c r="R10" s="432" t="s">
        <v>45</v>
      </c>
      <c r="S10" s="432" t="s">
        <v>44</v>
      </c>
      <c r="T10" s="432" t="s">
        <v>46</v>
      </c>
      <c r="U10" s="470" t="s">
        <v>29</v>
      </c>
    </row>
    <row r="11" spans="2:22" ht="48" customHeight="1" thickBot="1" x14ac:dyDescent="0.3">
      <c r="B11" s="405"/>
      <c r="C11" s="407"/>
      <c r="D11" s="407"/>
      <c r="E11" s="409"/>
      <c r="F11" s="47" t="str">
        <f>HLOOKUP(Deckblatt!$C$12,Language!G1:H102,51,FALSE)</f>
        <v>IST-Punkte (Kriterium)</v>
      </c>
      <c r="G11" s="48" t="str">
        <f>HLOOKUP(Deckblatt!$C$12,Language!G1:H102,52,FALSE)</f>
        <v>IST-Punkte (Indikator)</v>
      </c>
      <c r="H11" s="48" t="str">
        <f>HLOOKUP(Deckblatt!$C$12,Language!G1:H102,53,FALSE)</f>
        <v>Max. Punkte</v>
      </c>
      <c r="I11" s="443"/>
      <c r="J11" s="459"/>
      <c r="K11" s="460"/>
      <c r="L11" s="460"/>
      <c r="M11" s="460"/>
      <c r="N11" s="461"/>
      <c r="P11" s="441"/>
      <c r="Q11" s="433"/>
      <c r="R11" s="433"/>
      <c r="S11" s="433"/>
      <c r="T11" s="433"/>
      <c r="U11" s="471"/>
      <c r="V11" s="185"/>
    </row>
    <row r="12" spans="2:22" x14ac:dyDescent="0.25">
      <c r="B12" s="49" t="s">
        <v>52</v>
      </c>
      <c r="C12" s="438" t="str">
        <f>HLOOKUP(Deckblatt!$C$12,Language!$C$1:$D$730,2,FALSE)</f>
        <v>Ökobilanz</v>
      </c>
      <c r="D12" s="438"/>
      <c r="E12" s="439"/>
      <c r="F12" s="50">
        <f>Q12</f>
        <v>0</v>
      </c>
      <c r="G12" s="434"/>
      <c r="H12" s="51">
        <v>150</v>
      </c>
      <c r="I12" s="136">
        <v>10</v>
      </c>
      <c r="J12" s="435"/>
      <c r="K12" s="436"/>
      <c r="L12" s="436"/>
      <c r="M12" s="436"/>
      <c r="N12" s="437"/>
      <c r="P12" s="18">
        <f>IF(G12&gt;H12,H12,G12)</f>
        <v>0</v>
      </c>
      <c r="Q12" s="493">
        <f>IF(SUM(IF(P15+P16&gt;10,10,P15+P16),P19,P21)&gt;100,100+P24+P25+P26+P27,SUM(IF(P15+P16&gt;10,10,P15+P16),P19,P21,P24,P25,P26,P27))</f>
        <v>0</v>
      </c>
      <c r="R12" s="474">
        <f>Q12/100</f>
        <v>0</v>
      </c>
      <c r="S12" s="474">
        <v>0.2</v>
      </c>
      <c r="T12" s="343">
        <f>IF((R12*I12+R28*I28+R39*I39+R59*I59+R70*I70)/(I12+I28+I39+I59+I70)&gt;1,1,(R12*I12+R28*I28+R39*I39+R59*I59+R70*I70)/(I12+I28+I39+I59+I70))</f>
        <v>0</v>
      </c>
      <c r="U12" s="343">
        <f>(1/5*T12+1/5*T87+1/5*T153+1/5*T317+1/5*T425)</f>
        <v>0</v>
      </c>
      <c r="V12" s="185"/>
    </row>
    <row r="13" spans="2:22" x14ac:dyDescent="0.25">
      <c r="B13" s="375"/>
      <c r="C13" s="351" t="s">
        <v>54</v>
      </c>
      <c r="D13" s="352" t="str">
        <f>HLOOKUP(Deckblatt!$C$12,Language!$C$1:$D$730,3,FALSE)</f>
        <v>Ökobilanz in der Planung</v>
      </c>
      <c r="E13" s="353"/>
      <c r="F13" s="514"/>
      <c r="G13" s="356"/>
      <c r="H13" s="21">
        <v>10</v>
      </c>
      <c r="I13" s="478"/>
      <c r="J13" s="340"/>
      <c r="K13" s="341"/>
      <c r="L13" s="341"/>
      <c r="M13" s="341"/>
      <c r="N13" s="342"/>
      <c r="P13" s="18">
        <f t="shared" ref="P13:P74" si="0">IF(G13&gt;H13,H13,G13)</f>
        <v>0</v>
      </c>
      <c r="Q13" s="493"/>
      <c r="R13" s="474"/>
      <c r="S13" s="474"/>
      <c r="T13" s="344"/>
      <c r="U13" s="475"/>
    </row>
    <row r="14" spans="2:22" x14ac:dyDescent="0.25">
      <c r="B14" s="375"/>
      <c r="C14" s="351"/>
      <c r="D14" s="361" t="s">
        <v>58</v>
      </c>
      <c r="E14" s="150" t="str">
        <f>HLOOKUP(Deckblatt!$C$12,Language!$C$1:$D$730,4,FALSE)</f>
        <v>Integration von Ökobilanzen in den Planungsprozess</v>
      </c>
      <c r="F14" s="514"/>
      <c r="G14" s="356"/>
      <c r="H14" s="21">
        <v>10</v>
      </c>
      <c r="I14" s="478"/>
      <c r="J14" s="340"/>
      <c r="K14" s="341"/>
      <c r="L14" s="341"/>
      <c r="M14" s="341"/>
      <c r="N14" s="342"/>
      <c r="P14" s="18">
        <f t="shared" si="0"/>
        <v>0</v>
      </c>
      <c r="Q14" s="493"/>
      <c r="R14" s="474"/>
      <c r="S14" s="474"/>
      <c r="T14" s="344"/>
      <c r="U14" s="475"/>
    </row>
    <row r="15" spans="2:22" ht="36.6" customHeight="1" x14ac:dyDescent="0.25">
      <c r="B15" s="375"/>
      <c r="C15" s="351"/>
      <c r="D15" s="361"/>
      <c r="E15" s="188" t="str">
        <f>HLOOKUP(Deckblatt!$C$12,Language!$C$1:$D$730,5,FALSE)</f>
        <v xml:space="preserve">In der frühen Planungsphase: Pro analysiertem Handlungsfeld können 2 Punkte vergeben werden.
</v>
      </c>
      <c r="F15" s="514"/>
      <c r="G15" s="69"/>
      <c r="H15" s="18">
        <v>6</v>
      </c>
      <c r="I15" s="478"/>
      <c r="J15" s="340"/>
      <c r="K15" s="341"/>
      <c r="L15" s="341"/>
      <c r="M15" s="341"/>
      <c r="N15" s="342"/>
      <c r="P15" s="18">
        <f t="shared" si="0"/>
        <v>0</v>
      </c>
      <c r="Q15" s="493"/>
      <c r="R15" s="474"/>
      <c r="S15" s="474"/>
      <c r="T15" s="344"/>
      <c r="U15" s="475"/>
    </row>
    <row r="16" spans="2:22" ht="33.6" customHeight="1" x14ac:dyDescent="0.25">
      <c r="B16" s="375"/>
      <c r="C16" s="351"/>
      <c r="D16" s="361"/>
      <c r="E16" s="188" t="str">
        <f>HLOOKUP(Deckblatt!$C$12,Language!$C$1:$D$730,6,FALSE)</f>
        <v xml:space="preserve">Ökobilanziellen Auswirkungen von Planungsänderungen planungsbegleitend
</v>
      </c>
      <c r="F16" s="514"/>
      <c r="G16" s="69"/>
      <c r="H16" s="18">
        <v>4</v>
      </c>
      <c r="I16" s="478"/>
      <c r="J16" s="340"/>
      <c r="K16" s="341"/>
      <c r="L16" s="341"/>
      <c r="M16" s="341"/>
      <c r="N16" s="342"/>
      <c r="P16" s="18">
        <f t="shared" si="0"/>
        <v>0</v>
      </c>
      <c r="Q16" s="493"/>
      <c r="R16" s="474"/>
      <c r="S16" s="474"/>
      <c r="T16" s="344"/>
      <c r="U16" s="475"/>
    </row>
    <row r="17" spans="2:21" x14ac:dyDescent="0.25">
      <c r="B17" s="375"/>
      <c r="C17" s="359" t="s">
        <v>61</v>
      </c>
      <c r="D17" s="352" t="str">
        <f>HLOOKUP(Deckblatt!$C$12,Language!$C$1:$D$730,7,FALSE)</f>
        <v>Ökobilanz-Optimierung</v>
      </c>
      <c r="E17" s="353"/>
      <c r="F17" s="514"/>
      <c r="G17" s="113"/>
      <c r="H17" s="21">
        <v>10</v>
      </c>
      <c r="I17" s="478"/>
      <c r="J17" s="340"/>
      <c r="K17" s="341"/>
      <c r="L17" s="341"/>
      <c r="M17" s="341"/>
      <c r="N17" s="342"/>
      <c r="P17" s="18">
        <f t="shared" si="0"/>
        <v>0</v>
      </c>
      <c r="Q17" s="493"/>
      <c r="R17" s="474"/>
      <c r="S17" s="474"/>
      <c r="T17" s="344"/>
      <c r="U17" s="475"/>
    </row>
    <row r="18" spans="2:21" ht="21.6" customHeight="1" x14ac:dyDescent="0.25">
      <c r="B18" s="375"/>
      <c r="C18" s="390"/>
      <c r="D18" s="398" t="s">
        <v>63</v>
      </c>
      <c r="E18" s="150" t="str">
        <f>HLOOKUP(Deckblatt!$C$12,Language!$C$1:$D$730,8,FALSE)</f>
        <v>Planungsbegleitende Ökobilanz-Optimierung</v>
      </c>
      <c r="F18" s="514"/>
      <c r="G18" s="113"/>
      <c r="H18" s="21">
        <v>10</v>
      </c>
      <c r="I18" s="478"/>
      <c r="J18" s="340"/>
      <c r="K18" s="341"/>
      <c r="L18" s="341"/>
      <c r="M18" s="341"/>
      <c r="N18" s="342"/>
      <c r="P18" s="18">
        <f t="shared" si="0"/>
        <v>0</v>
      </c>
      <c r="Q18" s="493"/>
      <c r="R18" s="474"/>
      <c r="S18" s="474"/>
      <c r="T18" s="344"/>
      <c r="U18" s="475"/>
    </row>
    <row r="19" spans="2:21" ht="45" customHeight="1" x14ac:dyDescent="0.25">
      <c r="B19" s="375"/>
      <c r="C19" s="390"/>
      <c r="D19" s="414"/>
      <c r="E19" s="188" t="str">
        <f>HLOOKUP(Deckblatt!$C$12,Language!$C$1:$D$730,9,FALSE)</f>
        <v>- Umfassende Betrachtung  (10 Punkte)
ODER
- Teilbetrachtung (5 Punkte)</v>
      </c>
      <c r="F19" s="514"/>
      <c r="G19" s="69"/>
      <c r="H19" s="18">
        <v>10</v>
      </c>
      <c r="I19" s="478"/>
      <c r="J19" s="340"/>
      <c r="K19" s="341"/>
      <c r="L19" s="341"/>
      <c r="M19" s="341"/>
      <c r="N19" s="342"/>
      <c r="P19" s="18">
        <f t="shared" si="0"/>
        <v>0</v>
      </c>
      <c r="Q19" s="493"/>
      <c r="R19" s="474"/>
      <c r="S19" s="474"/>
      <c r="T19" s="344"/>
      <c r="U19" s="475"/>
    </row>
    <row r="20" spans="2:21" x14ac:dyDescent="0.25">
      <c r="B20" s="375"/>
      <c r="C20" s="359" t="s">
        <v>64</v>
      </c>
      <c r="D20" s="352" t="str">
        <f>HLOOKUP(Deckblatt!$C$12,Language!$C$1:$D$730,10,FALSE)</f>
        <v>Ökobilanz Vergleichsrechnung</v>
      </c>
      <c r="E20" s="353"/>
      <c r="F20" s="514"/>
      <c r="G20" s="113"/>
      <c r="H20" s="21">
        <v>100</v>
      </c>
      <c r="I20" s="478"/>
      <c r="J20" s="340"/>
      <c r="K20" s="341"/>
      <c r="L20" s="341"/>
      <c r="M20" s="341"/>
      <c r="N20" s="342"/>
      <c r="P20" s="18">
        <f t="shared" si="0"/>
        <v>0</v>
      </c>
      <c r="Q20" s="493"/>
      <c r="R20" s="474"/>
      <c r="S20" s="474"/>
      <c r="T20" s="344"/>
      <c r="U20" s="475"/>
    </row>
    <row r="21" spans="2:21" ht="31.5" customHeight="1" x14ac:dyDescent="0.25">
      <c r="B21" s="375"/>
      <c r="C21" s="390"/>
      <c r="D21" s="71" t="s">
        <v>66</v>
      </c>
      <c r="E21" s="150" t="str">
        <f>HLOOKUP(Deckblatt!$C$12,Language!$C$1:$D$730,11,FALSE)</f>
        <v xml:space="preserve">Gewichtete Umweltwirkungen: gesamtes Quartier
</v>
      </c>
      <c r="F21" s="514"/>
      <c r="G21" s="69"/>
      <c r="H21" s="18">
        <v>100</v>
      </c>
      <c r="I21" s="478"/>
      <c r="J21" s="340"/>
      <c r="K21" s="341"/>
      <c r="L21" s="341"/>
      <c r="M21" s="341"/>
      <c r="N21" s="342"/>
      <c r="P21" s="18">
        <f t="shared" si="0"/>
        <v>0</v>
      </c>
      <c r="Q21" s="493"/>
      <c r="R21" s="474"/>
      <c r="S21" s="474"/>
      <c r="T21" s="344"/>
      <c r="U21" s="475"/>
    </row>
    <row r="22" spans="2:21" x14ac:dyDescent="0.25">
      <c r="B22" s="375"/>
      <c r="C22" s="351" t="s">
        <v>67</v>
      </c>
      <c r="D22" s="412" t="str">
        <f>HLOOKUP(Deckblatt!$C$12,Language!$C$1:$D$730,14,FALSE)</f>
        <v>AGENDA 2030 BONUS - KLIMASCHUTZZIELE</v>
      </c>
      <c r="E22" s="413"/>
      <c r="F22" s="514"/>
      <c r="G22" s="356"/>
      <c r="H22" s="21">
        <v>50</v>
      </c>
      <c r="I22" s="478"/>
      <c r="J22" s="340"/>
      <c r="K22" s="341"/>
      <c r="L22" s="341"/>
      <c r="M22" s="341"/>
      <c r="N22" s="342"/>
      <c r="P22" s="18">
        <f t="shared" si="0"/>
        <v>0</v>
      </c>
      <c r="Q22" s="493"/>
      <c r="R22" s="474"/>
      <c r="S22" s="474"/>
      <c r="T22" s="344"/>
      <c r="U22" s="475"/>
    </row>
    <row r="23" spans="2:21" x14ac:dyDescent="0.25">
      <c r="B23" s="375"/>
      <c r="C23" s="351"/>
      <c r="D23" s="398" t="s">
        <v>69</v>
      </c>
      <c r="E23" s="53" t="str">
        <f>HLOOKUP(Deckblatt!$C$12,Language!$C$1:$D$730,15,FALSE)</f>
        <v>Ambitionen zum Erreichen von Klimaneutralität</v>
      </c>
      <c r="F23" s="514"/>
      <c r="G23" s="356"/>
      <c r="H23" s="21">
        <v>48</v>
      </c>
      <c r="I23" s="478"/>
      <c r="J23" s="340"/>
      <c r="K23" s="341"/>
      <c r="L23" s="341"/>
      <c r="M23" s="341"/>
      <c r="N23" s="342"/>
      <c r="P23" s="18">
        <f t="shared" si="0"/>
        <v>0</v>
      </c>
      <c r="Q23" s="493"/>
      <c r="R23" s="474"/>
      <c r="S23" s="474"/>
      <c r="T23" s="344"/>
      <c r="U23" s="475"/>
    </row>
    <row r="24" spans="2:21" ht="26.4" x14ac:dyDescent="0.25">
      <c r="B24" s="375"/>
      <c r="C24" s="351"/>
      <c r="D24" s="414"/>
      <c r="E24" s="134" t="str">
        <f>HLOOKUP(Deckblatt!$C$12,Language!$C$1:$D$730,16,FALSE)</f>
        <v xml:space="preserve">Klimaneutraler Energiebedarf
</v>
      </c>
      <c r="F24" s="514"/>
      <c r="G24" s="69"/>
      <c r="H24" s="18">
        <v>24</v>
      </c>
      <c r="I24" s="478"/>
      <c r="J24" s="340"/>
      <c r="K24" s="341"/>
      <c r="L24" s="341"/>
      <c r="M24" s="341"/>
      <c r="N24" s="342"/>
      <c r="P24" s="18">
        <f t="shared" si="0"/>
        <v>0</v>
      </c>
      <c r="Q24" s="493"/>
      <c r="R24" s="474"/>
      <c r="S24" s="474"/>
      <c r="T24" s="344"/>
      <c r="U24" s="475"/>
    </row>
    <row r="25" spans="2:21" ht="26.4" x14ac:dyDescent="0.25">
      <c r="B25" s="375"/>
      <c r="C25" s="351"/>
      <c r="D25" s="414"/>
      <c r="E25" s="134" t="str">
        <f>HLOOKUP(Deckblatt!$C$12,Language!$C$1:$D$730,17,FALSE)</f>
        <v xml:space="preserve">Klimaneutraler Energiebedarf Nutzer
</v>
      </c>
      <c r="F25" s="514"/>
      <c r="G25" s="69"/>
      <c r="H25" s="18">
        <v>14</v>
      </c>
      <c r="I25" s="478"/>
      <c r="J25" s="340"/>
      <c r="K25" s="341"/>
      <c r="L25" s="341"/>
      <c r="M25" s="341"/>
      <c r="N25" s="342"/>
      <c r="P25" s="18">
        <f t="shared" si="0"/>
        <v>0</v>
      </c>
      <c r="Q25" s="493"/>
      <c r="R25" s="474"/>
      <c r="S25" s="474"/>
      <c r="T25" s="344"/>
      <c r="U25" s="475"/>
    </row>
    <row r="26" spans="2:21" ht="26.4" x14ac:dyDescent="0.25">
      <c r="B26" s="375"/>
      <c r="C26" s="351"/>
      <c r="D26" s="399"/>
      <c r="E26" s="134" t="str">
        <f>HLOOKUP(Deckblatt!$C$12,Language!$E$1:$F$730,17,FALSE)</f>
        <v>Klimaneutraler Energiebedarf Mobilität MIV (Motorisierter Individualverkehr)</v>
      </c>
      <c r="F26" s="514"/>
      <c r="G26" s="69"/>
      <c r="H26" s="18">
        <v>10</v>
      </c>
      <c r="I26" s="478"/>
      <c r="J26" s="340"/>
      <c r="K26" s="341"/>
      <c r="L26" s="341"/>
      <c r="M26" s="341"/>
      <c r="N26" s="342"/>
      <c r="P26" s="18">
        <f t="shared" si="0"/>
        <v>0</v>
      </c>
      <c r="Q26" s="493"/>
      <c r="R26" s="474"/>
      <c r="S26" s="474"/>
      <c r="T26" s="344"/>
      <c r="U26" s="475"/>
    </row>
    <row r="27" spans="2:21" ht="34.5" customHeight="1" x14ac:dyDescent="0.25">
      <c r="B27" s="375"/>
      <c r="C27" s="351"/>
      <c r="D27" s="71" t="s">
        <v>78</v>
      </c>
      <c r="E27" s="54" t="str">
        <f>HLOOKUP(Deckblatt!$C$12,Language!$C$1:$D$730,18,FALSE)</f>
        <v xml:space="preserve">Halogenierte Kohlenwasserstoffe in Kältemitteln
Keine Nutzung von Kältemitteln mit einem GWP-Faktor ≥ 150 kg CO2-Äq.
</v>
      </c>
      <c r="F27" s="514"/>
      <c r="G27" s="69"/>
      <c r="H27" s="18">
        <v>2</v>
      </c>
      <c r="I27" s="478"/>
      <c r="J27" s="340"/>
      <c r="K27" s="341"/>
      <c r="L27" s="341"/>
      <c r="M27" s="341"/>
      <c r="N27" s="342"/>
      <c r="P27" s="18">
        <f t="shared" si="0"/>
        <v>0</v>
      </c>
      <c r="Q27" s="493"/>
      <c r="R27" s="474"/>
      <c r="S27" s="474"/>
      <c r="T27" s="344"/>
      <c r="U27" s="475"/>
    </row>
    <row r="28" spans="2:21" x14ac:dyDescent="0.25">
      <c r="B28" s="55" t="s">
        <v>81</v>
      </c>
      <c r="C28" s="354" t="str">
        <f>HLOOKUP(Deckblatt!$C$12,Language!$C$1:$D$730,33,FALSE)</f>
        <v>Stadtklima – Mesoklima</v>
      </c>
      <c r="D28" s="354"/>
      <c r="E28" s="355"/>
      <c r="F28" s="56">
        <f>Q28</f>
        <v>0</v>
      </c>
      <c r="G28" s="356"/>
      <c r="H28" s="21">
        <v>120</v>
      </c>
      <c r="I28" s="177">
        <v>7</v>
      </c>
      <c r="J28" s="340"/>
      <c r="K28" s="341"/>
      <c r="L28" s="341"/>
      <c r="M28" s="341"/>
      <c r="N28" s="342"/>
      <c r="P28" s="18">
        <f t="shared" si="0"/>
        <v>0</v>
      </c>
      <c r="Q28" s="337">
        <f>SUM(P30,IF(P32+P33&gt;40,40,P32+P33),P35,P36,P38)</f>
        <v>0</v>
      </c>
      <c r="R28" s="474">
        <f>Q28/100</f>
        <v>0</v>
      </c>
      <c r="S28" s="474"/>
      <c r="T28" s="344"/>
      <c r="U28" s="475"/>
    </row>
    <row r="29" spans="2:21" x14ac:dyDescent="0.25">
      <c r="B29" s="375"/>
      <c r="C29" s="351" t="s">
        <v>54</v>
      </c>
      <c r="D29" s="352" t="str">
        <f>HLOOKUP(Deckblatt!$C$12,Language!$C$1:$D$730,34,FALSE)</f>
        <v>Stadtklimatische Analyse des Quartiers</v>
      </c>
      <c r="E29" s="353"/>
      <c r="F29" s="477"/>
      <c r="G29" s="356"/>
      <c r="H29" s="21">
        <v>30</v>
      </c>
      <c r="I29" s="478"/>
      <c r="J29" s="340"/>
      <c r="K29" s="341"/>
      <c r="L29" s="341"/>
      <c r="M29" s="341"/>
      <c r="N29" s="342"/>
      <c r="P29" s="18">
        <f t="shared" si="0"/>
        <v>0</v>
      </c>
      <c r="Q29" s="338"/>
      <c r="R29" s="474"/>
      <c r="S29" s="474"/>
      <c r="T29" s="344"/>
      <c r="U29" s="475"/>
    </row>
    <row r="30" spans="2:21" ht="105.6" x14ac:dyDescent="0.25">
      <c r="B30" s="375"/>
      <c r="C30" s="351"/>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77"/>
      <c r="G30" s="69"/>
      <c r="H30" s="18">
        <v>30</v>
      </c>
      <c r="I30" s="478"/>
      <c r="J30" s="340"/>
      <c r="K30" s="341"/>
      <c r="L30" s="341"/>
      <c r="M30" s="341"/>
      <c r="N30" s="342"/>
      <c r="P30" s="18">
        <f t="shared" si="0"/>
        <v>0</v>
      </c>
      <c r="Q30" s="338"/>
      <c r="R30" s="474"/>
      <c r="S30" s="474"/>
      <c r="T30" s="344"/>
      <c r="U30" s="475"/>
    </row>
    <row r="31" spans="2:21" x14ac:dyDescent="0.25">
      <c r="B31" s="375"/>
      <c r="C31" s="351" t="s">
        <v>61</v>
      </c>
      <c r="D31" s="352" t="str">
        <f>HLOOKUP(Deckblatt!$C$12,Language!$C$1:$D$730,36,FALSE)</f>
        <v>Thermische Qualität der Quartiersoberflächen / Werksoberflächen</v>
      </c>
      <c r="E31" s="353"/>
      <c r="F31" s="477"/>
      <c r="G31" s="117"/>
      <c r="H31" s="21">
        <v>40</v>
      </c>
      <c r="I31" s="478"/>
      <c r="J31" s="340"/>
      <c r="K31" s="341"/>
      <c r="L31" s="341"/>
      <c r="M31" s="341"/>
      <c r="N31" s="342"/>
      <c r="P31" s="18">
        <f t="shared" si="0"/>
        <v>0</v>
      </c>
      <c r="Q31" s="338"/>
      <c r="R31" s="474"/>
      <c r="S31" s="474"/>
      <c r="T31" s="344"/>
      <c r="U31" s="475"/>
    </row>
    <row r="32" spans="2:21" ht="26.4" x14ac:dyDescent="0.25">
      <c r="B32" s="375"/>
      <c r="C32" s="351"/>
      <c r="D32" s="71" t="s">
        <v>63</v>
      </c>
      <c r="E32" s="150" t="str">
        <f>HLOOKUP(Deckblatt!$C$12,Language!$C$1:$D$730,37,FALSE)</f>
        <v xml:space="preserve">Stadtklimafaktor Stadtquartiere
</v>
      </c>
      <c r="F32" s="477"/>
      <c r="G32" s="69"/>
      <c r="H32" s="18">
        <v>40</v>
      </c>
      <c r="I32" s="478"/>
      <c r="J32" s="340"/>
      <c r="K32" s="341"/>
      <c r="L32" s="341"/>
      <c r="M32" s="341"/>
      <c r="N32" s="342"/>
      <c r="P32" s="18">
        <f t="shared" si="0"/>
        <v>0</v>
      </c>
      <c r="Q32" s="338"/>
      <c r="R32" s="474"/>
      <c r="S32" s="474"/>
      <c r="T32" s="344"/>
      <c r="U32" s="475"/>
    </row>
    <row r="33" spans="2:21" ht="39.6" customHeight="1" x14ac:dyDescent="0.25">
      <c r="B33" s="375"/>
      <c r="C33" s="351"/>
      <c r="D33" s="71" t="s">
        <v>173</v>
      </c>
      <c r="E33" s="134" t="str">
        <f>HLOOKUP(Deckblatt!$C$12,Language!$C$1:$D$730,38,FALSE)</f>
        <v xml:space="preserve">ALTERNATIVE zu 2.1.: Es kann ein Gutachten mit Modellierung der mittleren  Strahlungstemperatur eingesetzt werden.
</v>
      </c>
      <c r="F33" s="477"/>
      <c r="G33" s="69"/>
      <c r="H33" s="18">
        <v>40</v>
      </c>
      <c r="I33" s="478"/>
      <c r="J33" s="340"/>
      <c r="K33" s="341"/>
      <c r="L33" s="341"/>
      <c r="M33" s="341"/>
      <c r="N33" s="342"/>
      <c r="P33" s="18">
        <f t="shared" si="0"/>
        <v>0</v>
      </c>
      <c r="Q33" s="338"/>
      <c r="R33" s="474"/>
      <c r="S33" s="474"/>
      <c r="T33" s="344"/>
      <c r="U33" s="475"/>
    </row>
    <row r="34" spans="2:21" x14ac:dyDescent="0.25">
      <c r="B34" s="375"/>
      <c r="C34" s="351" t="s">
        <v>64</v>
      </c>
      <c r="D34" s="352" t="str">
        <f>HLOOKUP(Deckblatt!$C$12,Language!$C$1:$D$730,41,FALSE)</f>
        <v>Belüftung</v>
      </c>
      <c r="E34" s="353"/>
      <c r="F34" s="477"/>
      <c r="G34" s="117"/>
      <c r="H34" s="21">
        <v>30</v>
      </c>
      <c r="I34" s="478"/>
      <c r="J34" s="340"/>
      <c r="K34" s="341"/>
      <c r="L34" s="341"/>
      <c r="M34" s="341"/>
      <c r="N34" s="342"/>
      <c r="P34" s="18">
        <f t="shared" si="0"/>
        <v>0</v>
      </c>
      <c r="Q34" s="338"/>
      <c r="R34" s="474"/>
      <c r="S34" s="474"/>
      <c r="T34" s="344"/>
      <c r="U34" s="475"/>
    </row>
    <row r="35" spans="2:21" ht="26.4" x14ac:dyDescent="0.25">
      <c r="B35" s="375"/>
      <c r="C35" s="351"/>
      <c r="D35" s="57" t="s">
        <v>66</v>
      </c>
      <c r="E35" s="150" t="str">
        <f>HLOOKUP(Deckblatt!$C$12,Language!$C$1:$D$730,42,FALSE)</f>
        <v xml:space="preserve">Berücksichtigung des Belüftungspotentials
</v>
      </c>
      <c r="F35" s="477"/>
      <c r="G35" s="69"/>
      <c r="H35" s="18">
        <v>15</v>
      </c>
      <c r="I35" s="478"/>
      <c r="J35" s="340"/>
      <c r="K35" s="341"/>
      <c r="L35" s="341"/>
      <c r="M35" s="341"/>
      <c r="N35" s="342"/>
      <c r="P35" s="18">
        <f t="shared" si="0"/>
        <v>0</v>
      </c>
      <c r="Q35" s="338"/>
      <c r="R35" s="474"/>
      <c r="S35" s="474"/>
      <c r="T35" s="344"/>
      <c r="U35" s="475"/>
    </row>
    <row r="36" spans="2:21" ht="26.4" x14ac:dyDescent="0.25">
      <c r="B36" s="375"/>
      <c r="C36" s="351"/>
      <c r="D36" s="71" t="s">
        <v>188</v>
      </c>
      <c r="E36" s="150" t="str">
        <f>HLOOKUP(Deckblatt!$C$12,Language!$C$1:$D$730,43,FALSE)</f>
        <v xml:space="preserve">Gutachten zum Belüftungspotential
</v>
      </c>
      <c r="F36" s="477"/>
      <c r="G36" s="69"/>
      <c r="H36" s="18">
        <v>15</v>
      </c>
      <c r="I36" s="478"/>
      <c r="J36" s="340"/>
      <c r="K36" s="341"/>
      <c r="L36" s="341"/>
      <c r="M36" s="341"/>
      <c r="N36" s="342"/>
      <c r="P36" s="18">
        <f t="shared" si="0"/>
        <v>0</v>
      </c>
      <c r="Q36" s="338"/>
      <c r="R36" s="474"/>
      <c r="S36" s="474"/>
      <c r="T36" s="344"/>
      <c r="U36" s="475"/>
    </row>
    <row r="37" spans="2:21" ht="73.95" customHeight="1" x14ac:dyDescent="0.25">
      <c r="B37" s="375"/>
      <c r="C37" s="351" t="s">
        <v>67</v>
      </c>
      <c r="D37" s="472"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473"/>
      <c r="F37" s="477"/>
      <c r="G37" s="117"/>
      <c r="H37" s="21">
        <v>20</v>
      </c>
      <c r="I37" s="478"/>
      <c r="J37" s="340"/>
      <c r="K37" s="341"/>
      <c r="L37" s="341"/>
      <c r="M37" s="341"/>
      <c r="N37" s="342"/>
      <c r="P37" s="18">
        <f t="shared" si="0"/>
        <v>0</v>
      </c>
      <c r="Q37" s="338"/>
      <c r="R37" s="474"/>
      <c r="S37" s="474"/>
      <c r="T37" s="344"/>
      <c r="U37" s="475"/>
    </row>
    <row r="38" spans="2:21" ht="101.4" customHeight="1" x14ac:dyDescent="0.25">
      <c r="B38" s="375"/>
      <c r="C38" s="351"/>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77"/>
      <c r="G38" s="69"/>
      <c r="H38" s="18">
        <v>20</v>
      </c>
      <c r="I38" s="478"/>
      <c r="J38" s="340"/>
      <c r="K38" s="341"/>
      <c r="L38" s="341"/>
      <c r="M38" s="341"/>
      <c r="N38" s="342"/>
      <c r="P38" s="18">
        <f t="shared" si="0"/>
        <v>0</v>
      </c>
      <c r="Q38" s="339"/>
      <c r="R38" s="474"/>
      <c r="S38" s="474"/>
      <c r="T38" s="344"/>
      <c r="U38" s="475"/>
    </row>
    <row r="39" spans="2:21" x14ac:dyDescent="0.25">
      <c r="B39" s="55" t="s">
        <v>113</v>
      </c>
      <c r="C39" s="354" t="str">
        <f>HLOOKUP(Deckblatt!$C$12,Language!$C$1:$D$730,46,FALSE)</f>
        <v>Wasserkreislaufsysteme</v>
      </c>
      <c r="D39" s="354"/>
      <c r="E39" s="355"/>
      <c r="F39" s="56">
        <f>Q39</f>
        <v>0</v>
      </c>
      <c r="G39" s="362"/>
      <c r="H39" s="21">
        <v>110</v>
      </c>
      <c r="I39" s="176">
        <v>5</v>
      </c>
      <c r="J39" s="340"/>
      <c r="K39" s="341"/>
      <c r="L39" s="341"/>
      <c r="M39" s="341"/>
      <c r="N39" s="342"/>
      <c r="P39" s="18">
        <f t="shared" si="0"/>
        <v>0</v>
      </c>
      <c r="Q39" s="337">
        <f>SUM(P41,P43:P46,P48:P49,P51,IF(P54+P55&gt;20,20,P54+P55),P58)</f>
        <v>0</v>
      </c>
      <c r="R39" s="343">
        <f>Q39/100</f>
        <v>0</v>
      </c>
      <c r="S39" s="474"/>
      <c r="T39" s="344"/>
      <c r="U39" s="475"/>
    </row>
    <row r="40" spans="2:21" x14ac:dyDescent="0.25">
      <c r="B40" s="345"/>
      <c r="C40" s="369" t="s">
        <v>54</v>
      </c>
      <c r="D40" s="352" t="str">
        <f>HLOOKUP(Deckblatt!$C$12,Language!$C$1:$D$730,47,FALSE)</f>
        <v>Reduzierung des Trinkwasserverbrauchs</v>
      </c>
      <c r="E40" s="353"/>
      <c r="F40" s="347"/>
      <c r="G40" s="362"/>
      <c r="H40" s="21">
        <v>45</v>
      </c>
      <c r="I40" s="349"/>
      <c r="J40" s="340"/>
      <c r="K40" s="341"/>
      <c r="L40" s="341"/>
      <c r="M40" s="341"/>
      <c r="N40" s="342"/>
      <c r="P40" s="18">
        <f t="shared" si="0"/>
        <v>0</v>
      </c>
      <c r="Q40" s="338"/>
      <c r="R40" s="344"/>
      <c r="S40" s="474"/>
      <c r="T40" s="344"/>
      <c r="U40" s="475"/>
    </row>
    <row r="41" spans="2:21" ht="26.4" x14ac:dyDescent="0.25">
      <c r="B41" s="346"/>
      <c r="C41" s="480"/>
      <c r="D41" s="71" t="s">
        <v>58</v>
      </c>
      <c r="E41" s="150" t="str">
        <f>HLOOKUP(Deckblatt!$C$12,Language!$C$1:$D$730,48,FALSE)</f>
        <v xml:space="preserve">Wassernutzungskonzept
</v>
      </c>
      <c r="F41" s="348"/>
      <c r="G41" s="69"/>
      <c r="H41" s="18">
        <v>5</v>
      </c>
      <c r="I41" s="350"/>
      <c r="J41" s="340"/>
      <c r="K41" s="341"/>
      <c r="L41" s="341"/>
      <c r="M41" s="341"/>
      <c r="N41" s="342"/>
      <c r="P41" s="18">
        <f t="shared" si="0"/>
        <v>0</v>
      </c>
      <c r="Q41" s="338"/>
      <c r="R41" s="344"/>
      <c r="S41" s="474"/>
      <c r="T41" s="344"/>
      <c r="U41" s="475"/>
    </row>
    <row r="42" spans="2:21" x14ac:dyDescent="0.25">
      <c r="B42" s="346"/>
      <c r="C42" s="480"/>
      <c r="D42" s="481" t="s">
        <v>181</v>
      </c>
      <c r="E42" s="150" t="str">
        <f>HLOOKUP(Deckblatt!$C$12,Language!$C$1:$D$730,49,FALSE)</f>
        <v>Maßnahmen zur Reduktion des Trinkwasserverbrauchs</v>
      </c>
      <c r="F42" s="348"/>
      <c r="G42" s="117"/>
      <c r="H42" s="21">
        <v>30</v>
      </c>
      <c r="I42" s="350"/>
      <c r="J42" s="340"/>
      <c r="K42" s="341"/>
      <c r="L42" s="341"/>
      <c r="M42" s="341"/>
      <c r="N42" s="342"/>
      <c r="P42" s="18">
        <f t="shared" si="0"/>
        <v>0</v>
      </c>
      <c r="Q42" s="338"/>
      <c r="R42" s="344"/>
      <c r="S42" s="474"/>
      <c r="T42" s="344"/>
      <c r="U42" s="475"/>
    </row>
    <row r="43" spans="2:21" ht="52.8" x14ac:dyDescent="0.25">
      <c r="B43" s="346"/>
      <c r="C43" s="480"/>
      <c r="D43" s="481"/>
      <c r="E43" s="134" t="str">
        <f>HLOOKUP(Deckblatt!$C$12,Language!$C$1:$D$730,50,FALSE)</f>
        <v xml:space="preserve">Maßnahme die den Trinkwasserbedarf im Quartier (Gebäude + Freiraum) reduzieren sind umgesetzt und in einem übergeordneten Konzept dargestellt. 
</v>
      </c>
      <c r="F43" s="348"/>
      <c r="G43" s="69"/>
      <c r="H43" s="18">
        <v>10</v>
      </c>
      <c r="I43" s="350"/>
      <c r="J43" s="340"/>
      <c r="K43" s="341"/>
      <c r="L43" s="341"/>
      <c r="M43" s="341"/>
      <c r="N43" s="342"/>
      <c r="P43" s="18">
        <f t="shared" si="0"/>
        <v>0</v>
      </c>
      <c r="Q43" s="338"/>
      <c r="R43" s="344"/>
      <c r="S43" s="474"/>
      <c r="T43" s="344"/>
      <c r="U43" s="475"/>
    </row>
    <row r="44" spans="2:21" ht="26.4" x14ac:dyDescent="0.25">
      <c r="B44" s="346"/>
      <c r="C44" s="480"/>
      <c r="D44" s="481"/>
      <c r="E44" s="134" t="str">
        <f>HLOOKUP(Deckblatt!$C$12,Language!$C$1:$D$730,51,FALSE)</f>
        <v xml:space="preserve">Regelmäßige Information an die Nutzer des Quartiers
</v>
      </c>
      <c r="F44" s="348"/>
      <c r="G44" s="69"/>
      <c r="H44" s="18">
        <v>5</v>
      </c>
      <c r="I44" s="350"/>
      <c r="J44" s="340"/>
      <c r="K44" s="341"/>
      <c r="L44" s="341"/>
      <c r="M44" s="341"/>
      <c r="N44" s="342"/>
      <c r="P44" s="18">
        <f t="shared" si="0"/>
        <v>0</v>
      </c>
      <c r="Q44" s="338"/>
      <c r="R44" s="344"/>
      <c r="S44" s="474"/>
      <c r="T44" s="344"/>
      <c r="U44" s="475"/>
    </row>
    <row r="45" spans="2:21" ht="39.6" x14ac:dyDescent="0.25">
      <c r="B45" s="346"/>
      <c r="C45" s="480"/>
      <c r="D45" s="481"/>
      <c r="E45" s="134" t="str">
        <f>HLOOKUP(Deckblatt!$C$12,Language!$C$1:$D$730,52,FALSE)</f>
        <v xml:space="preserve">Max. 20% des Wasserbedarfs der WCs im Quartier werden über Trinkwasser versorgt. 
</v>
      </c>
      <c r="F45" s="348"/>
      <c r="G45" s="69"/>
      <c r="H45" s="18">
        <v>10</v>
      </c>
      <c r="I45" s="350"/>
      <c r="J45" s="340"/>
      <c r="K45" s="341"/>
      <c r="L45" s="341"/>
      <c r="M45" s="341"/>
      <c r="N45" s="342"/>
      <c r="P45" s="18">
        <f t="shared" si="0"/>
        <v>0</v>
      </c>
      <c r="Q45" s="338"/>
      <c r="R45" s="344"/>
      <c r="S45" s="474"/>
      <c r="T45" s="344"/>
      <c r="U45" s="475"/>
    </row>
    <row r="46" spans="2:21" ht="39.6" x14ac:dyDescent="0.25">
      <c r="B46" s="346"/>
      <c r="C46" s="480"/>
      <c r="D46" s="481"/>
      <c r="E46" s="134" t="str">
        <f>HLOOKUP(Deckblatt!$C$12,Language!$C$1:$D$730,53,FALSE)</f>
        <v xml:space="preserve">Nutzung von Regen- bzw. Betriebswasser* bei 100 % der öffentlichen Freiflächen 
</v>
      </c>
      <c r="F46" s="348"/>
      <c r="G46" s="69"/>
      <c r="H46" s="18">
        <v>5</v>
      </c>
      <c r="I46" s="350"/>
      <c r="J46" s="340"/>
      <c r="K46" s="341"/>
      <c r="L46" s="341"/>
      <c r="M46" s="341"/>
      <c r="N46" s="342"/>
      <c r="P46" s="18">
        <f t="shared" si="0"/>
        <v>0</v>
      </c>
      <c r="Q46" s="338"/>
      <c r="R46" s="344"/>
      <c r="S46" s="474"/>
      <c r="T46" s="344"/>
      <c r="U46" s="475"/>
    </row>
    <row r="47" spans="2:21" ht="39.6" x14ac:dyDescent="0.25">
      <c r="B47" s="346"/>
      <c r="C47" s="480"/>
      <c r="D47" s="361" t="s">
        <v>121</v>
      </c>
      <c r="E47" s="68" t="str">
        <f>HLOOKUP(Deckblatt!$C$12,Language!$C$1:$D$730,58,FALSE)</f>
        <v xml:space="preserve">CIRCULAR ECONOMY BONUS - WIEDERVERWENDUNG SCHWARZWASSER
</v>
      </c>
      <c r="F47" s="348"/>
      <c r="G47" s="117"/>
      <c r="H47" s="21">
        <v>10</v>
      </c>
      <c r="I47" s="350"/>
      <c r="J47" s="340"/>
      <c r="K47" s="341"/>
      <c r="L47" s="341"/>
      <c r="M47" s="341"/>
      <c r="N47" s="342"/>
      <c r="P47" s="18">
        <f t="shared" si="0"/>
        <v>0</v>
      </c>
      <c r="Q47" s="338"/>
      <c r="R47" s="344"/>
      <c r="S47" s="474"/>
      <c r="T47" s="344"/>
      <c r="U47" s="475"/>
    </row>
    <row r="48" spans="2:21" ht="26.4" x14ac:dyDescent="0.25">
      <c r="B48" s="346"/>
      <c r="C48" s="480"/>
      <c r="D48" s="361"/>
      <c r="E48" s="134" t="str">
        <f>HLOOKUP(Deckblatt!$C$12,Language!$C$1:$D$730,59,FALSE)</f>
        <v xml:space="preserve">Aufbereitung von Schwarzwasser für Bewässerung
</v>
      </c>
      <c r="F48" s="348"/>
      <c r="G48" s="69"/>
      <c r="H48" s="18">
        <v>5</v>
      </c>
      <c r="I48" s="350"/>
      <c r="J48" s="340"/>
      <c r="K48" s="341"/>
      <c r="L48" s="341"/>
      <c r="M48" s="341"/>
      <c r="N48" s="342"/>
      <c r="P48" s="18">
        <f t="shared" si="0"/>
        <v>0</v>
      </c>
      <c r="Q48" s="338"/>
      <c r="R48" s="344"/>
      <c r="S48" s="474"/>
      <c r="T48" s="344"/>
      <c r="U48" s="475"/>
    </row>
    <row r="49" spans="2:21" ht="39.6" x14ac:dyDescent="0.25">
      <c r="B49" s="346"/>
      <c r="C49" s="480"/>
      <c r="D49" s="361"/>
      <c r="E49" s="134" t="str">
        <f>HLOOKUP(Deckblatt!$C$12,Language!$C$1:$D$730,60,FALSE)</f>
        <v xml:space="preserve">Aufbereitung von Schwarzwasser für Nutzungen die über Bewässerung hinaus gehen
</v>
      </c>
      <c r="F49" s="348"/>
      <c r="G49" s="69"/>
      <c r="H49" s="18">
        <v>5</v>
      </c>
      <c r="I49" s="350"/>
      <c r="J49" s="340"/>
      <c r="K49" s="341"/>
      <c r="L49" s="341"/>
      <c r="M49" s="341"/>
      <c r="N49" s="342"/>
      <c r="P49" s="18">
        <f t="shared" si="0"/>
        <v>0</v>
      </c>
      <c r="Q49" s="338"/>
      <c r="R49" s="344"/>
      <c r="S49" s="474"/>
      <c r="T49" s="344"/>
      <c r="U49" s="475"/>
    </row>
    <row r="50" spans="2:21" x14ac:dyDescent="0.25">
      <c r="B50" s="346"/>
      <c r="C50" s="369" t="s">
        <v>61</v>
      </c>
      <c r="D50" s="352" t="str">
        <f>HLOOKUP(Deckblatt!$C$12,Language!$C$1:$D$730,61,FALSE)</f>
        <v>Quartierswasserbilanz</v>
      </c>
      <c r="E50" s="353"/>
      <c r="F50" s="348"/>
      <c r="G50" s="117"/>
      <c r="H50" s="21">
        <v>30</v>
      </c>
      <c r="I50" s="350"/>
      <c r="J50" s="340"/>
      <c r="K50" s="341"/>
      <c r="L50" s="341"/>
      <c r="M50" s="341"/>
      <c r="N50" s="342"/>
      <c r="P50" s="18">
        <f t="shared" si="0"/>
        <v>0</v>
      </c>
      <c r="Q50" s="338"/>
      <c r="R50" s="344"/>
      <c r="S50" s="474"/>
      <c r="T50" s="344"/>
      <c r="U50" s="475"/>
    </row>
    <row r="51" spans="2:21" ht="39.6" x14ac:dyDescent="0.25">
      <c r="B51" s="346"/>
      <c r="C51" s="479"/>
      <c r="D51" s="71" t="s">
        <v>63</v>
      </c>
      <c r="E51" s="150" t="str">
        <f>HLOOKUP(Deckblatt!$C$12,Language!$C$1:$D$730,62,FALSE)</f>
        <v xml:space="preserve">Prozentuale Anteil des Niederschlags am Abfluss (A) im Verhältnis zur Referenzfläche
</v>
      </c>
      <c r="F51" s="348"/>
      <c r="G51" s="69"/>
      <c r="H51" s="18">
        <v>30</v>
      </c>
      <c r="I51" s="350"/>
      <c r="J51" s="340"/>
      <c r="K51" s="341"/>
      <c r="L51" s="341"/>
      <c r="M51" s="341"/>
      <c r="N51" s="342"/>
      <c r="P51" s="18">
        <f t="shared" si="0"/>
        <v>0</v>
      </c>
      <c r="Q51" s="338"/>
      <c r="R51" s="344"/>
      <c r="S51" s="474"/>
      <c r="T51" s="344"/>
      <c r="U51" s="475"/>
    </row>
    <row r="52" spans="2:21" x14ac:dyDescent="0.25">
      <c r="B52" s="346"/>
      <c r="C52" s="392" t="s">
        <v>64</v>
      </c>
      <c r="D52" s="352" t="str">
        <f>HLOOKUP(Deckblatt!$C$12,Language!$C$1:$D$730,63,FALSE)</f>
        <v>Rückhaltung bzw. Drosselung von Regenwasser</v>
      </c>
      <c r="E52" s="353"/>
      <c r="F52" s="348"/>
      <c r="G52" s="362"/>
      <c r="H52" s="21">
        <v>20</v>
      </c>
      <c r="I52" s="350"/>
      <c r="J52" s="340"/>
      <c r="K52" s="341"/>
      <c r="L52" s="341"/>
      <c r="M52" s="341"/>
      <c r="N52" s="342"/>
      <c r="P52" s="18">
        <f t="shared" si="0"/>
        <v>0</v>
      </c>
      <c r="Q52" s="338"/>
      <c r="R52" s="344"/>
      <c r="S52" s="474"/>
      <c r="T52" s="344"/>
      <c r="U52" s="475"/>
    </row>
    <row r="53" spans="2:21" x14ac:dyDescent="0.25">
      <c r="B53" s="346"/>
      <c r="C53" s="392"/>
      <c r="D53" s="361" t="s">
        <v>66</v>
      </c>
      <c r="E53" s="150" t="str">
        <f>HLOOKUP(Deckblatt!$C$12,Language!$C$1:$D$730,64,FALSE)</f>
        <v>Rückhaltung Regenwasser</v>
      </c>
      <c r="F53" s="348"/>
      <c r="G53" s="362"/>
      <c r="H53" s="21">
        <v>20</v>
      </c>
      <c r="I53" s="350"/>
      <c r="J53" s="340"/>
      <c r="K53" s="341"/>
      <c r="L53" s="341"/>
      <c r="M53" s="341"/>
      <c r="N53" s="342"/>
      <c r="P53" s="18">
        <f t="shared" si="0"/>
        <v>0</v>
      </c>
      <c r="Q53" s="338"/>
      <c r="R53" s="344"/>
      <c r="S53" s="474"/>
      <c r="T53" s="344"/>
      <c r="U53" s="475"/>
    </row>
    <row r="54" spans="2:21" ht="39.6" x14ac:dyDescent="0.25">
      <c r="B54" s="346"/>
      <c r="C54" s="392"/>
      <c r="D54" s="361"/>
      <c r="E54" s="134" t="str">
        <f>HLOOKUP(Deckblatt!$C$12,Language!$C$1:$D$730,65,FALSE)</f>
        <v xml:space="preserve">Regenwasserretention im Quartier. (und ggf. durch Maßnahmen außerhalb des Quartiers ergänzt)
</v>
      </c>
      <c r="F54" s="348"/>
      <c r="G54" s="69"/>
      <c r="H54" s="18">
        <v>20</v>
      </c>
      <c r="I54" s="350"/>
      <c r="J54" s="340"/>
      <c r="K54" s="341"/>
      <c r="L54" s="341"/>
      <c r="M54" s="341"/>
      <c r="N54" s="342"/>
      <c r="P54" s="18">
        <f t="shared" si="0"/>
        <v>0</v>
      </c>
      <c r="Q54" s="338"/>
      <c r="R54" s="344"/>
      <c r="S54" s="474"/>
      <c r="T54" s="344"/>
      <c r="U54" s="475"/>
    </row>
    <row r="55" spans="2:21" ht="26.4" x14ac:dyDescent="0.25">
      <c r="B55" s="346"/>
      <c r="C55" s="392"/>
      <c r="D55" s="361"/>
      <c r="E55" s="134" t="str">
        <f>HLOOKUP(Deckblatt!$C$12,Language!$C$1:$D$730,66,FALSE)</f>
        <v xml:space="preserve">Regenwasserretention ausschließlich außerhalb des Quartiers
</v>
      </c>
      <c r="F55" s="348"/>
      <c r="G55" s="69"/>
      <c r="H55" s="18">
        <v>10</v>
      </c>
      <c r="I55" s="350"/>
      <c r="J55" s="340"/>
      <c r="K55" s="341"/>
      <c r="L55" s="341"/>
      <c r="M55" s="341"/>
      <c r="N55" s="342"/>
      <c r="P55" s="18">
        <f>IF(P54&gt;0,0,IF(G55&gt;H55,H55,G55))</f>
        <v>0</v>
      </c>
      <c r="Q55" s="338"/>
      <c r="R55" s="344"/>
      <c r="S55" s="474"/>
      <c r="T55" s="344"/>
      <c r="U55" s="475"/>
    </row>
    <row r="56" spans="2:21" x14ac:dyDescent="0.25">
      <c r="B56" s="346"/>
      <c r="C56" s="392" t="s">
        <v>67</v>
      </c>
      <c r="D56" s="352" t="str">
        <f>HLOOKUP(Deckblatt!$C$12,Language!$C$1:$D$730,67,FALSE)</f>
        <v>Gestalterische Integration der Wasserinfrastruktur in das Freiraumkonzept</v>
      </c>
      <c r="E56" s="353"/>
      <c r="F56" s="348"/>
      <c r="G56" s="362"/>
      <c r="H56" s="21">
        <v>15</v>
      </c>
      <c r="I56" s="350"/>
      <c r="J56" s="340"/>
      <c r="K56" s="341"/>
      <c r="L56" s="341"/>
      <c r="M56" s="341"/>
      <c r="N56" s="342"/>
      <c r="P56" s="18">
        <f t="shared" si="0"/>
        <v>0</v>
      </c>
      <c r="Q56" s="338"/>
      <c r="R56" s="344"/>
      <c r="S56" s="474"/>
      <c r="T56" s="344"/>
      <c r="U56" s="475"/>
    </row>
    <row r="57" spans="2:21" x14ac:dyDescent="0.25">
      <c r="B57" s="346"/>
      <c r="C57" s="392"/>
      <c r="D57" s="361" t="s">
        <v>98</v>
      </c>
      <c r="E57" s="150" t="str">
        <f>HLOOKUP(Deckblatt!$C$12,Language!$C$1:$D$730,68,FALSE)</f>
        <v>Gestalterische Integration</v>
      </c>
      <c r="F57" s="348"/>
      <c r="G57" s="362"/>
      <c r="H57" s="21">
        <v>15</v>
      </c>
      <c r="I57" s="350"/>
      <c r="J57" s="340"/>
      <c r="K57" s="341"/>
      <c r="L57" s="341"/>
      <c r="M57" s="341"/>
      <c r="N57" s="342"/>
      <c r="P57" s="18">
        <f t="shared" si="0"/>
        <v>0</v>
      </c>
      <c r="Q57" s="338"/>
      <c r="R57" s="344"/>
      <c r="S57" s="474"/>
      <c r="T57" s="344"/>
      <c r="U57" s="475"/>
    </row>
    <row r="58" spans="2:21" ht="26.4" x14ac:dyDescent="0.25">
      <c r="B58" s="346"/>
      <c r="C58" s="392"/>
      <c r="D58" s="361"/>
      <c r="E58" s="134" t="str">
        <f>HLOOKUP(Deckblatt!$C$12,Language!$C$1:$D$730,69,FALSE)</f>
        <v xml:space="preserve">Die Regenwasserinfrastruktur ist gestalterisch in das Freiraumkonzept integriert. </v>
      </c>
      <c r="F58" s="348"/>
      <c r="G58" s="69"/>
      <c r="H58" s="18">
        <v>15</v>
      </c>
      <c r="I58" s="350"/>
      <c r="J58" s="340"/>
      <c r="K58" s="341"/>
      <c r="L58" s="341"/>
      <c r="M58" s="341"/>
      <c r="N58" s="342"/>
      <c r="P58" s="18">
        <f t="shared" si="0"/>
        <v>0</v>
      </c>
      <c r="Q58" s="338"/>
      <c r="R58" s="344"/>
      <c r="S58" s="474"/>
      <c r="T58" s="344"/>
      <c r="U58" s="475"/>
    </row>
    <row r="59" spans="2:21" x14ac:dyDescent="0.25">
      <c r="B59" s="55" t="s">
        <v>134</v>
      </c>
      <c r="C59" s="354" t="str">
        <f>HLOOKUP(Deckblatt!$C$12,Language!$C$1:$D$730,70,FALSE)</f>
        <v>Flächeninanspruchnahme</v>
      </c>
      <c r="D59" s="354"/>
      <c r="E59" s="355"/>
      <c r="F59" s="56">
        <f>Q59</f>
        <v>0</v>
      </c>
      <c r="G59" s="356"/>
      <c r="H59" s="21">
        <v>100</v>
      </c>
      <c r="I59" s="176">
        <v>5</v>
      </c>
      <c r="J59" s="340"/>
      <c r="K59" s="341"/>
      <c r="L59" s="341"/>
      <c r="M59" s="341"/>
      <c r="N59" s="342"/>
      <c r="P59" s="18">
        <f t="shared" si="0"/>
        <v>0</v>
      </c>
      <c r="Q59" s="337">
        <f>IF(SUM(P61,P63,IF(P66+P67&gt;15,15,P66+P67),P69)&gt;100,100,SUM(P61,P63,IF(P66+P67&gt;15,15,P66+P67),P69))</f>
        <v>0</v>
      </c>
      <c r="R59" s="343">
        <f>Q59/100</f>
        <v>0</v>
      </c>
      <c r="S59" s="474"/>
      <c r="T59" s="344"/>
      <c r="U59" s="475"/>
    </row>
    <row r="60" spans="2:21" x14ac:dyDescent="0.25">
      <c r="B60" s="375"/>
      <c r="C60" s="392" t="s">
        <v>54</v>
      </c>
      <c r="D60" s="352" t="str">
        <f>HLOOKUP(Deckblatt!$C$12,Language!$C$1:$D$730,71,FALSE)</f>
        <v>Brachflächenanteil</v>
      </c>
      <c r="E60" s="353"/>
      <c r="F60" s="363"/>
      <c r="G60" s="356"/>
      <c r="H60" s="21">
        <v>40</v>
      </c>
      <c r="I60" s="379"/>
      <c r="J60" s="340"/>
      <c r="K60" s="341"/>
      <c r="L60" s="341"/>
      <c r="M60" s="341"/>
      <c r="N60" s="342"/>
      <c r="P60" s="18">
        <f t="shared" si="0"/>
        <v>0</v>
      </c>
      <c r="Q60" s="338"/>
      <c r="R60" s="344"/>
      <c r="S60" s="474"/>
      <c r="T60" s="344"/>
      <c r="U60" s="475"/>
    </row>
    <row r="61" spans="2:21" ht="26.4" x14ac:dyDescent="0.25">
      <c r="B61" s="375"/>
      <c r="C61" s="392"/>
      <c r="D61" s="71" t="s">
        <v>58</v>
      </c>
      <c r="E61" s="150" t="str">
        <f>HLOOKUP(Deckblatt!$C$12,Language!$C$1:$D$730,72,FALSE)</f>
        <v xml:space="preserve">Brachflächenanteil in Prozent
</v>
      </c>
      <c r="F61" s="363"/>
      <c r="G61" s="69"/>
      <c r="H61" s="18">
        <v>40</v>
      </c>
      <c r="I61" s="379"/>
      <c r="J61" s="340"/>
      <c r="K61" s="341"/>
      <c r="L61" s="341"/>
      <c r="M61" s="341"/>
      <c r="N61" s="342"/>
      <c r="P61" s="18">
        <f t="shared" si="0"/>
        <v>0</v>
      </c>
      <c r="Q61" s="338"/>
      <c r="R61" s="344"/>
      <c r="S61" s="474"/>
      <c r="T61" s="344"/>
      <c r="U61" s="475"/>
    </row>
    <row r="62" spans="2:21" x14ac:dyDescent="0.25">
      <c r="B62" s="375"/>
      <c r="C62" s="392" t="s">
        <v>61</v>
      </c>
      <c r="D62" s="352" t="str">
        <f>HLOOKUP(Deckblatt!$C$12,Language!$C$1:$D$730,73,FALSE)</f>
        <v>Flächeneinbindung</v>
      </c>
      <c r="E62" s="353"/>
      <c r="F62" s="363"/>
      <c r="G62" s="113"/>
      <c r="H62" s="21">
        <v>20</v>
      </c>
      <c r="I62" s="379"/>
      <c r="J62" s="340"/>
      <c r="K62" s="341"/>
      <c r="L62" s="341"/>
      <c r="M62" s="341"/>
      <c r="N62" s="342"/>
      <c r="P62" s="18">
        <f t="shared" si="0"/>
        <v>0</v>
      </c>
      <c r="Q62" s="338"/>
      <c r="R62" s="344"/>
      <c r="S62" s="474"/>
      <c r="T62" s="344"/>
      <c r="U62" s="475"/>
    </row>
    <row r="63" spans="2:21" ht="26.4" x14ac:dyDescent="0.25">
      <c r="B63" s="375"/>
      <c r="C63" s="392"/>
      <c r="D63" s="71" t="s">
        <v>63</v>
      </c>
      <c r="E63" s="150" t="str">
        <f>HLOOKUP(Deckblatt!$C$12,Language!$C$1:$D$730,74,FALSE)</f>
        <v xml:space="preserve">Flächeneinbindung in Prozent
</v>
      </c>
      <c r="F63" s="363"/>
      <c r="G63" s="69"/>
      <c r="H63" s="18">
        <v>20</v>
      </c>
      <c r="I63" s="379"/>
      <c r="J63" s="340"/>
      <c r="K63" s="341"/>
      <c r="L63" s="341"/>
      <c r="M63" s="341"/>
      <c r="N63" s="342"/>
      <c r="P63" s="18">
        <f t="shared" si="0"/>
        <v>0</v>
      </c>
      <c r="Q63" s="338"/>
      <c r="R63" s="344"/>
      <c r="S63" s="474"/>
      <c r="T63" s="344"/>
      <c r="U63" s="475"/>
    </row>
    <row r="64" spans="2:21" x14ac:dyDescent="0.25">
      <c r="B64" s="375"/>
      <c r="C64" s="369" t="s">
        <v>64</v>
      </c>
      <c r="D64" s="352" t="str">
        <f>HLOOKUP(Deckblatt!$C$12,Language!$C$1:$D$730,75,FALSE)</f>
        <v>Flächenbelastung</v>
      </c>
      <c r="E64" s="353"/>
      <c r="F64" s="363"/>
      <c r="G64" s="113"/>
      <c r="H64" s="21">
        <v>15</v>
      </c>
      <c r="I64" s="379"/>
      <c r="J64" s="340"/>
      <c r="K64" s="341"/>
      <c r="L64" s="341"/>
      <c r="M64" s="341"/>
      <c r="N64" s="342"/>
      <c r="P64" s="18">
        <f t="shared" si="0"/>
        <v>0</v>
      </c>
      <c r="Q64" s="338"/>
      <c r="R64" s="344"/>
      <c r="S64" s="474"/>
      <c r="T64" s="344"/>
      <c r="U64" s="475"/>
    </row>
    <row r="65" spans="2:21" x14ac:dyDescent="0.25">
      <c r="B65" s="375"/>
      <c r="C65" s="480"/>
      <c r="D65" s="398" t="s">
        <v>66</v>
      </c>
      <c r="E65" s="150" t="str">
        <f>HLOOKUP(Deckblatt!$C$12,Language!$C$1:$D$730,76,FALSE)</f>
        <v>Flächenbelastung durch Altlasten</v>
      </c>
      <c r="F65" s="363"/>
      <c r="G65" s="113"/>
      <c r="H65" s="21">
        <v>15</v>
      </c>
      <c r="I65" s="379"/>
      <c r="J65" s="340"/>
      <c r="K65" s="341"/>
      <c r="L65" s="341"/>
      <c r="M65" s="341"/>
      <c r="N65" s="342"/>
      <c r="P65" s="18">
        <f t="shared" si="0"/>
        <v>0</v>
      </c>
      <c r="Q65" s="338"/>
      <c r="R65" s="344"/>
      <c r="S65" s="474"/>
      <c r="T65" s="344"/>
      <c r="U65" s="475"/>
    </row>
    <row r="66" spans="2:21" ht="171.6" x14ac:dyDescent="0.25">
      <c r="B66" s="375"/>
      <c r="C66" s="480"/>
      <c r="D66" s="414"/>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63"/>
      <c r="G66" s="69"/>
      <c r="H66" s="18">
        <v>15</v>
      </c>
      <c r="I66" s="379"/>
      <c r="J66" s="340"/>
      <c r="K66" s="341"/>
      <c r="L66" s="341"/>
      <c r="M66" s="341"/>
      <c r="N66" s="342"/>
      <c r="P66" s="18">
        <f t="shared" si="0"/>
        <v>0</v>
      </c>
      <c r="Q66" s="338"/>
      <c r="R66" s="344"/>
      <c r="S66" s="474"/>
      <c r="T66" s="344"/>
      <c r="U66" s="475"/>
    </row>
    <row r="67" spans="2:21" ht="79.2" x14ac:dyDescent="0.25">
      <c r="B67" s="375"/>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63"/>
      <c r="G67" s="69"/>
      <c r="H67" s="18">
        <v>10</v>
      </c>
      <c r="I67" s="379"/>
      <c r="J67" s="340"/>
      <c r="K67" s="341"/>
      <c r="L67" s="341"/>
      <c r="M67" s="341"/>
      <c r="N67" s="342"/>
      <c r="P67" s="18">
        <f>IF(P66&gt;5,0,IF(G67&gt;H67,H67,G67))</f>
        <v>0</v>
      </c>
      <c r="Q67" s="338"/>
      <c r="R67" s="344"/>
      <c r="S67" s="474"/>
      <c r="T67" s="344"/>
      <c r="U67" s="475"/>
    </row>
    <row r="68" spans="2:21" x14ac:dyDescent="0.25">
      <c r="B68" s="375"/>
      <c r="C68" s="392" t="s">
        <v>67</v>
      </c>
      <c r="D68" s="352" t="str">
        <f>HLOOKUP(Deckblatt!$C$12,Language!$C$1:$D$730,79,FALSE)</f>
        <v>Versiegelungsgrad</v>
      </c>
      <c r="E68" s="353"/>
      <c r="F68" s="363"/>
      <c r="G68" s="113"/>
      <c r="H68" s="21">
        <v>35</v>
      </c>
      <c r="I68" s="379"/>
      <c r="J68" s="340"/>
      <c r="K68" s="341"/>
      <c r="L68" s="341"/>
      <c r="M68" s="341"/>
      <c r="N68" s="342"/>
      <c r="P68" s="18">
        <f t="shared" si="0"/>
        <v>0</v>
      </c>
      <c r="Q68" s="338"/>
      <c r="R68" s="344"/>
      <c r="S68" s="474"/>
      <c r="T68" s="344"/>
      <c r="U68" s="475"/>
    </row>
    <row r="69" spans="2:21" ht="26.4" x14ac:dyDescent="0.25">
      <c r="B69" s="375"/>
      <c r="C69" s="392"/>
      <c r="D69" s="71" t="s">
        <v>69</v>
      </c>
      <c r="E69" s="150" t="str">
        <f>HLOOKUP(Deckblatt!$C$12,Language!$C$1:$D$730,80,FALSE)</f>
        <v xml:space="preserve">Versiegelungsgrad
</v>
      </c>
      <c r="F69" s="363"/>
      <c r="G69" s="69"/>
      <c r="H69" s="18">
        <v>35</v>
      </c>
      <c r="I69" s="379"/>
      <c r="J69" s="340"/>
      <c r="K69" s="341"/>
      <c r="L69" s="341"/>
      <c r="M69" s="341"/>
      <c r="N69" s="342"/>
      <c r="P69" s="18">
        <f t="shared" si="0"/>
        <v>0</v>
      </c>
      <c r="Q69" s="339"/>
      <c r="R69" s="365"/>
      <c r="S69" s="474"/>
      <c r="T69" s="344"/>
      <c r="U69" s="475"/>
    </row>
    <row r="70" spans="2:21" x14ac:dyDescent="0.25">
      <c r="B70" s="55" t="s">
        <v>143</v>
      </c>
      <c r="C70" s="354" t="str">
        <f>HLOOKUP(Deckblatt!$C$12,Language!$C$1:$D$730,81,FALSE)</f>
        <v>Biodiversität</v>
      </c>
      <c r="D70" s="354"/>
      <c r="E70" s="355"/>
      <c r="F70" s="56">
        <f>Q70</f>
        <v>0</v>
      </c>
      <c r="G70" s="364"/>
      <c r="H70" s="21">
        <v>110</v>
      </c>
      <c r="I70" s="176">
        <v>4</v>
      </c>
      <c r="J70" s="340"/>
      <c r="K70" s="341"/>
      <c r="L70" s="341"/>
      <c r="M70" s="341"/>
      <c r="N70" s="342"/>
      <c r="P70" s="18">
        <f t="shared" si="0"/>
        <v>0</v>
      </c>
      <c r="Q70" s="337">
        <f>SUM(P72,P74,P76:P77,P80:P81,P83,P85:P86)</f>
        <v>0</v>
      </c>
      <c r="R70" s="343">
        <f>Q70/100</f>
        <v>0</v>
      </c>
      <c r="S70" s="474"/>
      <c r="T70" s="344"/>
      <c r="U70" s="475"/>
    </row>
    <row r="71" spans="2:21" x14ac:dyDescent="0.25">
      <c r="B71" s="375"/>
      <c r="C71" s="351" t="s">
        <v>54</v>
      </c>
      <c r="D71" s="352" t="str">
        <f>HLOOKUP(Deckblatt!$C$12,Language!$C$1:$D$730,82,FALSE)</f>
        <v>Biodiversitätsstategie</v>
      </c>
      <c r="E71" s="353"/>
      <c r="F71" s="363"/>
      <c r="G71" s="364"/>
      <c r="H71" s="21">
        <v>10</v>
      </c>
      <c r="I71" s="379"/>
      <c r="J71" s="340"/>
      <c r="K71" s="341"/>
      <c r="L71" s="341"/>
      <c r="M71" s="341"/>
      <c r="N71" s="342"/>
      <c r="P71" s="18">
        <f t="shared" si="0"/>
        <v>0</v>
      </c>
      <c r="Q71" s="338"/>
      <c r="R71" s="344"/>
      <c r="S71" s="474"/>
      <c r="T71" s="344"/>
      <c r="U71" s="475"/>
    </row>
    <row r="72" spans="2:21" ht="26.4" x14ac:dyDescent="0.25">
      <c r="B72" s="375"/>
      <c r="C72" s="351"/>
      <c r="D72" s="71" t="s">
        <v>58</v>
      </c>
      <c r="E72" s="150" t="str">
        <f>HLOOKUP(Deckblatt!$C$12,Language!$C$1:$D$730,83,FALSE)</f>
        <v xml:space="preserve">Erstellung und Umsetzung einer Biodiversitätsstrategie
</v>
      </c>
      <c r="F72" s="363"/>
      <c r="G72" s="69"/>
      <c r="H72" s="18">
        <v>10</v>
      </c>
      <c r="I72" s="379"/>
      <c r="J72" s="340"/>
      <c r="K72" s="341"/>
      <c r="L72" s="341"/>
      <c r="M72" s="341"/>
      <c r="N72" s="342"/>
      <c r="P72" s="18">
        <f t="shared" si="0"/>
        <v>0</v>
      </c>
      <c r="Q72" s="338"/>
      <c r="R72" s="344"/>
      <c r="S72" s="474"/>
      <c r="T72" s="344"/>
      <c r="U72" s="475"/>
    </row>
    <row r="73" spans="2:21" x14ac:dyDescent="0.25">
      <c r="B73" s="375"/>
      <c r="C73" s="351" t="s">
        <v>61</v>
      </c>
      <c r="D73" s="352" t="str">
        <f>HLOOKUP(Deckblatt!$C$12,Language!$C$1:$D$730,84,FALSE)</f>
        <v>Gezielte Maßnahmen zur aktiven Ansiedlung neuer und heimischer Tierarten</v>
      </c>
      <c r="E73" s="353"/>
      <c r="F73" s="363"/>
      <c r="G73" s="113"/>
      <c r="H73" s="21">
        <v>20</v>
      </c>
      <c r="I73" s="379"/>
      <c r="J73" s="340"/>
      <c r="K73" s="341"/>
      <c r="L73" s="341"/>
      <c r="M73" s="341"/>
      <c r="N73" s="342"/>
      <c r="P73" s="18">
        <f t="shared" si="0"/>
        <v>0</v>
      </c>
      <c r="Q73" s="338"/>
      <c r="R73" s="344"/>
      <c r="S73" s="474"/>
      <c r="T73" s="344"/>
      <c r="U73" s="475"/>
    </row>
    <row r="74" spans="2:21" ht="26.4" x14ac:dyDescent="0.25">
      <c r="B74" s="375"/>
      <c r="C74" s="351"/>
      <c r="D74" s="71" t="s">
        <v>63</v>
      </c>
      <c r="E74" s="150" t="str">
        <f>HLOOKUP(Deckblatt!$C$12,Language!$C$1:$D$730,85,FALSE)</f>
        <v xml:space="preserve">Aktive Ansiedlung neuer heimischer Arten
</v>
      </c>
      <c r="F74" s="363"/>
      <c r="G74" s="69"/>
      <c r="H74" s="18">
        <v>20</v>
      </c>
      <c r="I74" s="379"/>
      <c r="J74" s="340"/>
      <c r="K74" s="341"/>
      <c r="L74" s="341"/>
      <c r="M74" s="341"/>
      <c r="N74" s="342"/>
      <c r="P74" s="18">
        <f t="shared" si="0"/>
        <v>0</v>
      </c>
      <c r="Q74" s="338"/>
      <c r="R74" s="344"/>
      <c r="S74" s="474"/>
      <c r="T74" s="344"/>
      <c r="U74" s="475"/>
    </row>
    <row r="75" spans="2:21" x14ac:dyDescent="0.25">
      <c r="B75" s="375"/>
      <c r="C75" s="351" t="s">
        <v>64</v>
      </c>
      <c r="D75" s="352" t="str">
        <f>HLOOKUP(Deckblatt!$C$12,Language!$C$1:$D$730,86,FALSE)</f>
        <v>Biotopflächenfaktor</v>
      </c>
      <c r="E75" s="353"/>
      <c r="F75" s="363"/>
      <c r="G75" s="113"/>
      <c r="H75" s="21">
        <v>40</v>
      </c>
      <c r="I75" s="379"/>
      <c r="J75" s="340"/>
      <c r="K75" s="341"/>
      <c r="L75" s="341"/>
      <c r="M75" s="341"/>
      <c r="N75" s="342"/>
      <c r="P75" s="18">
        <f t="shared" ref="P75:P135" si="1">IF(G75&gt;H75,H75,G75)</f>
        <v>0</v>
      </c>
      <c r="Q75" s="338"/>
      <c r="R75" s="344"/>
      <c r="S75" s="474"/>
      <c r="T75" s="344"/>
      <c r="U75" s="475"/>
    </row>
    <row r="76" spans="2:21" ht="26.4" x14ac:dyDescent="0.25">
      <c r="B76" s="375"/>
      <c r="C76" s="351"/>
      <c r="D76" s="71" t="s">
        <v>66</v>
      </c>
      <c r="E76" s="150" t="str">
        <f>HLOOKUP(Deckblatt!$C$12,Language!$C$1:$D$730,87,FALSE)</f>
        <v xml:space="preserve">Biotopflächenfaktor Gesamt
</v>
      </c>
      <c r="F76" s="363"/>
      <c r="G76" s="69"/>
      <c r="H76" s="18">
        <v>30</v>
      </c>
      <c r="I76" s="379"/>
      <c r="J76" s="340"/>
      <c r="K76" s="341"/>
      <c r="L76" s="341"/>
      <c r="M76" s="341"/>
      <c r="N76" s="342"/>
      <c r="P76" s="18">
        <f t="shared" si="1"/>
        <v>0</v>
      </c>
      <c r="Q76" s="338"/>
      <c r="R76" s="344"/>
      <c r="S76" s="474"/>
      <c r="T76" s="344"/>
      <c r="U76" s="475"/>
    </row>
    <row r="77" spans="2:21" ht="93" customHeight="1" x14ac:dyDescent="0.25">
      <c r="B77" s="375"/>
      <c r="C77" s="351"/>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63"/>
      <c r="G77" s="69"/>
      <c r="H77" s="18">
        <v>10</v>
      </c>
      <c r="I77" s="379"/>
      <c r="J77" s="340"/>
      <c r="K77" s="341"/>
      <c r="L77" s="341"/>
      <c r="M77" s="341"/>
      <c r="N77" s="342"/>
      <c r="P77" s="18">
        <f t="shared" si="1"/>
        <v>0</v>
      </c>
      <c r="Q77" s="338"/>
      <c r="R77" s="344"/>
      <c r="S77" s="474"/>
      <c r="T77" s="344"/>
      <c r="U77" s="475"/>
    </row>
    <row r="78" spans="2:21" x14ac:dyDescent="0.25">
      <c r="B78" s="375"/>
      <c r="C78" s="351" t="s">
        <v>67</v>
      </c>
      <c r="D78" s="352" t="str">
        <f>HLOOKUP(Deckblatt!$C$12,Language!$C$1:$D$730,89,FALSE)</f>
        <v>Vernetzung der Biotoptypen</v>
      </c>
      <c r="E78" s="353"/>
      <c r="F78" s="363"/>
      <c r="G78" s="356"/>
      <c r="H78" s="21">
        <v>20</v>
      </c>
      <c r="I78" s="379"/>
      <c r="J78" s="340"/>
      <c r="K78" s="341"/>
      <c r="L78" s="341"/>
      <c r="M78" s="341"/>
      <c r="N78" s="342"/>
      <c r="P78" s="18">
        <f t="shared" si="1"/>
        <v>0</v>
      </c>
      <c r="Q78" s="338"/>
      <c r="R78" s="344"/>
      <c r="S78" s="474"/>
      <c r="T78" s="344"/>
      <c r="U78" s="475"/>
    </row>
    <row r="79" spans="2:21" x14ac:dyDescent="0.25">
      <c r="B79" s="375"/>
      <c r="C79" s="351"/>
      <c r="D79" s="361" t="s">
        <v>69</v>
      </c>
      <c r="E79" s="150" t="str">
        <f>HLOOKUP(Deckblatt!$C$12,Language!$C$1:$D$730,90,FALSE)</f>
        <v>Vernetzung der Biotoptypen</v>
      </c>
      <c r="F79" s="363"/>
      <c r="G79" s="356"/>
      <c r="H79" s="21">
        <v>20</v>
      </c>
      <c r="I79" s="379"/>
      <c r="J79" s="340"/>
      <c r="K79" s="341"/>
      <c r="L79" s="341"/>
      <c r="M79" s="341"/>
      <c r="N79" s="342"/>
      <c r="P79" s="18">
        <f t="shared" si="1"/>
        <v>0</v>
      </c>
      <c r="Q79" s="338"/>
      <c r="R79" s="344"/>
      <c r="S79" s="474"/>
      <c r="T79" s="344"/>
      <c r="U79" s="475"/>
    </row>
    <row r="80" spans="2:21" ht="26.4" x14ac:dyDescent="0.25">
      <c r="B80" s="375"/>
      <c r="C80" s="351"/>
      <c r="D80" s="361"/>
      <c r="E80" s="134" t="str">
        <f>HLOOKUP(Deckblatt!$C$12,Language!$C$1:$D$730,91,FALSE)</f>
        <v xml:space="preserve">Vernetzung mit Umgebung
</v>
      </c>
      <c r="F80" s="363"/>
      <c r="G80" s="69"/>
      <c r="H80" s="18">
        <v>10</v>
      </c>
      <c r="I80" s="379"/>
      <c r="J80" s="340"/>
      <c r="K80" s="341"/>
      <c r="L80" s="341"/>
      <c r="M80" s="341"/>
      <c r="N80" s="342"/>
      <c r="P80" s="18">
        <f t="shared" si="1"/>
        <v>0</v>
      </c>
      <c r="Q80" s="338"/>
      <c r="R80" s="344"/>
      <c r="S80" s="474"/>
      <c r="T80" s="344"/>
      <c r="U80" s="475"/>
    </row>
    <row r="81" spans="2:21" ht="26.4" x14ac:dyDescent="0.25">
      <c r="B81" s="375"/>
      <c r="C81" s="351"/>
      <c r="D81" s="361"/>
      <c r="E81" s="134" t="str">
        <f>HLOOKUP(Deckblatt!$C$12,Language!$C$1:$D$730,92,FALSE)</f>
        <v xml:space="preserve">Interne Vernetzung
</v>
      </c>
      <c r="F81" s="363"/>
      <c r="G81" s="69"/>
      <c r="H81" s="18">
        <v>10</v>
      </c>
      <c r="I81" s="379"/>
      <c r="J81" s="340"/>
      <c r="K81" s="341"/>
      <c r="L81" s="341"/>
      <c r="M81" s="341"/>
      <c r="N81" s="342"/>
      <c r="P81" s="18">
        <f t="shared" si="1"/>
        <v>0</v>
      </c>
      <c r="Q81" s="338"/>
      <c r="R81" s="344"/>
      <c r="S81" s="474"/>
      <c r="T81" s="344"/>
      <c r="U81" s="475"/>
    </row>
    <row r="82" spans="2:21" x14ac:dyDescent="0.25">
      <c r="B82" s="375"/>
      <c r="C82" s="351" t="s">
        <v>154</v>
      </c>
      <c r="D82" s="352" t="str">
        <f>HLOOKUP(Deckblatt!$C$12,Language!$C$1:$D$730,93,FALSE)</f>
        <v>Vermeidung invasiver Pflanzenarten</v>
      </c>
      <c r="E82" s="353"/>
      <c r="F82" s="363"/>
      <c r="G82" s="113"/>
      <c r="H82" s="21">
        <v>10</v>
      </c>
      <c r="I82" s="379"/>
      <c r="J82" s="340"/>
      <c r="K82" s="341"/>
      <c r="L82" s="341"/>
      <c r="M82" s="341"/>
      <c r="N82" s="342"/>
      <c r="P82" s="18">
        <f t="shared" si="1"/>
        <v>0</v>
      </c>
      <c r="Q82" s="338"/>
      <c r="R82" s="344"/>
      <c r="S82" s="474"/>
      <c r="T82" s="344"/>
      <c r="U82" s="475"/>
    </row>
    <row r="83" spans="2:21" ht="26.4" x14ac:dyDescent="0.25">
      <c r="B83" s="375"/>
      <c r="C83" s="351"/>
      <c r="D83" s="71" t="s">
        <v>156</v>
      </c>
      <c r="E83" s="150" t="str">
        <f>HLOOKUP(Deckblatt!$C$12,Language!$C$1:$D$730,94,FALSE)</f>
        <v xml:space="preserve">Vermeidung invasiver Pflanzenarten
</v>
      </c>
      <c r="F83" s="363"/>
      <c r="G83" s="69"/>
      <c r="H83" s="18">
        <v>10</v>
      </c>
      <c r="I83" s="379"/>
      <c r="J83" s="340"/>
      <c r="K83" s="341"/>
      <c r="L83" s="341"/>
      <c r="M83" s="341"/>
      <c r="N83" s="342"/>
      <c r="P83" s="18">
        <f t="shared" si="1"/>
        <v>0</v>
      </c>
      <c r="Q83" s="338"/>
      <c r="R83" s="344"/>
      <c r="S83" s="474"/>
      <c r="T83" s="344"/>
      <c r="U83" s="475"/>
    </row>
    <row r="84" spans="2:21" x14ac:dyDescent="0.25">
      <c r="B84" s="375"/>
      <c r="C84" s="351" t="s">
        <v>157</v>
      </c>
      <c r="D84" s="352" t="str">
        <f>HLOOKUP(Deckblatt!$C$12,Language!$C$1:$D$730,95,FALSE)</f>
        <v>Entwicklungs- und Unterhaltungspflege</v>
      </c>
      <c r="E84" s="353"/>
      <c r="F84" s="363"/>
      <c r="G84" s="113"/>
      <c r="H84" s="21">
        <v>10</v>
      </c>
      <c r="I84" s="379"/>
      <c r="J84" s="340"/>
      <c r="K84" s="341"/>
      <c r="L84" s="341"/>
      <c r="M84" s="341"/>
      <c r="N84" s="342"/>
      <c r="P84" s="18">
        <f t="shared" si="1"/>
        <v>0</v>
      </c>
      <c r="Q84" s="338"/>
      <c r="R84" s="344"/>
      <c r="S84" s="474"/>
      <c r="T84" s="344"/>
      <c r="U84" s="475"/>
    </row>
    <row r="85" spans="2:21" ht="26.4" x14ac:dyDescent="0.25">
      <c r="B85" s="375"/>
      <c r="C85" s="351"/>
      <c r="D85" s="71" t="s">
        <v>159</v>
      </c>
      <c r="E85" s="150" t="str">
        <f>HLOOKUP(Deckblatt!$C$12,Language!$C$1:$D$730,96,FALSE)</f>
        <v xml:space="preserve">Entwicklungspflege-Vertrag
</v>
      </c>
      <c r="F85" s="363"/>
      <c r="G85" s="69"/>
      <c r="H85" s="18">
        <v>5</v>
      </c>
      <c r="I85" s="379"/>
      <c r="J85" s="340"/>
      <c r="K85" s="341"/>
      <c r="L85" s="341"/>
      <c r="M85" s="341"/>
      <c r="N85" s="342"/>
      <c r="P85" s="18">
        <f t="shared" si="1"/>
        <v>0</v>
      </c>
      <c r="Q85" s="338"/>
      <c r="R85" s="344"/>
      <c r="S85" s="474"/>
      <c r="T85" s="344"/>
      <c r="U85" s="475"/>
    </row>
    <row r="86" spans="2:21" ht="27" thickBot="1" x14ac:dyDescent="0.3">
      <c r="B86" s="377"/>
      <c r="C86" s="389"/>
      <c r="D86" s="121" t="s">
        <v>160</v>
      </c>
      <c r="E86" s="150" t="str">
        <f>HLOOKUP(Deckblatt!$C$12,Language!$C$1:$D$730,97,FALSE)</f>
        <v xml:space="preserve">Unterhaltungspflege-Vertrag
</v>
      </c>
      <c r="F86" s="378"/>
      <c r="G86" s="70"/>
      <c r="H86" s="59">
        <v>5</v>
      </c>
      <c r="I86" s="380"/>
      <c r="J86" s="340"/>
      <c r="K86" s="341"/>
      <c r="L86" s="341"/>
      <c r="M86" s="341"/>
      <c r="N86" s="342"/>
      <c r="P86" s="18">
        <f t="shared" si="1"/>
        <v>0</v>
      </c>
      <c r="Q86" s="339"/>
      <c r="R86" s="365"/>
      <c r="S86" s="474"/>
      <c r="T86" s="365"/>
      <c r="U86" s="475"/>
    </row>
    <row r="87" spans="2:21" x14ac:dyDescent="0.25">
      <c r="B87" s="49" t="s">
        <v>163</v>
      </c>
      <c r="C87" s="354" t="str">
        <f>HLOOKUP(Deckblatt!$C$12,Language!$C$1:$D$730,98,FALSE)</f>
        <v>Lebenszykluskosten</v>
      </c>
      <c r="D87" s="354"/>
      <c r="E87" s="355"/>
      <c r="F87" s="50">
        <f>Q87</f>
        <v>0</v>
      </c>
      <c r="G87" s="434"/>
      <c r="H87" s="136">
        <v>100</v>
      </c>
      <c r="I87" s="178">
        <v>3</v>
      </c>
      <c r="J87" s="340"/>
      <c r="K87" s="341"/>
      <c r="L87" s="341"/>
      <c r="M87" s="341"/>
      <c r="N87" s="342"/>
      <c r="P87" s="18">
        <f t="shared" si="1"/>
        <v>0</v>
      </c>
      <c r="Q87" s="337">
        <f>SUM(P90,P91,IF(P94+P95+P96&gt;10,10,P94+P95+P96),P98,P99)</f>
        <v>0</v>
      </c>
      <c r="R87" s="343">
        <f>Q87/100</f>
        <v>0</v>
      </c>
      <c r="S87" s="343">
        <v>0.2</v>
      </c>
      <c r="T87" s="343">
        <f>IF((R87*I87+R100*I100+R123*I123+R128*I128+R147*I147)/(I87+I100+I123+I128+I147)&gt;1,1,(R87*I87+R100*I100+R123*I123+R128*I128+R147*I147)/(I87+I100+I123+I128+I147))</f>
        <v>0</v>
      </c>
      <c r="U87" s="475"/>
    </row>
    <row r="88" spans="2:21" x14ac:dyDescent="0.25">
      <c r="B88" s="345"/>
      <c r="C88" s="351" t="s">
        <v>54</v>
      </c>
      <c r="D88" s="352" t="str">
        <f>HLOOKUP(Deckblatt!$C$12,Language!$C$1:$D$730,99,FALSE)</f>
        <v>Lebenszykluskostenrechnungen in der Planung</v>
      </c>
      <c r="E88" s="353"/>
      <c r="F88" s="347"/>
      <c r="G88" s="356"/>
      <c r="H88" s="21">
        <v>10</v>
      </c>
      <c r="I88" s="349"/>
      <c r="J88" s="340"/>
      <c r="K88" s="341"/>
      <c r="L88" s="341"/>
      <c r="M88" s="341"/>
      <c r="N88" s="342"/>
      <c r="P88" s="18">
        <f t="shared" si="1"/>
        <v>0</v>
      </c>
      <c r="Q88" s="338"/>
      <c r="R88" s="344"/>
      <c r="S88" s="344"/>
      <c r="T88" s="344"/>
      <c r="U88" s="475"/>
    </row>
    <row r="89" spans="2:21" ht="26.4" x14ac:dyDescent="0.25">
      <c r="B89" s="346"/>
      <c r="C89" s="351"/>
      <c r="D89" s="398" t="s">
        <v>58</v>
      </c>
      <c r="E89" s="150" t="str">
        <f>HLOOKUP(Deckblatt!$C$12,Language!$C$1:$D$730,100,FALSE)</f>
        <v>Integration von Lebenszykluskostenrechnungen in den Planungsprozess</v>
      </c>
      <c r="F89" s="348"/>
      <c r="G89" s="356"/>
      <c r="H89" s="21">
        <v>10</v>
      </c>
      <c r="I89" s="350"/>
      <c r="J89" s="340"/>
      <c r="K89" s="341"/>
      <c r="L89" s="341"/>
      <c r="M89" s="341"/>
      <c r="N89" s="342"/>
      <c r="P89" s="18">
        <f t="shared" si="1"/>
        <v>0</v>
      </c>
      <c r="Q89" s="338"/>
      <c r="R89" s="344"/>
      <c r="S89" s="344"/>
      <c r="T89" s="344"/>
      <c r="U89" s="475"/>
    </row>
    <row r="90" spans="2:21" ht="66.599999999999994" customHeight="1" x14ac:dyDescent="0.25">
      <c r="B90" s="346"/>
      <c r="C90" s="351"/>
      <c r="D90" s="414"/>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348"/>
      <c r="G90" s="69"/>
      <c r="H90" s="18">
        <v>5</v>
      </c>
      <c r="I90" s="350"/>
      <c r="J90" s="340"/>
      <c r="K90" s="341"/>
      <c r="L90" s="341"/>
      <c r="M90" s="341"/>
      <c r="N90" s="342"/>
      <c r="P90" s="18">
        <f t="shared" si="1"/>
        <v>0</v>
      </c>
      <c r="Q90" s="338"/>
      <c r="R90" s="344"/>
      <c r="S90" s="344"/>
      <c r="T90" s="344"/>
      <c r="U90" s="475"/>
    </row>
    <row r="91" spans="2:21" ht="66.599999999999994" customHeight="1" x14ac:dyDescent="0.25">
      <c r="B91" s="346"/>
      <c r="C91" s="351"/>
      <c r="D91" s="399"/>
      <c r="E91" s="134" t="str">
        <f>HLOOKUP(Deckblatt!$C$12,Language!$C$1:$D$730,102,FALSE)</f>
        <v xml:space="preserve">Maßnahmen mit Einfluss auf die Lebenszykluskosten werden planungsbegleitend regelmäßig (an den jeweiligen Planungsstand angepasst) ermittelt und im Planungsteam kommuniziert. </v>
      </c>
      <c r="F91" s="348"/>
      <c r="G91" s="69"/>
      <c r="H91" s="18">
        <v>5</v>
      </c>
      <c r="I91" s="350"/>
      <c r="J91" s="340"/>
      <c r="K91" s="341"/>
      <c r="L91" s="341"/>
      <c r="M91" s="341"/>
      <c r="N91" s="342"/>
      <c r="P91" s="18">
        <f t="shared" si="1"/>
        <v>0</v>
      </c>
      <c r="Q91" s="338"/>
      <c r="R91" s="344"/>
      <c r="S91" s="344"/>
      <c r="T91" s="344"/>
      <c r="U91" s="475"/>
    </row>
    <row r="92" spans="2:21" x14ac:dyDescent="0.25">
      <c r="B92" s="346"/>
      <c r="C92" s="351" t="s">
        <v>61</v>
      </c>
      <c r="D92" s="352" t="str">
        <f>HLOOKUP(Deckblatt!$C$12,Language!$C$1:$D$730,103,FALSE)</f>
        <v>Lebenszykluskostenoptimierung</v>
      </c>
      <c r="E92" s="353"/>
      <c r="F92" s="348"/>
      <c r="G92" s="356"/>
      <c r="H92" s="21">
        <v>10</v>
      </c>
      <c r="I92" s="350"/>
      <c r="J92" s="340"/>
      <c r="K92" s="341"/>
      <c r="L92" s="341"/>
      <c r="M92" s="341"/>
      <c r="N92" s="342"/>
      <c r="P92" s="18">
        <f t="shared" si="1"/>
        <v>0</v>
      </c>
      <c r="Q92" s="338"/>
      <c r="R92" s="344"/>
      <c r="S92" s="344"/>
      <c r="T92" s="344"/>
      <c r="U92" s="475"/>
    </row>
    <row r="93" spans="2:21" x14ac:dyDescent="0.25">
      <c r="B93" s="346"/>
      <c r="C93" s="351"/>
      <c r="D93" s="398" t="s">
        <v>63</v>
      </c>
      <c r="E93" s="150" t="str">
        <f>HLOOKUP(Deckblatt!$C$12,Language!$C$1:$D$730,104,FALSE)</f>
        <v>Planungsbegleitende Lebenszykluskostenoptimierung</v>
      </c>
      <c r="F93" s="348"/>
      <c r="G93" s="356"/>
      <c r="H93" s="21">
        <v>10</v>
      </c>
      <c r="I93" s="350"/>
      <c r="J93" s="340"/>
      <c r="K93" s="341"/>
      <c r="L93" s="341"/>
      <c r="M93" s="341"/>
      <c r="N93" s="342"/>
      <c r="P93" s="18">
        <f t="shared" si="1"/>
        <v>0</v>
      </c>
      <c r="Q93" s="338"/>
      <c r="R93" s="344"/>
      <c r="S93" s="344"/>
      <c r="T93" s="344"/>
      <c r="U93" s="475"/>
    </row>
    <row r="94" spans="2:21" ht="55.2" customHeight="1" x14ac:dyDescent="0.25">
      <c r="B94" s="346"/>
      <c r="C94" s="351"/>
      <c r="D94" s="399"/>
      <c r="E94" s="134" t="str">
        <f>HLOOKUP(Deckblatt!$C$12,Language!$C$1:$D$730,105,FALSE)</f>
        <v>- Umfassende Betrachtung  (10 Punkte)
ODER
- Teilbetrachtung (5 Punkte)</v>
      </c>
      <c r="F94" s="348"/>
      <c r="G94" s="69"/>
      <c r="H94" s="18">
        <v>10</v>
      </c>
      <c r="I94" s="350"/>
      <c r="J94" s="340"/>
      <c r="K94" s="341"/>
      <c r="L94" s="341"/>
      <c r="M94" s="341"/>
      <c r="N94" s="342"/>
      <c r="P94" s="18">
        <f t="shared" si="1"/>
        <v>0</v>
      </c>
      <c r="Q94" s="338"/>
      <c r="R94" s="344"/>
      <c r="S94" s="344"/>
      <c r="T94" s="344"/>
      <c r="U94" s="475"/>
    </row>
    <row r="95" spans="2:21" ht="120" customHeight="1" x14ac:dyDescent="0.25">
      <c r="B95" s="346"/>
      <c r="C95" s="351"/>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348"/>
      <c r="G95" s="69"/>
      <c r="H95" s="18">
        <v>10</v>
      </c>
      <c r="I95" s="350"/>
      <c r="J95" s="340"/>
      <c r="K95" s="341"/>
      <c r="L95" s="341"/>
      <c r="M95" s="341"/>
      <c r="N95" s="342"/>
      <c r="P95" s="18">
        <f t="shared" si="1"/>
        <v>0</v>
      </c>
      <c r="Q95" s="338"/>
      <c r="R95" s="344"/>
      <c r="S95" s="344"/>
      <c r="T95" s="344"/>
      <c r="U95" s="475"/>
    </row>
    <row r="96" spans="2:21" ht="105.6" customHeight="1" x14ac:dyDescent="0.25">
      <c r="B96" s="346"/>
      <c r="C96" s="351"/>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348"/>
      <c r="G96" s="69"/>
      <c r="H96" s="18">
        <v>10</v>
      </c>
      <c r="I96" s="350"/>
      <c r="J96" s="340"/>
      <c r="K96" s="341"/>
      <c r="L96" s="341"/>
      <c r="M96" s="341"/>
      <c r="N96" s="342"/>
      <c r="P96" s="18">
        <f t="shared" si="1"/>
        <v>0</v>
      </c>
      <c r="Q96" s="338"/>
      <c r="R96" s="344"/>
      <c r="S96" s="344"/>
      <c r="T96" s="344"/>
      <c r="U96" s="475"/>
    </row>
    <row r="97" spans="2:21" x14ac:dyDescent="0.25">
      <c r="B97" s="346"/>
      <c r="C97" s="351" t="s">
        <v>67</v>
      </c>
      <c r="D97" s="352" t="str">
        <f>HLOOKUP(Deckblatt!$C$12,Language!$C$1:$D$730,111,FALSE)</f>
        <v>Benchmarkberechnung</v>
      </c>
      <c r="E97" s="353"/>
      <c r="F97" s="348"/>
      <c r="G97" s="113"/>
      <c r="H97" s="21">
        <v>80</v>
      </c>
      <c r="I97" s="350"/>
      <c r="J97" s="340"/>
      <c r="K97" s="341"/>
      <c r="L97" s="341"/>
      <c r="M97" s="341"/>
      <c r="N97" s="342"/>
      <c r="P97" s="18">
        <f t="shared" si="1"/>
        <v>0</v>
      </c>
      <c r="Q97" s="338"/>
      <c r="R97" s="344"/>
      <c r="S97" s="344"/>
      <c r="T97" s="344"/>
      <c r="U97" s="475"/>
    </row>
    <row r="98" spans="2:21" ht="26.4" x14ac:dyDescent="0.25">
      <c r="B98" s="346"/>
      <c r="C98" s="351"/>
      <c r="D98" s="71" t="s">
        <v>69</v>
      </c>
      <c r="E98" s="150" t="str">
        <f>HLOOKUP(Deckblatt!$C$12,Language!$C$1:$D$730,112,FALSE)</f>
        <v xml:space="preserve">Öffentliche Flächen und Erschließung
</v>
      </c>
      <c r="F98" s="348"/>
      <c r="G98" s="69"/>
      <c r="H98" s="18">
        <v>48</v>
      </c>
      <c r="I98" s="350"/>
      <c r="J98" s="340"/>
      <c r="K98" s="341"/>
      <c r="L98" s="341"/>
      <c r="M98" s="341"/>
      <c r="N98" s="342"/>
      <c r="P98" s="18">
        <f t="shared" si="1"/>
        <v>0</v>
      </c>
      <c r="Q98" s="338"/>
      <c r="R98" s="344"/>
      <c r="S98" s="344"/>
      <c r="T98" s="344"/>
      <c r="U98" s="475"/>
    </row>
    <row r="99" spans="2:21" ht="26.4" x14ac:dyDescent="0.25">
      <c r="B99" s="346"/>
      <c r="C99" s="351"/>
      <c r="D99" s="71" t="s">
        <v>78</v>
      </c>
      <c r="E99" s="150" t="str">
        <f>HLOOKUP(Deckblatt!$C$12,Language!$C$1:$D$730,113,FALSE)</f>
        <v xml:space="preserve">Gebäude und private Freiflächen
</v>
      </c>
      <c r="F99" s="348"/>
      <c r="G99" s="69"/>
      <c r="H99" s="18">
        <v>32</v>
      </c>
      <c r="I99" s="350"/>
      <c r="J99" s="340"/>
      <c r="K99" s="341"/>
      <c r="L99" s="341"/>
      <c r="M99" s="341"/>
      <c r="N99" s="342"/>
      <c r="P99" s="18">
        <f t="shared" si="1"/>
        <v>0</v>
      </c>
      <c r="Q99" s="338"/>
      <c r="R99" s="344"/>
      <c r="S99" s="344"/>
      <c r="T99" s="344"/>
      <c r="U99" s="475"/>
    </row>
    <row r="100" spans="2:21" x14ac:dyDescent="0.25">
      <c r="B100" s="55" t="s">
        <v>178</v>
      </c>
      <c r="C100" s="354" t="str">
        <f>HLOOKUP(Deckblatt!$C$12,Language!$C$1:$D$730,114,FALSE)</f>
        <v>Resilienz und Wandlungsfähigkeit</v>
      </c>
      <c r="D100" s="354"/>
      <c r="E100" s="355"/>
      <c r="F100" s="56">
        <f>Q100</f>
        <v>0</v>
      </c>
      <c r="G100" s="364"/>
      <c r="H100" s="21">
        <v>110</v>
      </c>
      <c r="I100" s="176">
        <v>3</v>
      </c>
      <c r="J100" s="340"/>
      <c r="K100" s="341"/>
      <c r="L100" s="341"/>
      <c r="M100" s="341"/>
      <c r="N100" s="342"/>
      <c r="P100" s="18">
        <f t="shared" si="1"/>
        <v>0</v>
      </c>
      <c r="Q100" s="337">
        <f>SUM(P103:P106,P108:P109,P111:P114,P116,P119:P122)</f>
        <v>0</v>
      </c>
      <c r="R100" s="343">
        <f>Q100/100</f>
        <v>0</v>
      </c>
      <c r="S100" s="344"/>
      <c r="T100" s="344"/>
      <c r="U100" s="475"/>
    </row>
    <row r="101" spans="2:21" x14ac:dyDescent="0.25">
      <c r="B101" s="345"/>
      <c r="C101" s="351" t="s">
        <v>54</v>
      </c>
      <c r="D101" s="352" t="str">
        <f>HLOOKUP(Deckblatt!$C$12,Language!$C$1:$D$730,115,FALSE)</f>
        <v>Klima</v>
      </c>
      <c r="E101" s="353"/>
      <c r="F101" s="347"/>
      <c r="G101" s="364"/>
      <c r="H101" s="21">
        <v>25</v>
      </c>
      <c r="I101" s="349"/>
      <c r="J101" s="340"/>
      <c r="K101" s="341"/>
      <c r="L101" s="341"/>
      <c r="M101" s="341"/>
      <c r="N101" s="342"/>
      <c r="P101" s="18">
        <f t="shared" si="1"/>
        <v>0</v>
      </c>
      <c r="Q101" s="338"/>
      <c r="R101" s="344"/>
      <c r="S101" s="344"/>
      <c r="T101" s="344"/>
      <c r="U101" s="475"/>
    </row>
    <row r="102" spans="2:21" x14ac:dyDescent="0.25">
      <c r="B102" s="346"/>
      <c r="C102" s="351"/>
      <c r="D102" s="361" t="s">
        <v>58</v>
      </c>
      <c r="E102" s="150" t="str">
        <f>HLOOKUP(Deckblatt!$C$12,Language!$C$1:$D$730,116,FALSE)</f>
        <v>Klima</v>
      </c>
      <c r="F102" s="348"/>
      <c r="G102" s="364"/>
      <c r="H102" s="21">
        <v>19.5</v>
      </c>
      <c r="I102" s="350"/>
      <c r="J102" s="340"/>
      <c r="K102" s="341"/>
      <c r="L102" s="341"/>
      <c r="M102" s="341"/>
      <c r="N102" s="342"/>
      <c r="P102" s="18">
        <f t="shared" si="1"/>
        <v>0</v>
      </c>
      <c r="Q102" s="338"/>
      <c r="R102" s="344"/>
      <c r="S102" s="344"/>
      <c r="T102" s="344"/>
      <c r="U102" s="475"/>
    </row>
    <row r="103" spans="2:21" ht="26.4" x14ac:dyDescent="0.25">
      <c r="B103" s="346"/>
      <c r="C103" s="351"/>
      <c r="D103" s="361"/>
      <c r="E103" s="134" t="str">
        <f>HLOOKUP(Deckblatt!$C$12,Language!$C$1:$D$730,117,FALSE)</f>
        <v xml:space="preserve">Stadtklima (PUNKTE aus ENV1.5/100) * 6,5
</v>
      </c>
      <c r="F103" s="348"/>
      <c r="G103" s="69"/>
      <c r="H103" s="18">
        <v>6.5</v>
      </c>
      <c r="I103" s="350"/>
      <c r="J103" s="340"/>
      <c r="K103" s="341"/>
      <c r="L103" s="341"/>
      <c r="M103" s="341"/>
      <c r="N103" s="342"/>
      <c r="P103" s="18">
        <f t="shared" si="1"/>
        <v>0</v>
      </c>
      <c r="Q103" s="338"/>
      <c r="R103" s="344"/>
      <c r="S103" s="344"/>
      <c r="T103" s="344"/>
      <c r="U103" s="475"/>
    </row>
    <row r="104" spans="2:21" ht="26.4" x14ac:dyDescent="0.25">
      <c r="B104" s="346"/>
      <c r="C104" s="351"/>
      <c r="D104" s="361"/>
      <c r="E104" s="134" t="str">
        <f>HLOOKUP(Deckblatt!$C$12,Language!$C$1:$D$730,118,FALSE)</f>
        <v xml:space="preserve">Wasserkreislaufsysteme (PUNKTE aus ENV2.2/100) * 6,5
</v>
      </c>
      <c r="F104" s="348"/>
      <c r="G104" s="69"/>
      <c r="H104" s="18">
        <v>6.5</v>
      </c>
      <c r="I104" s="350"/>
      <c r="J104" s="340"/>
      <c r="K104" s="341"/>
      <c r="L104" s="341"/>
      <c r="M104" s="341"/>
      <c r="N104" s="342"/>
      <c r="P104" s="18">
        <f t="shared" si="1"/>
        <v>0</v>
      </c>
      <c r="Q104" s="338"/>
      <c r="R104" s="344"/>
      <c r="S104" s="344"/>
      <c r="T104" s="344"/>
      <c r="U104" s="475"/>
    </row>
    <row r="105" spans="2:21" ht="26.4" x14ac:dyDescent="0.25">
      <c r="B105" s="346"/>
      <c r="C105" s="351"/>
      <c r="D105" s="361"/>
      <c r="E105" s="134" t="str">
        <f>HLOOKUP(Deckblatt!$C$12,Language!$C$1:$D$730,119,FALSE)</f>
        <v xml:space="preserve">Umweltrisiken (PUNKTE aus ECO2.5/100) * 6,5
</v>
      </c>
      <c r="F105" s="348"/>
      <c r="G105" s="69"/>
      <c r="H105" s="18">
        <v>6.5</v>
      </c>
      <c r="I105" s="350"/>
      <c r="J105" s="340"/>
      <c r="K105" s="341"/>
      <c r="L105" s="341"/>
      <c r="M105" s="341"/>
      <c r="N105" s="342"/>
      <c r="P105" s="18">
        <f t="shared" si="1"/>
        <v>0</v>
      </c>
      <c r="Q105" s="338"/>
      <c r="R105" s="344"/>
      <c r="S105" s="344"/>
      <c r="T105" s="344"/>
      <c r="U105" s="475"/>
    </row>
    <row r="106" spans="2:21" ht="35.4" customHeight="1" x14ac:dyDescent="0.25">
      <c r="B106" s="346"/>
      <c r="C106" s="351"/>
      <c r="D106" s="71" t="s">
        <v>181</v>
      </c>
      <c r="E106" s="150" t="str">
        <f>HLOOKUP(Deckblatt!$C$12,Language!$C$1:$D$730,120,FALSE)</f>
        <v xml:space="preserve">Klimaanpassungsplan
Die Kommune hat einen Klimaanpassungsplan
</v>
      </c>
      <c r="F106" s="348"/>
      <c r="G106" s="69"/>
      <c r="H106" s="18">
        <v>5.5</v>
      </c>
      <c r="I106" s="350"/>
      <c r="J106" s="340"/>
      <c r="K106" s="341"/>
      <c r="L106" s="341"/>
      <c r="M106" s="341"/>
      <c r="N106" s="342"/>
      <c r="P106" s="18">
        <f t="shared" si="1"/>
        <v>0</v>
      </c>
      <c r="Q106" s="338"/>
      <c r="R106" s="344"/>
      <c r="S106" s="344"/>
      <c r="T106" s="344"/>
      <c r="U106" s="475"/>
    </row>
    <row r="107" spans="2:21" x14ac:dyDescent="0.25">
      <c r="B107" s="346"/>
      <c r="C107" s="351" t="s">
        <v>61</v>
      </c>
      <c r="D107" s="352" t="str">
        <f>HLOOKUP(Deckblatt!$C$12,Language!$C$1:$D$730,121,FALSE)</f>
        <v>Anpassungsfähigkeit</v>
      </c>
      <c r="E107" s="353"/>
      <c r="F107" s="348"/>
      <c r="G107" s="113"/>
      <c r="H107" s="21">
        <v>20</v>
      </c>
      <c r="I107" s="350"/>
      <c r="J107" s="340"/>
      <c r="K107" s="341"/>
      <c r="L107" s="341"/>
      <c r="M107" s="341"/>
      <c r="N107" s="342"/>
      <c r="P107" s="18">
        <f t="shared" si="1"/>
        <v>0</v>
      </c>
      <c r="Q107" s="338"/>
      <c r="R107" s="344"/>
      <c r="S107" s="344"/>
      <c r="T107" s="344"/>
      <c r="U107" s="475"/>
    </row>
    <row r="108" spans="2:21" ht="52.8" x14ac:dyDescent="0.25">
      <c r="B108" s="346"/>
      <c r="C108" s="351"/>
      <c r="D108" s="71" t="s">
        <v>63</v>
      </c>
      <c r="E108" s="150" t="str">
        <f>HLOOKUP(Deckblatt!$C$12,Language!$C$1:$D$730,122,FALSE)</f>
        <v xml:space="preserve">Trendforschung
Bei der Planung wurde ein Trendbarometer für die Region/Stadt berücksichtigt. 
</v>
      </c>
      <c r="F108" s="348"/>
      <c r="G108" s="69"/>
      <c r="H108" s="18">
        <v>10</v>
      </c>
      <c r="I108" s="350"/>
      <c r="J108" s="340"/>
      <c r="K108" s="341"/>
      <c r="L108" s="341"/>
      <c r="M108" s="341"/>
      <c r="N108" s="342"/>
      <c r="P108" s="18">
        <f t="shared" si="1"/>
        <v>0</v>
      </c>
      <c r="Q108" s="338"/>
      <c r="R108" s="344"/>
      <c r="S108" s="344"/>
      <c r="T108" s="344"/>
      <c r="U108" s="475"/>
    </row>
    <row r="109" spans="2:21" ht="49.95" customHeight="1" x14ac:dyDescent="0.25">
      <c r="B109" s="346"/>
      <c r="C109" s="351"/>
      <c r="D109" s="71" t="s">
        <v>186</v>
      </c>
      <c r="E109" s="150" t="str">
        <f>HLOOKUP(Deckblatt!$C$12,Language!$C$1:$D$730,123,FALSE)</f>
        <v xml:space="preserve">Innovationsmanagement
Bei der Planung des Quartiers wurde darauf geachtet, dass zukünftige technische und soziale Innovationen intergiert werden können. 
</v>
      </c>
      <c r="F109" s="348"/>
      <c r="G109" s="69"/>
      <c r="H109" s="18">
        <v>10</v>
      </c>
      <c r="I109" s="350"/>
      <c r="J109" s="340"/>
      <c r="K109" s="341"/>
      <c r="L109" s="341"/>
      <c r="M109" s="341"/>
      <c r="N109" s="342"/>
      <c r="P109" s="18">
        <f t="shared" si="1"/>
        <v>0</v>
      </c>
      <c r="Q109" s="338"/>
      <c r="R109" s="344"/>
      <c r="S109" s="344"/>
      <c r="T109" s="344"/>
      <c r="U109" s="475"/>
    </row>
    <row r="110" spans="2:21" x14ac:dyDescent="0.25">
      <c r="B110" s="346"/>
      <c r="C110" s="351" t="s">
        <v>64</v>
      </c>
      <c r="D110" s="352" t="str">
        <f>HLOOKUP(Deckblatt!$C$12,Language!$C$1:$D$730,124,FALSE)</f>
        <v>Versorgung und Erschließung</v>
      </c>
      <c r="E110" s="353"/>
      <c r="F110" s="348"/>
      <c r="G110" s="113"/>
      <c r="H110" s="21">
        <v>47</v>
      </c>
      <c r="I110" s="350"/>
      <c r="J110" s="340"/>
      <c r="K110" s="341"/>
      <c r="L110" s="341"/>
      <c r="M110" s="341"/>
      <c r="N110" s="342"/>
      <c r="P110" s="18">
        <f t="shared" si="1"/>
        <v>0</v>
      </c>
      <c r="Q110" s="338"/>
      <c r="R110" s="344"/>
      <c r="S110" s="344"/>
      <c r="T110" s="344"/>
      <c r="U110" s="475"/>
    </row>
    <row r="111" spans="2:21" ht="26.4" x14ac:dyDescent="0.25">
      <c r="B111" s="346"/>
      <c r="C111" s="351"/>
      <c r="D111" s="71" t="s">
        <v>66</v>
      </c>
      <c r="E111" s="150" t="str">
        <f>HLOOKUP(Deckblatt!$C$12,Language!$C$1:$D$730,125,FALSE)</f>
        <v xml:space="preserve">Versorgungssicherheit Trinkwasser
</v>
      </c>
      <c r="F111" s="348"/>
      <c r="G111" s="69"/>
      <c r="H111" s="18">
        <v>10</v>
      </c>
      <c r="I111" s="350"/>
      <c r="J111" s="340"/>
      <c r="K111" s="341"/>
      <c r="L111" s="341"/>
      <c r="M111" s="341"/>
      <c r="N111" s="342"/>
      <c r="P111" s="18">
        <f t="shared" si="1"/>
        <v>0</v>
      </c>
      <c r="Q111" s="338"/>
      <c r="R111" s="344"/>
      <c r="S111" s="344"/>
      <c r="T111" s="344"/>
      <c r="U111" s="475"/>
    </row>
    <row r="112" spans="2:21" ht="26.4" x14ac:dyDescent="0.25">
      <c r="B112" s="346"/>
      <c r="C112" s="351"/>
      <c r="D112" s="71" t="s">
        <v>188</v>
      </c>
      <c r="E112" s="150" t="str">
        <f>HLOOKUP(Deckblatt!$C$12,Language!$C$1:$D$730,126,FALSE)</f>
        <v xml:space="preserve">Versorgungssicherheit Abwasser
</v>
      </c>
      <c r="F112" s="348"/>
      <c r="G112" s="69"/>
      <c r="H112" s="18">
        <v>5</v>
      </c>
      <c r="I112" s="350"/>
      <c r="J112" s="340"/>
      <c r="K112" s="341"/>
      <c r="L112" s="341"/>
      <c r="M112" s="341"/>
      <c r="N112" s="342"/>
      <c r="P112" s="18">
        <f t="shared" si="1"/>
        <v>0</v>
      </c>
      <c r="Q112" s="338"/>
      <c r="R112" s="344"/>
      <c r="S112" s="344"/>
      <c r="T112" s="344"/>
      <c r="U112" s="475"/>
    </row>
    <row r="113" spans="2:21" ht="92.4" customHeight="1" x14ac:dyDescent="0.25">
      <c r="B113" s="346"/>
      <c r="C113" s="351"/>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348"/>
      <c r="G113" s="69"/>
      <c r="H113" s="18">
        <v>15</v>
      </c>
      <c r="I113" s="350"/>
      <c r="J113" s="340"/>
      <c r="K113" s="341"/>
      <c r="L113" s="341"/>
      <c r="M113" s="341"/>
      <c r="N113" s="342"/>
      <c r="P113" s="18">
        <f t="shared" si="1"/>
        <v>0</v>
      </c>
      <c r="Q113" s="338"/>
      <c r="R113" s="344"/>
      <c r="S113" s="344"/>
      <c r="T113" s="344"/>
      <c r="U113" s="475"/>
    </row>
    <row r="114" spans="2:21" ht="30.6" customHeight="1" x14ac:dyDescent="0.25">
      <c r="B114" s="346"/>
      <c r="C114" s="351"/>
      <c r="D114" s="71" t="s">
        <v>189</v>
      </c>
      <c r="E114" s="134" t="str">
        <f>HLOOKUP(Deckblatt!$C$12,Language!$C$1:$D$730,132,FALSE)</f>
        <v xml:space="preserve">Flexibilität und Ausbaureserven der  technischen Quartiersinfrastruktur / Gebäude
</v>
      </c>
      <c r="F114" s="348"/>
      <c r="G114" s="69"/>
      <c r="H114" s="18">
        <v>12</v>
      </c>
      <c r="I114" s="350"/>
      <c r="J114" s="340"/>
      <c r="K114" s="341"/>
      <c r="L114" s="341"/>
      <c r="M114" s="341"/>
      <c r="N114" s="342"/>
      <c r="P114" s="18">
        <f t="shared" si="1"/>
        <v>0</v>
      </c>
      <c r="Q114" s="338"/>
      <c r="R114" s="344"/>
      <c r="S114" s="344"/>
      <c r="T114" s="344"/>
      <c r="U114" s="475"/>
    </row>
    <row r="115" spans="2:21" x14ac:dyDescent="0.25">
      <c r="B115" s="346"/>
      <c r="C115" s="351"/>
      <c r="D115" s="361" t="s">
        <v>190</v>
      </c>
      <c r="E115" s="150" t="str">
        <f>HLOOKUP(Deckblatt!$C$12,Language!$C$1:$D$730,133,FALSE)</f>
        <v>Redundanz und Resilienz der Verkehrssysteme</v>
      </c>
      <c r="F115" s="348"/>
      <c r="G115" s="113"/>
      <c r="H115" s="21">
        <v>5</v>
      </c>
      <c r="I115" s="350"/>
      <c r="J115" s="340"/>
      <c r="K115" s="341"/>
      <c r="L115" s="341"/>
      <c r="M115" s="341"/>
      <c r="N115" s="342"/>
      <c r="P115" s="18">
        <f>IF(G115&gt;H115,H115,G115)</f>
        <v>0</v>
      </c>
      <c r="Q115" s="338"/>
      <c r="R115" s="344"/>
      <c r="S115" s="344"/>
      <c r="T115" s="344"/>
      <c r="U115" s="475"/>
    </row>
    <row r="116" spans="2:21" ht="45" customHeight="1" x14ac:dyDescent="0.25">
      <c r="B116" s="346"/>
      <c r="C116" s="351"/>
      <c r="D116" s="361"/>
      <c r="E116"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6" s="348"/>
      <c r="G116" s="69"/>
      <c r="H116" s="18">
        <v>5</v>
      </c>
      <c r="I116" s="350"/>
      <c r="J116" s="340"/>
      <c r="K116" s="341"/>
      <c r="L116" s="341"/>
      <c r="M116" s="341"/>
      <c r="N116" s="342"/>
      <c r="P116" s="18">
        <f>IF(G116&gt;H116,H116,G116)</f>
        <v>0</v>
      </c>
      <c r="Q116" s="338"/>
      <c r="R116" s="344"/>
      <c r="S116" s="344"/>
      <c r="T116" s="344"/>
      <c r="U116" s="475"/>
    </row>
    <row r="117" spans="2:21" x14ac:dyDescent="0.25">
      <c r="B117" s="346"/>
      <c r="C117" s="359" t="s">
        <v>67</v>
      </c>
      <c r="D117" s="352" t="str">
        <f>HLOOKUP(Deckblatt!$C$12,Language!$C$1:$D$730,135,FALSE)</f>
        <v>Städtebau und Architektur</v>
      </c>
      <c r="E117" s="353"/>
      <c r="F117" s="348"/>
      <c r="G117" s="356"/>
      <c r="H117" s="21">
        <v>8</v>
      </c>
      <c r="I117" s="350"/>
      <c r="J117" s="340"/>
      <c r="K117" s="341"/>
      <c r="L117" s="341"/>
      <c r="M117" s="341"/>
      <c r="N117" s="342"/>
      <c r="P117" s="18">
        <f t="shared" si="1"/>
        <v>0</v>
      </c>
      <c r="Q117" s="338"/>
      <c r="R117" s="344"/>
      <c r="S117" s="344"/>
      <c r="T117" s="344"/>
      <c r="U117" s="475"/>
    </row>
    <row r="118" spans="2:21" x14ac:dyDescent="0.25">
      <c r="B118" s="346"/>
      <c r="C118" s="390"/>
      <c r="D118" s="361" t="s">
        <v>69</v>
      </c>
      <c r="E118" s="150" t="str">
        <f>HLOOKUP(Deckblatt!$C$12,Language!$C$1:$D$730,136,FALSE)</f>
        <v>Städtebau</v>
      </c>
      <c r="F118" s="348"/>
      <c r="G118" s="356"/>
      <c r="H118" s="21">
        <v>8</v>
      </c>
      <c r="I118" s="350"/>
      <c r="J118" s="340"/>
      <c r="K118" s="341"/>
      <c r="L118" s="341"/>
      <c r="M118" s="341"/>
      <c r="N118" s="342"/>
      <c r="P118" s="18">
        <f t="shared" si="1"/>
        <v>0</v>
      </c>
      <c r="Q118" s="338"/>
      <c r="R118" s="344"/>
      <c r="S118" s="344"/>
      <c r="T118" s="344"/>
      <c r="U118" s="475"/>
    </row>
    <row r="119" spans="2:21" ht="79.2" x14ac:dyDescent="0.25">
      <c r="B119" s="346"/>
      <c r="C119" s="390"/>
      <c r="D119" s="361"/>
      <c r="E119"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19" s="348"/>
      <c r="G119" s="69"/>
      <c r="H119" s="18">
        <v>4</v>
      </c>
      <c r="I119" s="350"/>
      <c r="J119" s="340"/>
      <c r="K119" s="341"/>
      <c r="L119" s="341"/>
      <c r="M119" s="341"/>
      <c r="N119" s="342"/>
      <c r="P119" s="18">
        <f t="shared" si="1"/>
        <v>0</v>
      </c>
      <c r="Q119" s="338"/>
      <c r="R119" s="344"/>
      <c r="S119" s="344"/>
      <c r="T119" s="344"/>
      <c r="U119" s="475"/>
    </row>
    <row r="120" spans="2:21" ht="52.8" x14ac:dyDescent="0.25">
      <c r="B120" s="346"/>
      <c r="C120" s="390"/>
      <c r="D120" s="361"/>
      <c r="E120" s="134" t="str">
        <f>HLOOKUP(Deckblatt!$C$12,Language!$C$1:$D$730,138,FALSE)</f>
        <v xml:space="preserve">Die Planungen und Festsetzungen lassen unterschiedliche Bauweisen, Gebäudetypologien und/oder Trauf- und Geschosshöhen auf den Baufeldern zu.
</v>
      </c>
      <c r="F120" s="348"/>
      <c r="G120" s="69"/>
      <c r="H120" s="18">
        <v>2</v>
      </c>
      <c r="I120" s="350"/>
      <c r="J120" s="340"/>
      <c r="K120" s="341"/>
      <c r="L120" s="341"/>
      <c r="M120" s="341"/>
      <c r="N120" s="342"/>
      <c r="P120" s="18">
        <f t="shared" si="1"/>
        <v>0</v>
      </c>
      <c r="Q120" s="338"/>
      <c r="R120" s="344"/>
      <c r="S120" s="344"/>
      <c r="T120" s="344"/>
      <c r="U120" s="475"/>
    </row>
    <row r="121" spans="2:21" ht="39.6" x14ac:dyDescent="0.25">
      <c r="B121" s="346"/>
      <c r="C121" s="390"/>
      <c r="D121" s="361"/>
      <c r="E121" s="134" t="str">
        <f>HLOOKUP(Deckblatt!$C$12,Language!$C$1:$D$730,139,FALSE)</f>
        <v xml:space="preserve">Die Gestaltung des öffentlichen Raums lässt zukünftige Anpassungen der Straßenbreite zu.
</v>
      </c>
      <c r="F121" s="348"/>
      <c r="G121" s="69"/>
      <c r="H121" s="18">
        <v>2</v>
      </c>
      <c r="I121" s="350"/>
      <c r="J121" s="340"/>
      <c r="K121" s="341"/>
      <c r="L121" s="341"/>
      <c r="M121" s="341"/>
      <c r="N121" s="342"/>
      <c r="P121" s="18">
        <f t="shared" si="1"/>
        <v>0</v>
      </c>
      <c r="Q121" s="338"/>
      <c r="R121" s="344"/>
      <c r="S121" s="344"/>
      <c r="T121" s="344"/>
      <c r="U121" s="475"/>
    </row>
    <row r="122" spans="2:21" ht="100.2" customHeight="1" x14ac:dyDescent="0.25">
      <c r="B122" s="370"/>
      <c r="C122" s="360"/>
      <c r="D122" s="71" t="s">
        <v>78</v>
      </c>
      <c r="E122" s="68" t="str">
        <f>HLOOKUP(Deckblatt!$C$12,Language!$C$1:$D$730,140,FALSE)</f>
        <v xml:space="preserve">CIRCULAR ECONOMY BONUS – RÜCKBAUFREUNDLICHE BAUKONSTRUKTION
Es gibt quartiersübergreifende Rückbaukonzepte für Gebäude und / oder Infrastruktur
Gebäude: 5 Punkte
Infrastruktur: 5 Punkte
</v>
      </c>
      <c r="F122" s="371"/>
      <c r="G122" s="69"/>
      <c r="H122" s="18">
        <v>10</v>
      </c>
      <c r="I122" s="366"/>
      <c r="J122" s="340"/>
      <c r="K122" s="341"/>
      <c r="L122" s="341"/>
      <c r="M122" s="341"/>
      <c r="N122" s="342"/>
      <c r="P122" s="18">
        <f t="shared" si="1"/>
        <v>0</v>
      </c>
      <c r="Q122" s="339"/>
      <c r="R122" s="365"/>
      <c r="S122" s="344"/>
      <c r="T122" s="344"/>
      <c r="U122" s="475"/>
    </row>
    <row r="123" spans="2:21" x14ac:dyDescent="0.25">
      <c r="B123" s="55" t="s">
        <v>201</v>
      </c>
      <c r="C123" s="354" t="str">
        <f>HLOOKUP(Deckblatt!$C$12,Language!$C$1:$D$730,141,FALSE)</f>
        <v>Flächeneffizienz</v>
      </c>
      <c r="D123" s="354"/>
      <c r="E123" s="355"/>
      <c r="F123" s="56">
        <f>Q123</f>
        <v>0</v>
      </c>
      <c r="G123" s="364"/>
      <c r="H123" s="21">
        <v>100</v>
      </c>
      <c r="I123" s="176">
        <v>2</v>
      </c>
      <c r="J123" s="340"/>
      <c r="K123" s="341"/>
      <c r="L123" s="341"/>
      <c r="M123" s="341"/>
      <c r="N123" s="342"/>
      <c r="P123" s="18">
        <f t="shared" si="1"/>
        <v>0</v>
      </c>
      <c r="Q123" s="337">
        <f>P125+P127</f>
        <v>0</v>
      </c>
      <c r="R123" s="343">
        <f>Q123/100</f>
        <v>0</v>
      </c>
      <c r="S123" s="344"/>
      <c r="T123" s="344"/>
      <c r="U123" s="475"/>
    </row>
    <row r="124" spans="2:21" x14ac:dyDescent="0.25">
      <c r="B124" s="375"/>
      <c r="C124" s="351" t="s">
        <v>54</v>
      </c>
      <c r="D124" s="352" t="str">
        <f>HLOOKUP(Deckblatt!$C$12,Language!$C$1:$D$730,142,FALSE)</f>
        <v>Erschließungseffizienz des Quartiers</v>
      </c>
      <c r="E124" s="353"/>
      <c r="F124" s="363"/>
      <c r="G124" s="364"/>
      <c r="H124" s="21">
        <v>40</v>
      </c>
      <c r="I124" s="379"/>
      <c r="J124" s="340"/>
      <c r="K124" s="341"/>
      <c r="L124" s="341"/>
      <c r="M124" s="341"/>
      <c r="N124" s="342"/>
      <c r="P124" s="18">
        <f t="shared" si="1"/>
        <v>0</v>
      </c>
      <c r="Q124" s="338"/>
      <c r="R124" s="344"/>
      <c r="S124" s="344"/>
      <c r="T124" s="344"/>
      <c r="U124" s="475"/>
    </row>
    <row r="125" spans="2:21" x14ac:dyDescent="0.25">
      <c r="B125" s="375"/>
      <c r="C125" s="351"/>
      <c r="D125" s="71" t="s">
        <v>181</v>
      </c>
      <c r="E125" s="150" t="str">
        <f>HLOOKUP(Deckblatt!$C$12,Language!$C$1:$D$730,144,FALSE)</f>
        <v>Erschließungskoeffizient (ErK)</v>
      </c>
      <c r="F125" s="363"/>
      <c r="G125" s="69"/>
      <c r="H125" s="18">
        <v>40</v>
      </c>
      <c r="I125" s="379"/>
      <c r="J125" s="340"/>
      <c r="K125" s="341"/>
      <c r="L125" s="341"/>
      <c r="M125" s="341"/>
      <c r="N125" s="342"/>
      <c r="P125" s="18">
        <f t="shared" si="1"/>
        <v>0</v>
      </c>
      <c r="Q125" s="338"/>
      <c r="R125" s="344"/>
      <c r="S125" s="344"/>
      <c r="T125" s="344"/>
      <c r="U125" s="475"/>
    </row>
    <row r="126" spans="2:21" x14ac:dyDescent="0.25">
      <c r="B126" s="375"/>
      <c r="C126" s="351" t="s">
        <v>61</v>
      </c>
      <c r="D126" s="352" t="str">
        <f>HLOOKUP(Deckblatt!$C$12,Language!$C$1:$D$730,145,FALSE)</f>
        <v>Baudichte</v>
      </c>
      <c r="E126" s="353"/>
      <c r="F126" s="363"/>
      <c r="G126" s="113"/>
      <c r="H126" s="21">
        <v>60</v>
      </c>
      <c r="I126" s="379"/>
      <c r="J126" s="340"/>
      <c r="K126" s="341"/>
      <c r="L126" s="341"/>
      <c r="M126" s="341"/>
      <c r="N126" s="342"/>
      <c r="P126" s="18">
        <f t="shared" si="1"/>
        <v>0</v>
      </c>
      <c r="Q126" s="338"/>
      <c r="R126" s="344"/>
      <c r="S126" s="344"/>
      <c r="T126" s="344"/>
      <c r="U126" s="475"/>
    </row>
    <row r="127" spans="2:21" ht="26.4" x14ac:dyDescent="0.25">
      <c r="B127" s="375"/>
      <c r="C127" s="351"/>
      <c r="D127" s="71" t="s">
        <v>63</v>
      </c>
      <c r="E127" s="150" t="str">
        <f>HLOOKUP(Deckblatt!$C$12,Language!$C$1:$D$730,146,FALSE)</f>
        <v xml:space="preserve">Geschossflächenanzahl (GFZ)
</v>
      </c>
      <c r="F127" s="363"/>
      <c r="G127" s="69"/>
      <c r="H127" s="18">
        <v>60</v>
      </c>
      <c r="I127" s="379"/>
      <c r="J127" s="340"/>
      <c r="K127" s="341"/>
      <c r="L127" s="341"/>
      <c r="M127" s="341"/>
      <c r="N127" s="342"/>
      <c r="P127" s="18">
        <f t="shared" si="1"/>
        <v>0</v>
      </c>
      <c r="Q127" s="339"/>
      <c r="R127" s="365"/>
      <c r="S127" s="344"/>
      <c r="T127" s="344"/>
      <c r="U127" s="475"/>
    </row>
    <row r="128" spans="2:21" x14ac:dyDescent="0.25">
      <c r="B128" s="55" t="s">
        <v>207</v>
      </c>
      <c r="C128" s="354" t="str">
        <f>HLOOKUP(Deckblatt!$C$12,Language!$C$1:$D$730,147,FALSE)</f>
        <v>Wertstabilität</v>
      </c>
      <c r="D128" s="354"/>
      <c r="E128" s="355"/>
      <c r="F128" s="56">
        <f>Q128</f>
        <v>0</v>
      </c>
      <c r="G128" s="364"/>
      <c r="H128" s="137">
        <v>100</v>
      </c>
      <c r="I128" s="176">
        <v>2</v>
      </c>
      <c r="J128" s="340"/>
      <c r="K128" s="341"/>
      <c r="L128" s="341"/>
      <c r="M128" s="341"/>
      <c r="N128" s="342"/>
      <c r="P128" s="18">
        <f t="shared" si="1"/>
        <v>0</v>
      </c>
      <c r="Q128" s="337">
        <f>SUM(P130,P132,P134:P137,P139:P143,P145:P146)</f>
        <v>0</v>
      </c>
      <c r="R128" s="343">
        <f>Q128/100</f>
        <v>0</v>
      </c>
      <c r="S128" s="344"/>
      <c r="T128" s="344"/>
      <c r="U128" s="475"/>
    </row>
    <row r="129" spans="2:21" x14ac:dyDescent="0.25">
      <c r="B129" s="375"/>
      <c r="C129" s="351" t="s">
        <v>54</v>
      </c>
      <c r="D129" s="352" t="str">
        <f>HLOOKUP(Deckblatt!$C$12,Language!$C$1:$D$730,148,FALSE)</f>
        <v>Diversifikation</v>
      </c>
      <c r="E129" s="353"/>
      <c r="F129" s="363"/>
      <c r="G129" s="364"/>
      <c r="H129" s="21">
        <v>30</v>
      </c>
      <c r="I129" s="379"/>
      <c r="J129" s="340"/>
      <c r="K129" s="341"/>
      <c r="L129" s="341"/>
      <c r="M129" s="341"/>
      <c r="N129" s="342"/>
      <c r="P129" s="18">
        <f t="shared" si="1"/>
        <v>0</v>
      </c>
      <c r="Q129" s="338"/>
      <c r="R129" s="344"/>
      <c r="S129" s="344"/>
      <c r="T129" s="344"/>
      <c r="U129" s="475"/>
    </row>
    <row r="130" spans="2:21" ht="26.4" x14ac:dyDescent="0.25">
      <c r="B130" s="375"/>
      <c r="C130" s="351"/>
      <c r="D130" s="71" t="s">
        <v>58</v>
      </c>
      <c r="E130" s="150" t="str">
        <f>HLOOKUP(Deckblatt!$C$12,Language!$C$1:$D$730,149,FALSE)</f>
        <v xml:space="preserve">Diversifikationsgrad
</v>
      </c>
      <c r="F130" s="363"/>
      <c r="G130" s="69"/>
      <c r="H130" s="18">
        <v>30</v>
      </c>
      <c r="I130" s="379"/>
      <c r="J130" s="340"/>
      <c r="K130" s="341"/>
      <c r="L130" s="341"/>
      <c r="M130" s="341"/>
      <c r="N130" s="342"/>
      <c r="P130" s="18">
        <f t="shared" si="1"/>
        <v>0</v>
      </c>
      <c r="Q130" s="338"/>
      <c r="R130" s="344"/>
      <c r="S130" s="344"/>
      <c r="T130" s="344"/>
      <c r="U130" s="475"/>
    </row>
    <row r="131" spans="2:21" x14ac:dyDescent="0.25">
      <c r="B131" s="375"/>
      <c r="C131" s="351" t="s">
        <v>61</v>
      </c>
      <c r="D131" s="352" t="str">
        <f>HLOOKUP(Deckblatt!$C$12,Language!$C$1:$D$730,150,FALSE)</f>
        <v>Kaufkraftkennziffer</v>
      </c>
      <c r="E131" s="353"/>
      <c r="F131" s="363"/>
      <c r="G131" s="113"/>
      <c r="H131" s="21">
        <v>10</v>
      </c>
      <c r="I131" s="379"/>
      <c r="J131" s="340"/>
      <c r="K131" s="341"/>
      <c r="L131" s="341"/>
      <c r="M131" s="341"/>
      <c r="N131" s="342"/>
      <c r="P131" s="18">
        <f t="shared" si="1"/>
        <v>0</v>
      </c>
      <c r="Q131" s="338"/>
      <c r="R131" s="344"/>
      <c r="S131" s="344"/>
      <c r="T131" s="344"/>
      <c r="U131" s="475"/>
    </row>
    <row r="132" spans="2:21" ht="26.4" x14ac:dyDescent="0.25">
      <c r="B132" s="375"/>
      <c r="C132" s="351"/>
      <c r="D132" s="71" t="s">
        <v>63</v>
      </c>
      <c r="E132" s="150" t="str">
        <f>HLOOKUP(Deckblatt!$C$12,Language!$C$1:$D$730,151,FALSE)</f>
        <v xml:space="preserve">Kaufkraftkennziffer
</v>
      </c>
      <c r="F132" s="363"/>
      <c r="G132" s="69"/>
      <c r="H132" s="18">
        <v>10</v>
      </c>
      <c r="I132" s="379"/>
      <c r="J132" s="340"/>
      <c r="K132" s="341"/>
      <c r="L132" s="341"/>
      <c r="M132" s="341"/>
      <c r="N132" s="342"/>
      <c r="P132" s="18">
        <f t="shared" si="1"/>
        <v>0</v>
      </c>
      <c r="Q132" s="338"/>
      <c r="R132" s="344"/>
      <c r="S132" s="344"/>
      <c r="T132" s="344"/>
      <c r="U132" s="475"/>
    </row>
    <row r="133" spans="2:21" x14ac:dyDescent="0.25">
      <c r="B133" s="375"/>
      <c r="C133" s="351" t="s">
        <v>67</v>
      </c>
      <c r="D133" s="352" t="str">
        <f>HLOOKUP(Deckblatt!$C$12,Language!$C$1:$D$730,154,FALSE)</f>
        <v>Markt- und Standortnalyse</v>
      </c>
      <c r="E133" s="353"/>
      <c r="F133" s="363"/>
      <c r="G133" s="113"/>
      <c r="H133" s="21">
        <v>35</v>
      </c>
      <c r="I133" s="379"/>
      <c r="J133" s="340"/>
      <c r="K133" s="341"/>
      <c r="L133" s="341"/>
      <c r="M133" s="341"/>
      <c r="N133" s="342"/>
      <c r="P133" s="18">
        <f t="shared" si="1"/>
        <v>0</v>
      </c>
      <c r="Q133" s="338"/>
      <c r="R133" s="344"/>
      <c r="S133" s="344"/>
      <c r="T133" s="344"/>
      <c r="U133" s="475"/>
    </row>
    <row r="134" spans="2:21" ht="123.6" customHeight="1" x14ac:dyDescent="0.25">
      <c r="B134" s="375"/>
      <c r="C134" s="351"/>
      <c r="D134" s="71" t="s">
        <v>69</v>
      </c>
      <c r="E134"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4" s="363"/>
      <c r="G134" s="69"/>
      <c r="H134" s="18">
        <v>15</v>
      </c>
      <c r="I134" s="379"/>
      <c r="J134" s="340"/>
      <c r="K134" s="341"/>
      <c r="L134" s="341"/>
      <c r="M134" s="341"/>
      <c r="N134" s="342"/>
      <c r="P134" s="18">
        <f t="shared" si="1"/>
        <v>0</v>
      </c>
      <c r="Q134" s="338"/>
      <c r="R134" s="344"/>
      <c r="S134" s="344"/>
      <c r="T134" s="344"/>
      <c r="U134" s="475"/>
    </row>
    <row r="135" spans="2:21" ht="91.95" customHeight="1" x14ac:dyDescent="0.25">
      <c r="B135" s="375"/>
      <c r="C135" s="351"/>
      <c r="D135" s="71" t="s">
        <v>78</v>
      </c>
      <c r="E135" s="134" t="str">
        <f>HLOOKUP(Deckblatt!$C$12,Language!$C$1:$D$730,156,FALSE)</f>
        <v xml:space="preserve">Zielgruppenanalyse
- Demografische und soziale Merkmale
- Lebensstil und Freizeitverhalten
- Nachfrageverhalten
- Wirtschaftsbereiche
- Größenmerkmale (gewerbliche Ansiedler)
</v>
      </c>
      <c r="F135" s="363"/>
      <c r="G135" s="69"/>
      <c r="H135" s="18">
        <v>5</v>
      </c>
      <c r="I135" s="379"/>
      <c r="J135" s="340"/>
      <c r="K135" s="341"/>
      <c r="L135" s="341"/>
      <c r="M135" s="341"/>
      <c r="N135" s="342"/>
      <c r="P135" s="18">
        <f t="shared" si="1"/>
        <v>0</v>
      </c>
      <c r="Q135" s="338"/>
      <c r="R135" s="344"/>
      <c r="S135" s="344"/>
      <c r="T135" s="344"/>
      <c r="U135" s="475"/>
    </row>
    <row r="136" spans="2:21" ht="52.8" x14ac:dyDescent="0.25">
      <c r="B136" s="375"/>
      <c r="C136" s="351"/>
      <c r="D136" s="71" t="s">
        <v>214</v>
      </c>
      <c r="E136" s="134" t="str">
        <f>HLOOKUP(Deckblatt!$C$12,Language!$C$1:$D$730,157,FALSE)</f>
        <v xml:space="preserve">Konkurrenzanalyse
liegt vor, wenn in der Analyse auf konkurrierende Projekte eingegangen wird und Folgerungen daraus abgeleitet werden.
</v>
      </c>
      <c r="F136" s="363"/>
      <c r="G136" s="69"/>
      <c r="H136" s="18">
        <v>10</v>
      </c>
      <c r="I136" s="379"/>
      <c r="J136" s="340"/>
      <c r="K136" s="341"/>
      <c r="L136" s="341"/>
      <c r="M136" s="341"/>
      <c r="N136" s="342"/>
      <c r="P136" s="18">
        <f t="shared" ref="P136:P217" si="2">IF(G136&gt;H136,H136,G136)</f>
        <v>0</v>
      </c>
      <c r="Q136" s="338"/>
      <c r="R136" s="344"/>
      <c r="S136" s="344"/>
      <c r="T136" s="344"/>
      <c r="U136" s="475"/>
    </row>
    <row r="137" spans="2:21" ht="78.599999999999994" customHeight="1" x14ac:dyDescent="0.25">
      <c r="B137" s="375"/>
      <c r="C137" s="351"/>
      <c r="D137" s="71" t="s">
        <v>215</v>
      </c>
      <c r="E137"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37" s="363"/>
      <c r="G137" s="69"/>
      <c r="H137" s="18">
        <v>5</v>
      </c>
      <c r="I137" s="379"/>
      <c r="J137" s="340"/>
      <c r="K137" s="341"/>
      <c r="L137" s="341"/>
      <c r="M137" s="341"/>
      <c r="N137" s="342"/>
      <c r="P137" s="18">
        <f t="shared" si="2"/>
        <v>0</v>
      </c>
      <c r="Q137" s="338"/>
      <c r="R137" s="344"/>
      <c r="S137" s="344"/>
      <c r="T137" s="344"/>
      <c r="U137" s="475"/>
    </row>
    <row r="138" spans="2:21" x14ac:dyDescent="0.25">
      <c r="B138" s="375"/>
      <c r="C138" s="351" t="s">
        <v>154</v>
      </c>
      <c r="D138" s="352" t="str">
        <f>HLOOKUP(Deckblatt!$C$12,Language!$C$1:$D$730,159,FALSE)</f>
        <v>Vermarktung</v>
      </c>
      <c r="E138" s="353"/>
      <c r="F138" s="363"/>
      <c r="G138" s="113"/>
      <c r="H138" s="21">
        <v>10</v>
      </c>
      <c r="I138" s="379"/>
      <c r="J138" s="340"/>
      <c r="K138" s="341"/>
      <c r="L138" s="341"/>
      <c r="M138" s="341"/>
      <c r="N138" s="342"/>
      <c r="P138" s="18">
        <f t="shared" si="2"/>
        <v>0</v>
      </c>
      <c r="Q138" s="338"/>
      <c r="R138" s="344"/>
      <c r="S138" s="344"/>
      <c r="T138" s="344"/>
      <c r="U138" s="475"/>
    </row>
    <row r="139" spans="2:21" ht="71.400000000000006" customHeight="1" x14ac:dyDescent="0.25">
      <c r="B139" s="375"/>
      <c r="C139" s="351"/>
      <c r="D139" s="71" t="s">
        <v>156</v>
      </c>
      <c r="E139" s="134" t="str">
        <f>HLOOKUP(Deckblatt!$C$12,Language!$C$1:$D$730,160,FALSE)</f>
        <v xml:space="preserve">Medienarbeit/Broschüren
mit min. zwei verschiedenen Medien beworben wird. (Broschüren/Zeitungen/Internet/Fernsehen/Radio/Plakate usw.)  
(Artikel und Meldungen zum Projekt reichen nicht aus).
</v>
      </c>
      <c r="F139" s="363"/>
      <c r="G139" s="69"/>
      <c r="H139" s="18">
        <v>2</v>
      </c>
      <c r="I139" s="379"/>
      <c r="J139" s="340"/>
      <c r="K139" s="341"/>
      <c r="L139" s="341"/>
      <c r="M139" s="341"/>
      <c r="N139" s="342"/>
      <c r="P139" s="18">
        <f t="shared" si="2"/>
        <v>0</v>
      </c>
      <c r="Q139" s="338"/>
      <c r="R139" s="344"/>
      <c r="S139" s="344"/>
      <c r="T139" s="344"/>
      <c r="U139" s="475"/>
    </row>
    <row r="140" spans="2:21" ht="26.4" x14ac:dyDescent="0.25">
      <c r="B140" s="375"/>
      <c r="C140" s="351"/>
      <c r="D140" s="71" t="s">
        <v>218</v>
      </c>
      <c r="E140" s="150" t="str">
        <f>HLOOKUP(Deckblatt!$C$12,Language!$C$1:$D$730,161,FALSE)</f>
        <v xml:space="preserve">Öffentlichkeitsarbeit
</v>
      </c>
      <c r="F140" s="363"/>
      <c r="G140" s="69"/>
      <c r="H140" s="18">
        <v>2</v>
      </c>
      <c r="I140" s="379"/>
      <c r="J140" s="340"/>
      <c r="K140" s="341"/>
      <c r="L140" s="341"/>
      <c r="M140" s="341"/>
      <c r="N140" s="342"/>
      <c r="P140" s="18">
        <f t="shared" si="2"/>
        <v>0</v>
      </c>
      <c r="Q140" s="338"/>
      <c r="R140" s="344"/>
      <c r="S140" s="344"/>
      <c r="T140" s="344"/>
      <c r="U140" s="475"/>
    </row>
    <row r="141" spans="2:21" ht="26.4" x14ac:dyDescent="0.25">
      <c r="B141" s="375"/>
      <c r="C141" s="351"/>
      <c r="D141" s="71" t="s">
        <v>219</v>
      </c>
      <c r="E141" s="150" t="str">
        <f>HLOOKUP(Deckblatt!$C$12,Language!$C$1:$D$730,162,FALSE)</f>
        <v xml:space="preserve">Festivalisierung/Events
</v>
      </c>
      <c r="F141" s="363"/>
      <c r="G141" s="69"/>
      <c r="H141" s="18">
        <v>2</v>
      </c>
      <c r="I141" s="379"/>
      <c r="J141" s="340"/>
      <c r="K141" s="341"/>
      <c r="L141" s="341"/>
      <c r="M141" s="341"/>
      <c r="N141" s="342"/>
      <c r="P141" s="18">
        <f t="shared" si="2"/>
        <v>0</v>
      </c>
      <c r="Q141" s="338"/>
      <c r="R141" s="344"/>
      <c r="S141" s="344"/>
      <c r="T141" s="344"/>
      <c r="U141" s="475"/>
    </row>
    <row r="142" spans="2:21" ht="26.4" x14ac:dyDescent="0.25">
      <c r="B142" s="375"/>
      <c r="C142" s="351"/>
      <c r="D142" s="71" t="s">
        <v>220</v>
      </c>
      <c r="E142" s="150" t="str">
        <f>HLOOKUP(Deckblatt!$C$12,Language!$C$1:$D$730,163,FALSE)</f>
        <v xml:space="preserve">Vor-Ort-Information
</v>
      </c>
      <c r="F142" s="363"/>
      <c r="G142" s="69"/>
      <c r="H142" s="18">
        <v>2</v>
      </c>
      <c r="I142" s="379"/>
      <c r="J142" s="340"/>
      <c r="K142" s="341"/>
      <c r="L142" s="341"/>
      <c r="M142" s="341"/>
      <c r="N142" s="342"/>
      <c r="P142" s="18">
        <f t="shared" si="2"/>
        <v>0</v>
      </c>
      <c r="Q142" s="338"/>
      <c r="R142" s="344"/>
      <c r="S142" s="344"/>
      <c r="T142" s="344"/>
      <c r="U142" s="475"/>
    </row>
    <row r="143" spans="2:21" ht="26.4" x14ac:dyDescent="0.25">
      <c r="B143" s="375"/>
      <c r="C143" s="351"/>
      <c r="D143" s="71" t="s">
        <v>221</v>
      </c>
      <c r="E143" s="150" t="str">
        <f>HLOOKUP(Deckblatt!$C$12,Language!$C$1:$D$730,164,FALSE)</f>
        <v xml:space="preserve">Direkte Vermarktung
</v>
      </c>
      <c r="F143" s="363"/>
      <c r="G143" s="69"/>
      <c r="H143" s="18">
        <v>2</v>
      </c>
      <c r="I143" s="379"/>
      <c r="J143" s="340"/>
      <c r="K143" s="341"/>
      <c r="L143" s="341"/>
      <c r="M143" s="341"/>
      <c r="N143" s="342"/>
      <c r="P143" s="18">
        <f t="shared" si="2"/>
        <v>0</v>
      </c>
      <c r="Q143" s="338"/>
      <c r="R143" s="344"/>
      <c r="S143" s="344"/>
      <c r="T143" s="344"/>
      <c r="U143" s="475"/>
    </row>
    <row r="144" spans="2:21" x14ac:dyDescent="0.25">
      <c r="B144" s="375"/>
      <c r="C144" s="351" t="s">
        <v>157</v>
      </c>
      <c r="D144" s="352" t="str">
        <f>HLOOKUP(Deckblatt!$C$12,Language!$C$1:$D$730,165,FALSE)</f>
        <v>Auszeichnungen</v>
      </c>
      <c r="E144" s="353"/>
      <c r="F144" s="363"/>
      <c r="G144" s="113"/>
      <c r="H144" s="21">
        <v>15</v>
      </c>
      <c r="I144" s="379"/>
      <c r="J144" s="340"/>
      <c r="K144" s="341"/>
      <c r="L144" s="341"/>
      <c r="M144" s="341"/>
      <c r="N144" s="342"/>
      <c r="P144" s="18">
        <f t="shared" si="2"/>
        <v>0</v>
      </c>
      <c r="Q144" s="338"/>
      <c r="R144" s="344"/>
      <c r="S144" s="344"/>
      <c r="T144" s="344"/>
      <c r="U144" s="475"/>
    </row>
    <row r="145" spans="2:21" ht="38.4" customHeight="1" x14ac:dyDescent="0.25">
      <c r="B145" s="375"/>
      <c r="C145" s="351"/>
      <c r="D145" s="71" t="s">
        <v>159</v>
      </c>
      <c r="E145" s="134" t="str">
        <f>HLOOKUP(Deckblatt!$C$12,Language!$C$1:$D$730,166,FALSE)</f>
        <v xml:space="preserve">Immobilienauszeichnung
Immobilienauszeichnung mit offiziellem Charakter (keine Auszeichnungen durch den Entwickler selbst)
</v>
      </c>
      <c r="F145" s="363"/>
      <c r="G145" s="69"/>
      <c r="H145" s="18">
        <v>5</v>
      </c>
      <c r="I145" s="379"/>
      <c r="J145" s="340"/>
      <c r="K145" s="341"/>
      <c r="L145" s="341"/>
      <c r="M145" s="341"/>
      <c r="N145" s="342"/>
      <c r="P145" s="18">
        <f t="shared" si="2"/>
        <v>0</v>
      </c>
      <c r="Q145" s="338"/>
      <c r="R145" s="344"/>
      <c r="S145" s="344"/>
      <c r="T145" s="344"/>
      <c r="U145" s="475"/>
    </row>
    <row r="146" spans="2:21" ht="63.6" customHeight="1" x14ac:dyDescent="0.25">
      <c r="B146" s="375"/>
      <c r="C146" s="351"/>
      <c r="D146" s="71" t="s">
        <v>160</v>
      </c>
      <c r="E146" s="134" t="str">
        <f>HLOOKUP(Deckblatt!$C$12,Language!$C$1:$D$730,167,FALSE)</f>
        <v xml:space="preserve">Gebäudezertifikat
Ist erfüllt, wenn der Projektträger min. 20 % der Gebäude im Quartier nach
DGNB oder einem anderen unabhängigen Nachhaltigkeitssystem zertifiziert.
</v>
      </c>
      <c r="F146" s="363"/>
      <c r="G146" s="69"/>
      <c r="H146" s="18">
        <v>10</v>
      </c>
      <c r="I146" s="379"/>
      <c r="J146" s="340"/>
      <c r="K146" s="341"/>
      <c r="L146" s="341"/>
      <c r="M146" s="341"/>
      <c r="N146" s="342"/>
      <c r="P146" s="18">
        <f t="shared" si="2"/>
        <v>0</v>
      </c>
      <c r="Q146" s="339"/>
      <c r="R146" s="365"/>
      <c r="S146" s="344"/>
      <c r="T146" s="344"/>
      <c r="U146" s="475"/>
    </row>
    <row r="147" spans="2:21" x14ac:dyDescent="0.25">
      <c r="B147" s="152" t="s">
        <v>789</v>
      </c>
      <c r="C147" s="354" t="str">
        <f>HLOOKUP(Deckblatt!$C$12,Language!$C$1:$D$730,170,FALSE)</f>
        <v>Umweltrisiken</v>
      </c>
      <c r="D147" s="354"/>
      <c r="E147" s="355"/>
      <c r="F147" s="153">
        <f>Q147</f>
        <v>0</v>
      </c>
      <c r="G147" s="151"/>
      <c r="H147" s="65">
        <v>110</v>
      </c>
      <c r="I147" s="179">
        <v>2</v>
      </c>
      <c r="J147" s="340"/>
      <c r="K147" s="341"/>
      <c r="L147" s="341"/>
      <c r="M147" s="341"/>
      <c r="N147" s="342"/>
      <c r="P147" s="18">
        <f t="shared" si="2"/>
        <v>0</v>
      </c>
      <c r="Q147" s="337">
        <f>SUM(P148:P152)</f>
        <v>0</v>
      </c>
      <c r="R147" s="343">
        <f>Q147/100</f>
        <v>0</v>
      </c>
      <c r="S147" s="344"/>
      <c r="T147" s="344"/>
      <c r="U147" s="475"/>
    </row>
    <row r="148" spans="2:21" x14ac:dyDescent="0.25">
      <c r="B148" s="345"/>
      <c r="C148" s="143" t="s">
        <v>54</v>
      </c>
      <c r="D148" s="220" t="str">
        <f>IF(Deckblatt!$C$12=Language!$C$1,"Risiko 1",IF(Deckblatt!$C$12=Language!$D$1,"Risk 1"))</f>
        <v>Risiko 1</v>
      </c>
      <c r="E148" s="158"/>
      <c r="F148" s="347"/>
      <c r="G148" s="69"/>
      <c r="H148" s="21">
        <v>30</v>
      </c>
      <c r="I148" s="498"/>
      <c r="J148" s="340"/>
      <c r="K148" s="341"/>
      <c r="L148" s="341"/>
      <c r="M148" s="341"/>
      <c r="N148" s="342"/>
      <c r="P148" s="18">
        <f t="shared" si="2"/>
        <v>0</v>
      </c>
      <c r="Q148" s="338"/>
      <c r="R148" s="344"/>
      <c r="S148" s="344"/>
      <c r="T148" s="344"/>
      <c r="U148" s="475"/>
    </row>
    <row r="149" spans="2:21" x14ac:dyDescent="0.25">
      <c r="B149" s="346"/>
      <c r="C149" s="143" t="s">
        <v>61</v>
      </c>
      <c r="D149" s="220" t="str">
        <f>IF(Deckblatt!$C$12=Language!$C$1,"Risiko 2",IF(Deckblatt!$C$12=Language!$D$1,"Risk 2"))</f>
        <v>Risiko 2</v>
      </c>
      <c r="E149" s="158"/>
      <c r="F149" s="348"/>
      <c r="G149" s="69"/>
      <c r="H149" s="145">
        <v>30</v>
      </c>
      <c r="I149" s="499"/>
      <c r="J149" s="340"/>
      <c r="K149" s="341"/>
      <c r="L149" s="341"/>
      <c r="M149" s="341"/>
      <c r="N149" s="342"/>
      <c r="P149" s="18">
        <f t="shared" si="2"/>
        <v>0</v>
      </c>
      <c r="Q149" s="338"/>
      <c r="R149" s="344"/>
      <c r="S149" s="344"/>
      <c r="T149" s="344"/>
      <c r="U149" s="475"/>
    </row>
    <row r="150" spans="2:21" x14ac:dyDescent="0.25">
      <c r="B150" s="346"/>
      <c r="C150" s="143" t="s">
        <v>64</v>
      </c>
      <c r="D150" s="220" t="str">
        <f>IF(Deckblatt!$C$12=Language!$C$1,"Risiko 3",IF(Deckblatt!$C$12=Language!$D$1,"Risk 3"))</f>
        <v>Risiko 3</v>
      </c>
      <c r="E150" s="158"/>
      <c r="F150" s="348"/>
      <c r="G150" s="69"/>
      <c r="H150" s="21">
        <v>30</v>
      </c>
      <c r="I150" s="499"/>
      <c r="J150" s="340"/>
      <c r="K150" s="341"/>
      <c r="L150" s="341"/>
      <c r="M150" s="341"/>
      <c r="N150" s="342"/>
      <c r="P150" s="18">
        <f t="shared" si="2"/>
        <v>0</v>
      </c>
      <c r="Q150" s="338"/>
      <c r="R150" s="344"/>
      <c r="S150" s="344"/>
      <c r="T150" s="344"/>
      <c r="U150" s="475"/>
    </row>
    <row r="151" spans="2:21" x14ac:dyDescent="0.25">
      <c r="B151" s="346"/>
      <c r="C151" s="125" t="s">
        <v>107</v>
      </c>
      <c r="D151" s="155" t="s">
        <v>108</v>
      </c>
      <c r="E151" s="256"/>
      <c r="F151" s="348"/>
      <c r="G151" s="69"/>
      <c r="H151" s="65">
        <v>10</v>
      </c>
      <c r="I151" s="499"/>
      <c r="J151" s="340"/>
      <c r="K151" s="341"/>
      <c r="L151" s="341"/>
      <c r="M151" s="341"/>
      <c r="N151" s="342"/>
      <c r="P151" s="18">
        <f t="shared" si="2"/>
        <v>0</v>
      </c>
      <c r="Q151" s="338"/>
      <c r="R151" s="344"/>
      <c r="S151" s="344"/>
      <c r="T151" s="344"/>
      <c r="U151" s="475"/>
    </row>
    <row r="152" spans="2:21" ht="93.6" customHeight="1" x14ac:dyDescent="0.25">
      <c r="B152" s="370"/>
      <c r="C152" s="252" t="s">
        <v>1814</v>
      </c>
      <c r="D152" s="472"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2" s="473"/>
      <c r="F152" s="371"/>
      <c r="G152" s="69"/>
      <c r="H152" s="21">
        <v>10</v>
      </c>
      <c r="I152" s="500"/>
      <c r="J152" s="340"/>
      <c r="K152" s="341"/>
      <c r="L152" s="341"/>
      <c r="M152" s="341"/>
      <c r="N152" s="342"/>
      <c r="P152" s="18">
        <f t="shared" si="2"/>
        <v>0</v>
      </c>
      <c r="Q152" s="339"/>
      <c r="R152" s="365"/>
      <c r="S152" s="365"/>
      <c r="T152" s="365"/>
      <c r="U152" s="475"/>
    </row>
    <row r="153" spans="2:21" x14ac:dyDescent="0.25">
      <c r="B153" s="152" t="s">
        <v>628</v>
      </c>
      <c r="C153" s="483" t="str">
        <f>HLOOKUP(Deckblatt!$C$12,Language!$C$1:$D$730,183,FALSE)</f>
        <v>Mikroklima – Thermischer Komfort im Freiraum</v>
      </c>
      <c r="D153" s="483"/>
      <c r="E153" s="484"/>
      <c r="F153" s="154">
        <f>Q153</f>
        <v>0</v>
      </c>
      <c r="G153" s="497"/>
      <c r="H153" s="65">
        <v>100</v>
      </c>
      <c r="I153" s="179">
        <v>2</v>
      </c>
      <c r="J153" s="494"/>
      <c r="K153" s="495"/>
      <c r="L153" s="495"/>
      <c r="M153" s="495"/>
      <c r="N153" s="496"/>
      <c r="P153" s="18">
        <f t="shared" si="2"/>
        <v>0</v>
      </c>
      <c r="Q153" s="337">
        <f>SUM(P155:P159,P161,P163)</f>
        <v>0</v>
      </c>
      <c r="R153" s="343">
        <f>Q153/100</f>
        <v>0</v>
      </c>
      <c r="S153" s="343">
        <v>0.2</v>
      </c>
      <c r="T153" s="343">
        <f>IF((R153*I153+R164*I164+R190*I190+R214*I214+R264*I264+R287*I287+R301*I301)/(I153+I164+I190+I214+I264+I287+I301)&gt;1,1,(R153*I153+R164*I164+R190*I190+R214*I214+R264*I264+R287*I287+R301*I301)/(I153+I164+I190+I214+I264+I287+I301))</f>
        <v>0</v>
      </c>
      <c r="U153" s="475"/>
    </row>
    <row r="154" spans="2:21" x14ac:dyDescent="0.25">
      <c r="B154" s="345"/>
      <c r="C154" s="359" t="s">
        <v>54</v>
      </c>
      <c r="D154" s="352" t="str">
        <f>HLOOKUP(Deckblatt!$C$12,Language!$C$1:$D$730,184,FALSE)</f>
        <v>Basiskomfort</v>
      </c>
      <c r="E154" s="353"/>
      <c r="F154" s="345"/>
      <c r="G154" s="489"/>
      <c r="H154" s="21">
        <v>70</v>
      </c>
      <c r="I154" s="349"/>
      <c r="J154" s="340"/>
      <c r="K154" s="341"/>
      <c r="L154" s="341"/>
      <c r="M154" s="341"/>
      <c r="N154" s="342"/>
      <c r="P154" s="18">
        <f t="shared" si="2"/>
        <v>0</v>
      </c>
      <c r="Q154" s="338"/>
      <c r="R154" s="344"/>
      <c r="S154" s="344"/>
      <c r="T154" s="344"/>
      <c r="U154" s="475"/>
    </row>
    <row r="155" spans="2:21" ht="26.4" x14ac:dyDescent="0.25">
      <c r="B155" s="346"/>
      <c r="C155" s="390"/>
      <c r="D155" s="71" t="s">
        <v>58</v>
      </c>
      <c r="E155" s="150" t="str">
        <f>HLOOKUP(Deckblatt!$C$12,Language!$C$1:$D$730,185,FALSE)</f>
        <v xml:space="preserve">Analyse Mikroklima
</v>
      </c>
      <c r="F155" s="346"/>
      <c r="G155" s="69"/>
      <c r="H155" s="18">
        <v>10</v>
      </c>
      <c r="I155" s="350"/>
      <c r="J155" s="340"/>
      <c r="K155" s="341"/>
      <c r="L155" s="341"/>
      <c r="M155" s="341"/>
      <c r="N155" s="342"/>
      <c r="P155" s="18">
        <f t="shared" si="2"/>
        <v>0</v>
      </c>
      <c r="Q155" s="338"/>
      <c r="R155" s="344"/>
      <c r="S155" s="344"/>
      <c r="T155" s="344"/>
      <c r="U155" s="475"/>
    </row>
    <row r="156" spans="2:21" ht="67.2" customHeight="1" x14ac:dyDescent="0.25">
      <c r="B156" s="346"/>
      <c r="C156" s="390"/>
      <c r="D156" s="71" t="s">
        <v>181</v>
      </c>
      <c r="E156" s="134" t="str">
        <f>HLOOKUP(Deckblatt!$C$12,Language!$C$1:$D$730,186,FALSE)</f>
        <v xml:space="preserve">Sonneneinstrahlung am 21. Dezember in Stunden
- ≥ 1 h  (5 Punkte)
ODER
- ≥ 3 h  (10 Punkte)
</v>
      </c>
      <c r="F156" s="346"/>
      <c r="G156" s="69"/>
      <c r="H156" s="18">
        <v>10</v>
      </c>
      <c r="I156" s="350"/>
      <c r="J156" s="340"/>
      <c r="K156" s="341"/>
      <c r="L156" s="341"/>
      <c r="M156" s="341"/>
      <c r="N156" s="342"/>
      <c r="P156" s="18">
        <f t="shared" si="2"/>
        <v>0</v>
      </c>
      <c r="Q156" s="338"/>
      <c r="R156" s="344"/>
      <c r="S156" s="344"/>
      <c r="T156" s="344"/>
      <c r="U156" s="475"/>
    </row>
    <row r="157" spans="2:21" ht="114.6" customHeight="1" x14ac:dyDescent="0.25">
      <c r="B157" s="346"/>
      <c r="C157" s="390"/>
      <c r="D157" s="71" t="s">
        <v>246</v>
      </c>
      <c r="E157" s="134" t="str">
        <f>HLOOKUP(Deckblatt!$C$12,Language!$C$1:$D$730,187,FALSE)</f>
        <v xml:space="preserve">Verschattung der Untersuchungsbereiche in Prozent
≥ 10 % der Flächen haben einen sommerlichen Sonnenschutz  (5 Punkte)
ODER
≥ 30 % der Flächen haben einen sommerlichen Sonnenschutz  (10 Punkte)
</v>
      </c>
      <c r="F157" s="346"/>
      <c r="G157" s="69"/>
      <c r="H157" s="18">
        <v>10</v>
      </c>
      <c r="I157" s="350"/>
      <c r="J157" s="340"/>
      <c r="K157" s="341"/>
      <c r="L157" s="341"/>
      <c r="M157" s="341"/>
      <c r="N157" s="342"/>
      <c r="P157" s="18">
        <f t="shared" si="2"/>
        <v>0</v>
      </c>
      <c r="Q157" s="338"/>
      <c r="R157" s="344"/>
      <c r="S157" s="344"/>
      <c r="T157" s="344"/>
      <c r="U157" s="475"/>
    </row>
    <row r="158" spans="2:21" ht="77.400000000000006" customHeight="1" x14ac:dyDescent="0.25">
      <c r="B158" s="346"/>
      <c r="C158" s="390"/>
      <c r="D158" s="71" t="s">
        <v>250</v>
      </c>
      <c r="E158"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58" s="346"/>
      <c r="G158" s="69"/>
      <c r="H158" s="18">
        <v>10</v>
      </c>
      <c r="I158" s="350"/>
      <c r="J158" s="340"/>
      <c r="K158" s="341"/>
      <c r="L158" s="341"/>
      <c r="M158" s="341"/>
      <c r="N158" s="342"/>
      <c r="P158" s="18">
        <f t="shared" si="2"/>
        <v>0</v>
      </c>
      <c r="Q158" s="338"/>
      <c r="R158" s="344"/>
      <c r="S158" s="344"/>
      <c r="T158" s="344"/>
      <c r="U158" s="475"/>
    </row>
    <row r="159" spans="2:21" ht="52.8" x14ac:dyDescent="0.25">
      <c r="B159" s="346"/>
      <c r="C159" s="360"/>
      <c r="D159" s="71" t="s">
        <v>121</v>
      </c>
      <c r="E159" s="134" t="str">
        <f>HLOOKUP(Deckblatt!$C$12,Language!$C$1:$D$730,189,FALSE)</f>
        <v xml:space="preserve">Maßnahmen Verbesserung Mikroklima
Zwischen 33 und 100% der notwendigen Maßnahmen werden umgesetzt
</v>
      </c>
      <c r="F159" s="346"/>
      <c r="G159" s="69"/>
      <c r="H159" s="18">
        <v>30</v>
      </c>
      <c r="I159" s="350"/>
      <c r="J159" s="340"/>
      <c r="K159" s="341"/>
      <c r="L159" s="341"/>
      <c r="M159" s="341"/>
      <c r="N159" s="342"/>
      <c r="P159" s="18">
        <f t="shared" si="2"/>
        <v>0</v>
      </c>
      <c r="Q159" s="338"/>
      <c r="R159" s="344"/>
      <c r="S159" s="344"/>
      <c r="T159" s="344"/>
      <c r="U159" s="475"/>
    </row>
    <row r="160" spans="2:21" x14ac:dyDescent="0.25">
      <c r="B160" s="346"/>
      <c r="C160" s="359" t="s">
        <v>61</v>
      </c>
      <c r="D160" s="352" t="str">
        <f>HLOOKUP(Deckblatt!$C$12,Language!$C$1:$D$730,190,FALSE)</f>
        <v>Windkomfort</v>
      </c>
      <c r="E160" s="353"/>
      <c r="F160" s="346"/>
      <c r="G160" s="113"/>
      <c r="H160" s="21">
        <v>10</v>
      </c>
      <c r="I160" s="350"/>
      <c r="J160" s="340"/>
      <c r="K160" s="341"/>
      <c r="L160" s="341"/>
      <c r="M160" s="341"/>
      <c r="N160" s="342"/>
      <c r="P160" s="18">
        <f t="shared" si="2"/>
        <v>0</v>
      </c>
      <c r="Q160" s="338"/>
      <c r="R160" s="344"/>
      <c r="S160" s="344"/>
      <c r="T160" s="344"/>
      <c r="U160" s="475"/>
    </row>
    <row r="161" spans="2:21" ht="145.19999999999999" x14ac:dyDescent="0.25">
      <c r="B161" s="346"/>
      <c r="C161" s="360"/>
      <c r="D161" s="71" t="s">
        <v>63</v>
      </c>
      <c r="E161"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1" s="346"/>
      <c r="G161" s="69"/>
      <c r="H161" s="18">
        <v>10</v>
      </c>
      <c r="I161" s="350"/>
      <c r="J161" s="340"/>
      <c r="K161" s="341"/>
      <c r="L161" s="341"/>
      <c r="M161" s="341"/>
      <c r="N161" s="342"/>
      <c r="P161" s="18">
        <f t="shared" si="2"/>
        <v>0</v>
      </c>
      <c r="Q161" s="338"/>
      <c r="R161" s="344"/>
      <c r="S161" s="344"/>
      <c r="T161" s="344"/>
      <c r="U161" s="475"/>
    </row>
    <row r="162" spans="2:21" x14ac:dyDescent="0.25">
      <c r="B162" s="346"/>
      <c r="C162" s="359" t="s">
        <v>64</v>
      </c>
      <c r="D162" s="352" t="str">
        <f>HLOOKUP(Deckblatt!$C$12,Language!$C$1:$D$730,192,FALSE)</f>
        <v>Gefühlte Temperatur</v>
      </c>
      <c r="E162" s="353"/>
      <c r="F162" s="346"/>
      <c r="G162" s="113"/>
      <c r="H162" s="21">
        <v>20</v>
      </c>
      <c r="I162" s="350"/>
      <c r="J162" s="340"/>
      <c r="K162" s="341"/>
      <c r="L162" s="341"/>
      <c r="M162" s="341"/>
      <c r="N162" s="342"/>
      <c r="P162" s="18">
        <f t="shared" si="2"/>
        <v>0</v>
      </c>
      <c r="Q162" s="338"/>
      <c r="R162" s="344"/>
      <c r="S162" s="344"/>
      <c r="T162" s="344"/>
      <c r="U162" s="475"/>
    </row>
    <row r="163" spans="2:21" ht="145.19999999999999" x14ac:dyDescent="0.25">
      <c r="B163" s="370"/>
      <c r="C163" s="360"/>
      <c r="D163" s="71" t="s">
        <v>66</v>
      </c>
      <c r="E163"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3" s="370"/>
      <c r="G163" s="69"/>
      <c r="H163" s="18">
        <v>20</v>
      </c>
      <c r="I163" s="366"/>
      <c r="J163" s="340"/>
      <c r="K163" s="341"/>
      <c r="L163" s="341"/>
      <c r="M163" s="341"/>
      <c r="N163" s="342"/>
      <c r="P163" s="18">
        <f t="shared" si="2"/>
        <v>0</v>
      </c>
      <c r="Q163" s="339"/>
      <c r="R163" s="365"/>
      <c r="S163" s="344"/>
      <c r="T163" s="344"/>
      <c r="U163" s="475"/>
    </row>
    <row r="164" spans="2:21" x14ac:dyDescent="0.25">
      <c r="B164" s="63" t="s">
        <v>237</v>
      </c>
      <c r="C164" s="354" t="str">
        <f>HLOOKUP(Deckblatt!$C$12,Language!$C$1:$D$730,194,FALSE)</f>
        <v>Freiraum</v>
      </c>
      <c r="D164" s="354"/>
      <c r="E164" s="355"/>
      <c r="F164" s="64">
        <f>Q164</f>
        <v>0</v>
      </c>
      <c r="G164" s="374"/>
      <c r="H164" s="65">
        <v>100</v>
      </c>
      <c r="I164" s="180">
        <v>4</v>
      </c>
      <c r="J164" s="340"/>
      <c r="K164" s="341"/>
      <c r="L164" s="341"/>
      <c r="M164" s="341"/>
      <c r="N164" s="342"/>
      <c r="P164" s="18">
        <f t="shared" si="2"/>
        <v>0</v>
      </c>
      <c r="Q164" s="337">
        <f>SUM(P167:P168,P170:P171,P173:P174,P176:P177,P179:P185,P187,P189)</f>
        <v>0</v>
      </c>
      <c r="R164" s="343">
        <f>Q164/100</f>
        <v>0</v>
      </c>
      <c r="S164" s="344"/>
      <c r="T164" s="344"/>
      <c r="U164" s="475"/>
    </row>
    <row r="165" spans="2:21" x14ac:dyDescent="0.25">
      <c r="B165" s="345"/>
      <c r="C165" s="351" t="s">
        <v>54</v>
      </c>
      <c r="D165" s="352" t="str">
        <f>HLOOKUP(Deckblatt!$C$12,Language!$C$1:$D$730,195,FALSE)</f>
        <v>Einbindung in den landschaftlichen Kontext</v>
      </c>
      <c r="E165" s="353"/>
      <c r="F165" s="347"/>
      <c r="G165" s="364"/>
      <c r="H165" s="21">
        <v>20</v>
      </c>
      <c r="I165" s="349"/>
      <c r="J165" s="340"/>
      <c r="K165" s="341"/>
      <c r="L165" s="341"/>
      <c r="M165" s="341"/>
      <c r="N165" s="342"/>
      <c r="P165" s="18">
        <f t="shared" si="2"/>
        <v>0</v>
      </c>
      <c r="Q165" s="338"/>
      <c r="R165" s="344"/>
      <c r="S165" s="344"/>
      <c r="T165" s="344"/>
      <c r="U165" s="475"/>
    </row>
    <row r="166" spans="2:21" x14ac:dyDescent="0.25">
      <c r="B166" s="346"/>
      <c r="C166" s="351"/>
      <c r="D166" s="361" t="s">
        <v>58</v>
      </c>
      <c r="E166" s="150" t="str">
        <f>HLOOKUP(Deckblatt!$C$12,Language!$C$1:$D$730,196,FALSE)</f>
        <v>Berücksichtigung landschaftlicher Aspekte</v>
      </c>
      <c r="F166" s="348"/>
      <c r="G166" s="364"/>
      <c r="H166" s="21">
        <v>5</v>
      </c>
      <c r="I166" s="350"/>
      <c r="J166" s="340"/>
      <c r="K166" s="341"/>
      <c r="L166" s="341"/>
      <c r="M166" s="341"/>
      <c r="N166" s="342"/>
      <c r="P166" s="18">
        <f t="shared" si="2"/>
        <v>0</v>
      </c>
      <c r="Q166" s="338"/>
      <c r="R166" s="344"/>
      <c r="S166" s="344"/>
      <c r="T166" s="344"/>
      <c r="U166" s="475"/>
    </row>
    <row r="167" spans="2:21" ht="26.4" x14ac:dyDescent="0.25">
      <c r="B167" s="346"/>
      <c r="C167" s="351"/>
      <c r="D167" s="361"/>
      <c r="E167" s="134" t="str">
        <f>HLOOKUP(Deckblatt!$C$12,Language!$C$1:$D$730,197,FALSE)</f>
        <v xml:space="preserve">Es liegt eine Analyse/Bestandsuntersuchung vor.
</v>
      </c>
      <c r="F167" s="348"/>
      <c r="G167" s="69"/>
      <c r="H167" s="18">
        <v>3</v>
      </c>
      <c r="I167" s="350"/>
      <c r="J167" s="340"/>
      <c r="K167" s="341"/>
      <c r="L167" s="341"/>
      <c r="M167" s="341"/>
      <c r="N167" s="342"/>
      <c r="P167" s="18">
        <f t="shared" si="2"/>
        <v>0</v>
      </c>
      <c r="Q167" s="338"/>
      <c r="R167" s="344"/>
      <c r="S167" s="344"/>
      <c r="T167" s="344"/>
      <c r="U167" s="475"/>
    </row>
    <row r="168" spans="2:21" ht="52.8" x14ac:dyDescent="0.25">
      <c r="B168" s="346"/>
      <c r="C168" s="351"/>
      <c r="D168" s="361"/>
      <c r="E168" s="134" t="str">
        <f>HLOOKUP(Deckblatt!$C$12,Language!$C$1:$D$730,198,FALSE)</f>
        <v xml:space="preserve">Die Einbindung des Projekts in den landschaftlichen Kontext wird im Freiraumkonzept nachvollziehbar aus den Erkenntnissen der Analyse/Bestandsuntersuchung hergeleitet (Erläuterung).
</v>
      </c>
      <c r="F168" s="348"/>
      <c r="G168" s="69"/>
      <c r="H168" s="18">
        <v>2</v>
      </c>
      <c r="I168" s="350"/>
      <c r="J168" s="340"/>
      <c r="K168" s="341"/>
      <c r="L168" s="341"/>
      <c r="M168" s="341"/>
      <c r="N168" s="342"/>
      <c r="P168" s="18">
        <f t="shared" si="2"/>
        <v>0</v>
      </c>
      <c r="Q168" s="338"/>
      <c r="R168" s="344"/>
      <c r="S168" s="344"/>
      <c r="T168" s="344"/>
      <c r="U168" s="475"/>
    </row>
    <row r="169" spans="2:21" x14ac:dyDescent="0.25">
      <c r="B169" s="346"/>
      <c r="C169" s="351"/>
      <c r="D169" s="361" t="s">
        <v>88</v>
      </c>
      <c r="E169" s="150" t="str">
        <f>HLOOKUP(Deckblatt!$C$12,Language!$C$1:$D$730,199,FALSE)</f>
        <v>Einbindung in den städtebaulichen Kontext</v>
      </c>
      <c r="F169" s="348"/>
      <c r="G169" s="113"/>
      <c r="H169" s="21">
        <v>5</v>
      </c>
      <c r="I169" s="350"/>
      <c r="J169" s="340"/>
      <c r="K169" s="341"/>
      <c r="L169" s="341"/>
      <c r="M169" s="341"/>
      <c r="N169" s="342"/>
      <c r="P169" s="18">
        <f t="shared" si="2"/>
        <v>0</v>
      </c>
      <c r="Q169" s="338"/>
      <c r="R169" s="344"/>
      <c r="S169" s="344"/>
      <c r="T169" s="344"/>
      <c r="U169" s="475"/>
    </row>
    <row r="170" spans="2:21" ht="26.4" x14ac:dyDescent="0.25">
      <c r="B170" s="346"/>
      <c r="C170" s="351"/>
      <c r="D170" s="361"/>
      <c r="E170" s="134" t="str">
        <f>HLOOKUP(Deckblatt!$C$12,Language!$C$1:$D$730,200,FALSE)</f>
        <v xml:space="preserve">Es liegt eine Analyse/Bestandsuntersuchung vor.
</v>
      </c>
      <c r="F170" s="348"/>
      <c r="G170" s="69"/>
      <c r="H170" s="18">
        <v>3</v>
      </c>
      <c r="I170" s="350"/>
      <c r="J170" s="340"/>
      <c r="K170" s="341"/>
      <c r="L170" s="341"/>
      <c r="M170" s="341"/>
      <c r="N170" s="342"/>
      <c r="P170" s="18">
        <f t="shared" si="2"/>
        <v>0</v>
      </c>
      <c r="Q170" s="338"/>
      <c r="R170" s="344"/>
      <c r="S170" s="344"/>
      <c r="T170" s="344"/>
      <c r="U170" s="475"/>
    </row>
    <row r="171" spans="2:21" ht="52.8" x14ac:dyDescent="0.25">
      <c r="B171" s="346"/>
      <c r="C171" s="351"/>
      <c r="D171" s="361"/>
      <c r="E171" s="134" t="str">
        <f>HLOOKUP(Deckblatt!$C$12,Language!$C$1:$D$730,201,FALSE)</f>
        <v xml:space="preserve">Die Einbindung des Projekts in den städtebaulichen Kontext wird im Freiraumkonzept nachvollziehbar aus den Erkenntnissen der Analyse/Bestandsuntersuchung hergeleitet (Erläuterung).
</v>
      </c>
      <c r="F171" s="348"/>
      <c r="G171" s="69"/>
      <c r="H171" s="18">
        <v>2</v>
      </c>
      <c r="I171" s="350"/>
      <c r="J171" s="340"/>
      <c r="K171" s="341"/>
      <c r="L171" s="341"/>
      <c r="M171" s="341"/>
      <c r="N171" s="342"/>
      <c r="P171" s="18">
        <f t="shared" si="2"/>
        <v>0</v>
      </c>
      <c r="Q171" s="338"/>
      <c r="R171" s="344"/>
      <c r="S171" s="344"/>
      <c r="T171" s="344"/>
      <c r="U171" s="475"/>
    </row>
    <row r="172" spans="2:21" x14ac:dyDescent="0.25">
      <c r="B172" s="346"/>
      <c r="C172" s="351"/>
      <c r="D172" s="361" t="s">
        <v>246</v>
      </c>
      <c r="E172" s="150" t="str">
        <f>HLOOKUP(Deckblatt!$C$12,Language!$C$1:$D$730,202,FALSE)</f>
        <v>Einbindung in die übergeordnete Planung</v>
      </c>
      <c r="F172" s="348"/>
      <c r="G172" s="113"/>
      <c r="H172" s="21">
        <v>5</v>
      </c>
      <c r="I172" s="350"/>
      <c r="J172" s="340"/>
      <c r="K172" s="341"/>
      <c r="L172" s="341"/>
      <c r="M172" s="341"/>
      <c r="N172" s="342"/>
      <c r="P172" s="18">
        <f t="shared" si="2"/>
        <v>0</v>
      </c>
      <c r="Q172" s="338"/>
      <c r="R172" s="344"/>
      <c r="S172" s="344"/>
      <c r="T172" s="344"/>
      <c r="U172" s="475"/>
    </row>
    <row r="173" spans="2:21" ht="26.4" x14ac:dyDescent="0.25">
      <c r="B173" s="346"/>
      <c r="C173" s="351"/>
      <c r="D173" s="361"/>
      <c r="E173" s="134" t="str">
        <f>HLOOKUP(Deckblatt!$C$12,Language!$C$1:$D$730,203,FALSE)</f>
        <v xml:space="preserve">Es liegt eine Analyse/Bestandsuntersuchung vor.
</v>
      </c>
      <c r="F173" s="348"/>
      <c r="G173" s="69"/>
      <c r="H173" s="18">
        <v>3</v>
      </c>
      <c r="I173" s="350"/>
      <c r="J173" s="340"/>
      <c r="K173" s="341"/>
      <c r="L173" s="341"/>
      <c r="M173" s="341"/>
      <c r="N173" s="342"/>
      <c r="P173" s="18">
        <f t="shared" si="2"/>
        <v>0</v>
      </c>
      <c r="Q173" s="338"/>
      <c r="R173" s="344"/>
      <c r="S173" s="344"/>
      <c r="T173" s="344"/>
      <c r="U173" s="475"/>
    </row>
    <row r="174" spans="2:21" ht="52.8" x14ac:dyDescent="0.25">
      <c r="B174" s="346"/>
      <c r="C174" s="351"/>
      <c r="D174" s="361"/>
      <c r="E174" s="134" t="str">
        <f>HLOOKUP(Deckblatt!$C$12,Language!$C$1:$D$730,204,FALSE)</f>
        <v xml:space="preserve">Die Einbindung des Projekts in die übergeordnete Planung wird im Freiraumkonzept nachvollziehbar aus den Erkenntnissen der Analyse/Bestandsuntersuchung hergeleitet (Erläuterung). 
</v>
      </c>
      <c r="F174" s="348"/>
      <c r="G174" s="69"/>
      <c r="H174" s="18">
        <v>2</v>
      </c>
      <c r="I174" s="350"/>
      <c r="J174" s="340"/>
      <c r="K174" s="341"/>
      <c r="L174" s="341"/>
      <c r="M174" s="341"/>
      <c r="N174" s="342"/>
      <c r="P174" s="18">
        <f t="shared" si="2"/>
        <v>0</v>
      </c>
      <c r="Q174" s="338"/>
      <c r="R174" s="344"/>
      <c r="S174" s="344"/>
      <c r="T174" s="344"/>
      <c r="U174" s="475"/>
    </row>
    <row r="175" spans="2:21" ht="26.4" x14ac:dyDescent="0.25">
      <c r="B175" s="346"/>
      <c r="C175" s="351"/>
      <c r="D175" s="361" t="s">
        <v>250</v>
      </c>
      <c r="E175" s="150" t="str">
        <f>HLOOKUP(Deckblatt!$C$12,Language!$C$1:$D$730,205,FALSE)</f>
        <v>Einbindung bestehender und identitätsstiftender Landschafts- und Freiraumelemente</v>
      </c>
      <c r="F175" s="348"/>
      <c r="G175" s="113"/>
      <c r="H175" s="21">
        <v>5</v>
      </c>
      <c r="I175" s="350"/>
      <c r="J175" s="340"/>
      <c r="K175" s="341"/>
      <c r="L175" s="341"/>
      <c r="M175" s="341"/>
      <c r="N175" s="342"/>
      <c r="P175" s="18">
        <f t="shared" si="2"/>
        <v>0</v>
      </c>
      <c r="Q175" s="338"/>
      <c r="R175" s="344"/>
      <c r="S175" s="344"/>
      <c r="T175" s="344"/>
      <c r="U175" s="475"/>
    </row>
    <row r="176" spans="2:21" ht="26.4" x14ac:dyDescent="0.25">
      <c r="B176" s="346"/>
      <c r="C176" s="351"/>
      <c r="D176" s="361"/>
      <c r="E176" s="134" t="str">
        <f>HLOOKUP(Deckblatt!$C$12,Language!$C$1:$D$730,206,FALSE)</f>
        <v xml:space="preserve">Es liegt eine Analyse/Bestandsuntersuchung vor.
</v>
      </c>
      <c r="F176" s="348"/>
      <c r="G176" s="69"/>
      <c r="H176" s="18">
        <v>3</v>
      </c>
      <c r="I176" s="350"/>
      <c r="J176" s="340"/>
      <c r="K176" s="341"/>
      <c r="L176" s="341"/>
      <c r="M176" s="341"/>
      <c r="N176" s="342"/>
      <c r="P176" s="18">
        <f t="shared" si="2"/>
        <v>0</v>
      </c>
      <c r="Q176" s="338"/>
      <c r="R176" s="344"/>
      <c r="S176" s="344"/>
      <c r="T176" s="344"/>
      <c r="U176" s="475"/>
    </row>
    <row r="177" spans="2:21" ht="66" x14ac:dyDescent="0.25">
      <c r="B177" s="346"/>
      <c r="C177" s="351"/>
      <c r="D177" s="361"/>
      <c r="E177"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77" s="348"/>
      <c r="G177" s="69"/>
      <c r="H177" s="18">
        <v>2</v>
      </c>
      <c r="I177" s="350"/>
      <c r="J177" s="340"/>
      <c r="K177" s="341"/>
      <c r="L177" s="341"/>
      <c r="M177" s="341"/>
      <c r="N177" s="342"/>
      <c r="P177" s="18">
        <f t="shared" si="2"/>
        <v>0</v>
      </c>
      <c r="Q177" s="338"/>
      <c r="R177" s="344"/>
      <c r="S177" s="344"/>
      <c r="T177" s="344"/>
      <c r="U177" s="475"/>
    </row>
    <row r="178" spans="2:21" x14ac:dyDescent="0.25">
      <c r="B178" s="346"/>
      <c r="C178" s="359" t="s">
        <v>61</v>
      </c>
      <c r="D178" s="352" t="str">
        <f>HLOOKUP(Deckblatt!$C$12,Language!$C$1:$D$730,208,FALSE)</f>
        <v>Qualifizierung der Freiräume</v>
      </c>
      <c r="E178" s="353"/>
      <c r="F178" s="348"/>
      <c r="G178" s="113"/>
      <c r="H178" s="21">
        <v>55</v>
      </c>
      <c r="I178" s="350"/>
      <c r="J178" s="340"/>
      <c r="K178" s="341"/>
      <c r="L178" s="341"/>
      <c r="M178" s="341"/>
      <c r="N178" s="342"/>
      <c r="P178" s="18">
        <f t="shared" si="2"/>
        <v>0</v>
      </c>
      <c r="Q178" s="338"/>
      <c r="R178" s="344"/>
      <c r="S178" s="344"/>
      <c r="T178" s="344"/>
      <c r="U178" s="475"/>
    </row>
    <row r="179" spans="2:21" ht="26.4" x14ac:dyDescent="0.25">
      <c r="B179" s="346"/>
      <c r="C179" s="390"/>
      <c r="D179" s="71" t="s">
        <v>63</v>
      </c>
      <c r="E179" s="150" t="str">
        <f>HLOOKUP(Deckblatt!$C$12,Language!$C$1:$D$730,209,FALSE)</f>
        <v xml:space="preserve">Freiraumstruktur
</v>
      </c>
      <c r="F179" s="348"/>
      <c r="G179" s="69"/>
      <c r="H179" s="18">
        <v>10</v>
      </c>
      <c r="I179" s="350"/>
      <c r="J179" s="340"/>
      <c r="K179" s="341"/>
      <c r="L179" s="341"/>
      <c r="M179" s="341"/>
      <c r="N179" s="342"/>
      <c r="P179" s="18">
        <f t="shared" si="2"/>
        <v>0</v>
      </c>
      <c r="Q179" s="338"/>
      <c r="R179" s="344"/>
      <c r="S179" s="344"/>
      <c r="T179" s="344"/>
      <c r="U179" s="475"/>
    </row>
    <row r="180" spans="2:21" ht="26.4" x14ac:dyDescent="0.25">
      <c r="B180" s="346"/>
      <c r="C180" s="390"/>
      <c r="D180" s="71" t="s">
        <v>186</v>
      </c>
      <c r="E180" s="150" t="str">
        <f>HLOOKUP(Deckblatt!$C$12,Language!$C$1:$D$730,210,FALSE)</f>
        <v xml:space="preserve">Freiraumtypen
</v>
      </c>
      <c r="F180" s="348"/>
      <c r="G180" s="69"/>
      <c r="H180" s="18">
        <v>10</v>
      </c>
      <c r="I180" s="350"/>
      <c r="J180" s="340"/>
      <c r="K180" s="341"/>
      <c r="L180" s="341"/>
      <c r="M180" s="341"/>
      <c r="N180" s="342"/>
      <c r="P180" s="18">
        <f t="shared" si="2"/>
        <v>0</v>
      </c>
      <c r="Q180" s="338"/>
      <c r="R180" s="344"/>
      <c r="S180" s="344"/>
      <c r="T180" s="344"/>
      <c r="U180" s="475"/>
    </row>
    <row r="181" spans="2:21" ht="26.4" x14ac:dyDescent="0.25">
      <c r="B181" s="346"/>
      <c r="C181" s="390"/>
      <c r="D181" s="71" t="s">
        <v>255</v>
      </c>
      <c r="E181" s="150" t="str">
        <f>HLOOKUP(Deckblatt!$C$12,Language!$C$1:$D$730,211,FALSE)</f>
        <v xml:space="preserve">Materialität
</v>
      </c>
      <c r="F181" s="348"/>
      <c r="G181" s="69"/>
      <c r="H181" s="18">
        <v>5</v>
      </c>
      <c r="I181" s="350"/>
      <c r="J181" s="340"/>
      <c r="K181" s="341"/>
      <c r="L181" s="341"/>
      <c r="M181" s="341"/>
      <c r="N181" s="342"/>
      <c r="P181" s="18">
        <f t="shared" si="2"/>
        <v>0</v>
      </c>
      <c r="Q181" s="338"/>
      <c r="R181" s="344"/>
      <c r="S181" s="344"/>
      <c r="T181" s="344"/>
      <c r="U181" s="475"/>
    </row>
    <row r="182" spans="2:21" ht="26.4" x14ac:dyDescent="0.25">
      <c r="B182" s="346"/>
      <c r="C182" s="390"/>
      <c r="D182" s="71" t="s">
        <v>256</v>
      </c>
      <c r="E182" s="150" t="str">
        <f>HLOOKUP(Deckblatt!$C$12,Language!$C$1:$D$730,212,FALSE)</f>
        <v xml:space="preserve">Vegetation
</v>
      </c>
      <c r="F182" s="348"/>
      <c r="G182" s="69"/>
      <c r="H182" s="18">
        <v>5</v>
      </c>
      <c r="I182" s="350"/>
      <c r="J182" s="340"/>
      <c r="K182" s="341"/>
      <c r="L182" s="341"/>
      <c r="M182" s="341"/>
      <c r="N182" s="342"/>
      <c r="P182" s="18">
        <f t="shared" si="2"/>
        <v>0</v>
      </c>
      <c r="Q182" s="338"/>
      <c r="R182" s="344"/>
      <c r="S182" s="344"/>
      <c r="T182" s="344"/>
      <c r="U182" s="475"/>
    </row>
    <row r="183" spans="2:21" ht="26.4" x14ac:dyDescent="0.25">
      <c r="B183" s="346"/>
      <c r="C183" s="390"/>
      <c r="D183" s="71" t="s">
        <v>257</v>
      </c>
      <c r="E183" s="150" t="str">
        <f>HLOOKUP(Deckblatt!$C$12,Language!$C$1:$D$730,213,FALSE)</f>
        <v xml:space="preserve">Ausstattung
</v>
      </c>
      <c r="F183" s="348"/>
      <c r="G183" s="69"/>
      <c r="H183" s="18">
        <v>10</v>
      </c>
      <c r="I183" s="350"/>
      <c r="J183" s="340"/>
      <c r="K183" s="341"/>
      <c r="L183" s="341"/>
      <c r="M183" s="341"/>
      <c r="N183" s="342"/>
      <c r="P183" s="18">
        <f t="shared" si="2"/>
        <v>0</v>
      </c>
      <c r="Q183" s="338"/>
      <c r="R183" s="344"/>
      <c r="S183" s="344"/>
      <c r="T183" s="344"/>
      <c r="U183" s="475"/>
    </row>
    <row r="184" spans="2:21" ht="26.4" x14ac:dyDescent="0.25">
      <c r="B184" s="346"/>
      <c r="C184" s="390"/>
      <c r="D184" s="71" t="s">
        <v>258</v>
      </c>
      <c r="E184" s="150" t="str">
        <f>HLOOKUP(Deckblatt!$C$12,Language!$C$1:$D$730,214,FALSE)</f>
        <v xml:space="preserve">Beleuchtung
</v>
      </c>
      <c r="F184" s="348"/>
      <c r="G184" s="69"/>
      <c r="H184" s="18">
        <v>5</v>
      </c>
      <c r="I184" s="350"/>
      <c r="J184" s="340"/>
      <c r="K184" s="341"/>
      <c r="L184" s="341"/>
      <c r="M184" s="341"/>
      <c r="N184" s="342"/>
      <c r="P184" s="18">
        <f t="shared" si="2"/>
        <v>0</v>
      </c>
      <c r="Q184" s="338"/>
      <c r="R184" s="344"/>
      <c r="S184" s="344"/>
      <c r="T184" s="344"/>
      <c r="U184" s="475"/>
    </row>
    <row r="185" spans="2:21" ht="26.4" x14ac:dyDescent="0.25">
      <c r="B185" s="346"/>
      <c r="C185" s="390"/>
      <c r="D185" s="71" t="s">
        <v>259</v>
      </c>
      <c r="E185" s="150" t="str">
        <f>HLOOKUP(Deckblatt!$C$12,Language!$C$1:$D$730,215,FALSE)</f>
        <v xml:space="preserve">Verkehrsflächen
</v>
      </c>
      <c r="F185" s="348"/>
      <c r="G185" s="69"/>
      <c r="H185" s="18">
        <v>10</v>
      </c>
      <c r="I185" s="350"/>
      <c r="J185" s="340"/>
      <c r="K185" s="341"/>
      <c r="L185" s="341"/>
      <c r="M185" s="341"/>
      <c r="N185" s="342"/>
      <c r="P185" s="18">
        <f t="shared" si="2"/>
        <v>0</v>
      </c>
      <c r="Q185" s="338"/>
      <c r="R185" s="344"/>
      <c r="S185" s="344"/>
      <c r="T185" s="344"/>
      <c r="U185" s="475"/>
    </row>
    <row r="186" spans="2:21" ht="27" customHeight="1" x14ac:dyDescent="0.25">
      <c r="B186" s="346"/>
      <c r="C186" s="351" t="s">
        <v>64</v>
      </c>
      <c r="D186" s="352" t="str">
        <f>HLOOKUP(Deckblatt!$C$12,Language!$C$1:$D$730,217,FALSE)</f>
        <v>Freiraumangebot - öffentlicher Freiräume BGF_DGNB (innerhalb des Projektgebietes)</v>
      </c>
      <c r="E186" s="353"/>
      <c r="F186" s="348"/>
      <c r="G186" s="113"/>
      <c r="H186" s="21">
        <v>15</v>
      </c>
      <c r="I186" s="350"/>
      <c r="J186" s="340"/>
      <c r="K186" s="341"/>
      <c r="L186" s="341"/>
      <c r="M186" s="341"/>
      <c r="N186" s="342"/>
      <c r="P186" s="18">
        <f t="shared" si="2"/>
        <v>0</v>
      </c>
      <c r="Q186" s="338"/>
      <c r="R186" s="344"/>
      <c r="S186" s="344"/>
      <c r="T186" s="344"/>
      <c r="U186" s="475"/>
    </row>
    <row r="187" spans="2:21" ht="26.4" x14ac:dyDescent="0.25">
      <c r="B187" s="346"/>
      <c r="C187" s="351"/>
      <c r="D187" s="71" t="s">
        <v>66</v>
      </c>
      <c r="E187" s="150" t="str">
        <f>HLOOKUP(Deckblatt!$C$12,Language!$C$1:$D$730,218,FALSE)</f>
        <v xml:space="preserve">Freiraumfaktor
</v>
      </c>
      <c r="F187" s="348"/>
      <c r="G187" s="69"/>
      <c r="H187" s="18">
        <v>15</v>
      </c>
      <c r="I187" s="350"/>
      <c r="J187" s="340"/>
      <c r="K187" s="341"/>
      <c r="L187" s="341"/>
      <c r="M187" s="341"/>
      <c r="N187" s="342"/>
      <c r="P187" s="18">
        <f t="shared" si="2"/>
        <v>0</v>
      </c>
      <c r="Q187" s="338"/>
      <c r="R187" s="344"/>
      <c r="S187" s="344"/>
      <c r="T187" s="344"/>
      <c r="U187" s="475"/>
    </row>
    <row r="188" spans="2:21" ht="26.1" customHeight="1" x14ac:dyDescent="0.25">
      <c r="B188" s="346"/>
      <c r="C188" s="351" t="s">
        <v>67</v>
      </c>
      <c r="D188" s="352" t="str">
        <f>HLOOKUP(Deckblatt!$C$12,Language!$C$1:$D$730,219,FALSE)</f>
        <v>Freiraumangebot - Erreichbarkeit öffentlicher Freiräume / Standortfreiräume (außerhalb des Projektgebietes)</v>
      </c>
      <c r="E188" s="353"/>
      <c r="F188" s="348"/>
      <c r="G188" s="113"/>
      <c r="H188" s="21">
        <v>10</v>
      </c>
      <c r="I188" s="350"/>
      <c r="J188" s="340"/>
      <c r="K188" s="341"/>
      <c r="L188" s="341"/>
      <c r="M188" s="341"/>
      <c r="N188" s="342"/>
      <c r="P188" s="18">
        <f t="shared" si="2"/>
        <v>0</v>
      </c>
      <c r="Q188" s="338"/>
      <c r="R188" s="344"/>
      <c r="S188" s="344"/>
      <c r="T188" s="344"/>
      <c r="U188" s="475"/>
    </row>
    <row r="189" spans="2:21" ht="26.4" x14ac:dyDescent="0.25">
      <c r="B189" s="346"/>
      <c r="C189" s="351"/>
      <c r="D189" s="71" t="s">
        <v>69</v>
      </c>
      <c r="E189" s="150" t="str">
        <f>HLOOKUP(Deckblatt!$C$12,Language!$C$1:$D$730,220,FALSE)</f>
        <v xml:space="preserve">Freiraumfaktor
</v>
      </c>
      <c r="F189" s="348"/>
      <c r="G189" s="69"/>
      <c r="H189" s="18">
        <v>10</v>
      </c>
      <c r="I189" s="350"/>
      <c r="J189" s="340"/>
      <c r="K189" s="341"/>
      <c r="L189" s="341"/>
      <c r="M189" s="341"/>
      <c r="N189" s="342"/>
      <c r="P189" s="18">
        <f t="shared" si="2"/>
        <v>0</v>
      </c>
      <c r="Q189" s="338"/>
      <c r="R189" s="344"/>
      <c r="S189" s="344"/>
      <c r="T189" s="344"/>
      <c r="U189" s="475"/>
    </row>
    <row r="190" spans="2:21" x14ac:dyDescent="0.25">
      <c r="B190" s="55" t="s">
        <v>270</v>
      </c>
      <c r="C190" s="354" t="str">
        <f>HLOOKUP(Deckblatt!$C$12,Language!$C$1:$D$730,254,FALSE)</f>
        <v>Emissionen / Immissionen</v>
      </c>
      <c r="D190" s="354"/>
      <c r="E190" s="355"/>
      <c r="F190" s="56">
        <f>Q190</f>
        <v>0</v>
      </c>
      <c r="G190" s="356"/>
      <c r="H190" s="21">
        <v>100</v>
      </c>
      <c r="I190" s="176">
        <v>3</v>
      </c>
      <c r="J190" s="340"/>
      <c r="K190" s="341"/>
      <c r="L190" s="341"/>
      <c r="M190" s="341"/>
      <c r="N190" s="342"/>
      <c r="P190" s="18">
        <f t="shared" si="2"/>
        <v>0</v>
      </c>
      <c r="Q190" s="337">
        <f>IF(SUM(P193,P195:P196,P198,P200,P202,P204:P205,P210:P213)-P207&gt;100,100,SUM(P193,P195:P196,P198,P200,P202,P204:P205,P210:P213)-P207)</f>
        <v>0</v>
      </c>
      <c r="R190" s="343">
        <f>Q190/100</f>
        <v>0</v>
      </c>
      <c r="S190" s="344"/>
      <c r="T190" s="344"/>
      <c r="U190" s="475"/>
    </row>
    <row r="191" spans="2:21" x14ac:dyDescent="0.25">
      <c r="B191" s="375"/>
      <c r="C191" s="351" t="s">
        <v>54</v>
      </c>
      <c r="D191" s="352" t="str">
        <f>HLOOKUP(Deckblatt!$C$12,Language!$C$1:$D$730,255,FALSE)</f>
        <v>Luftqualität</v>
      </c>
      <c r="E191" s="353"/>
      <c r="F191" s="485"/>
      <c r="G191" s="356"/>
      <c r="H191" s="21">
        <v>20</v>
      </c>
      <c r="I191" s="379"/>
      <c r="J191" s="340"/>
      <c r="K191" s="341"/>
      <c r="L191" s="341"/>
      <c r="M191" s="341"/>
      <c r="N191" s="342"/>
      <c r="P191" s="18">
        <f t="shared" si="2"/>
        <v>0</v>
      </c>
      <c r="Q191" s="338"/>
      <c r="R191" s="344"/>
      <c r="S191" s="344"/>
      <c r="T191" s="344"/>
      <c r="U191" s="475"/>
    </row>
    <row r="192" spans="2:21" x14ac:dyDescent="0.25">
      <c r="B192" s="375"/>
      <c r="C192" s="351"/>
      <c r="D192" s="361" t="s">
        <v>58</v>
      </c>
      <c r="E192" s="150" t="str">
        <f>HLOOKUP(Deckblatt!$C$12,Language!$C$1:$D$730,256,FALSE)</f>
        <v>Einhaltung der gesetzlichen Grenzwerte für Luftqualitätsmerkmale</v>
      </c>
      <c r="F192" s="485"/>
      <c r="G192" s="356"/>
      <c r="H192" s="21">
        <v>10</v>
      </c>
      <c r="I192" s="379"/>
      <c r="J192" s="340"/>
      <c r="K192" s="341"/>
      <c r="L192" s="341"/>
      <c r="M192" s="341"/>
      <c r="N192" s="342"/>
      <c r="P192" s="18">
        <f t="shared" si="2"/>
        <v>0</v>
      </c>
      <c r="Q192" s="338"/>
      <c r="R192" s="344"/>
      <c r="S192" s="344"/>
      <c r="T192" s="344"/>
      <c r="U192" s="475"/>
    </row>
    <row r="193" spans="2:21" ht="67.95" customHeight="1" x14ac:dyDescent="0.25">
      <c r="B193" s="375"/>
      <c r="C193" s="351"/>
      <c r="D193" s="361"/>
      <c r="E193" s="134" t="str">
        <f>HLOOKUP(Deckblatt!$C$12,Language!$C$1:$D$730,257,FALSE)</f>
        <v xml:space="preserve">- NO2-Überschreitung an maximal 18 3-Stunden-Intervallen (über den Ein-Stunden-Tagesmaxima-Wert) (5 Punkte)
ODER
- Keine Überschreitung NO2 (10 Punkte)
</v>
      </c>
      <c r="F193" s="485"/>
      <c r="G193" s="69"/>
      <c r="H193" s="18">
        <v>10</v>
      </c>
      <c r="I193" s="379"/>
      <c r="J193" s="340"/>
      <c r="K193" s="341"/>
      <c r="L193" s="341"/>
      <c r="M193" s="341"/>
      <c r="N193" s="342"/>
      <c r="P193" s="18">
        <f t="shared" si="2"/>
        <v>0</v>
      </c>
      <c r="Q193" s="338"/>
      <c r="R193" s="344"/>
      <c r="S193" s="344"/>
      <c r="T193" s="344"/>
      <c r="U193" s="475"/>
    </row>
    <row r="194" spans="2:21" ht="26.4" x14ac:dyDescent="0.25">
      <c r="B194" s="375"/>
      <c r="C194" s="351"/>
      <c r="D194" s="361" t="s">
        <v>181</v>
      </c>
      <c r="E194" s="150" t="str">
        <f>HLOOKUP(Deckblatt!$C$12,Language!$C$1:$D$730,258,FALSE)</f>
        <v>Veränderung der Immissionssituation / Lufthygienischen Gutachten</v>
      </c>
      <c r="F194" s="485"/>
      <c r="G194" s="113"/>
      <c r="H194" s="21">
        <v>10</v>
      </c>
      <c r="I194" s="379"/>
      <c r="J194" s="340"/>
      <c r="K194" s="341"/>
      <c r="L194" s="341"/>
      <c r="M194" s="341"/>
      <c r="N194" s="342"/>
      <c r="P194" s="18">
        <f t="shared" si="2"/>
        <v>0</v>
      </c>
      <c r="Q194" s="338"/>
      <c r="R194" s="344"/>
      <c r="S194" s="344"/>
      <c r="T194" s="344"/>
      <c r="U194" s="475"/>
    </row>
    <row r="195" spans="2:21" ht="26.4" x14ac:dyDescent="0.25">
      <c r="B195" s="375"/>
      <c r="C195" s="351"/>
      <c r="D195" s="361"/>
      <c r="E195" s="134" t="str">
        <f>HLOOKUP(Deckblatt!$C$12,Language!$C$1:$D$730,259,FALSE)</f>
        <v xml:space="preserve">Durchführung eines qualifizierten lufthygienisches Gutachtens
</v>
      </c>
      <c r="F195" s="485"/>
      <c r="G195" s="69"/>
      <c r="H195" s="18">
        <v>3</v>
      </c>
      <c r="I195" s="379"/>
      <c r="J195" s="340"/>
      <c r="K195" s="341"/>
      <c r="L195" s="341"/>
      <c r="M195" s="341"/>
      <c r="N195" s="342"/>
      <c r="P195" s="18">
        <f t="shared" si="2"/>
        <v>0</v>
      </c>
      <c r="Q195" s="338"/>
      <c r="R195" s="344"/>
      <c r="S195" s="344"/>
      <c r="T195" s="344"/>
      <c r="U195" s="475"/>
    </row>
    <row r="196" spans="2:21" ht="66.599999999999994" customHeight="1" x14ac:dyDescent="0.25">
      <c r="B196" s="375"/>
      <c r="C196" s="351"/>
      <c r="D196" s="361"/>
      <c r="E196" s="134" t="str">
        <f>HLOOKUP(Deckblatt!$C$12,Language!$C$1:$D$730,260,FALSE)</f>
        <v xml:space="preserve">Umsetzung der Ergebnisse des lufthygienisches Gutachtens
- mind. 50 % Umgesetzt (3 Punkte)
ODER
- vollständig umgesetzt (7 Punkte)
</v>
      </c>
      <c r="F196" s="485"/>
      <c r="G196" s="69"/>
      <c r="H196" s="18">
        <v>7</v>
      </c>
      <c r="I196" s="379"/>
      <c r="J196" s="340"/>
      <c r="K196" s="341"/>
      <c r="L196" s="341"/>
      <c r="M196" s="341"/>
      <c r="N196" s="342"/>
      <c r="P196" s="18">
        <f t="shared" si="2"/>
        <v>0</v>
      </c>
      <c r="Q196" s="338"/>
      <c r="R196" s="344"/>
      <c r="S196" s="344"/>
      <c r="T196" s="344"/>
      <c r="U196" s="475"/>
    </row>
    <row r="197" spans="2:21" x14ac:dyDescent="0.25">
      <c r="B197" s="375"/>
      <c r="C197" s="351" t="s">
        <v>61</v>
      </c>
      <c r="D197" s="352" t="str">
        <f>HLOOKUP(Deckblatt!$C$12,Language!$C$1:$D$730,261,FALSE)</f>
        <v>Straßenverkehrslärm (innerhalb)</v>
      </c>
      <c r="E197" s="353"/>
      <c r="F197" s="485"/>
      <c r="G197" s="113"/>
      <c r="H197" s="21">
        <v>20</v>
      </c>
      <c r="I197" s="379"/>
      <c r="J197" s="340"/>
      <c r="K197" s="341"/>
      <c r="L197" s="341"/>
      <c r="M197" s="341"/>
      <c r="N197" s="342"/>
      <c r="P197" s="18">
        <f t="shared" si="2"/>
        <v>0</v>
      </c>
      <c r="Q197" s="338"/>
      <c r="R197" s="344"/>
      <c r="S197" s="344"/>
      <c r="T197" s="344"/>
      <c r="U197" s="475"/>
    </row>
    <row r="198" spans="2:21" ht="39.6" x14ac:dyDescent="0.25">
      <c r="B198" s="375"/>
      <c r="C198" s="351"/>
      <c r="D198" s="71" t="s">
        <v>63</v>
      </c>
      <c r="E198" s="150" t="str">
        <f>HLOOKUP(Deckblatt!$C$12,Language!$C$1:$D$730,262,FALSE)</f>
        <v xml:space="preserve">Bewertung des durchschnittlich vorhandenen Straßenverkehrslärm-pegels (Tag / Nacht)
</v>
      </c>
      <c r="F198" s="485"/>
      <c r="G198" s="69"/>
      <c r="H198" s="18">
        <v>20</v>
      </c>
      <c r="I198" s="379"/>
      <c r="J198" s="340"/>
      <c r="K198" s="341"/>
      <c r="L198" s="341"/>
      <c r="M198" s="341"/>
      <c r="N198" s="342"/>
      <c r="P198" s="18">
        <f t="shared" si="2"/>
        <v>0</v>
      </c>
      <c r="Q198" s="338"/>
      <c r="R198" s="344"/>
      <c r="S198" s="344"/>
      <c r="T198" s="344"/>
      <c r="U198" s="475"/>
    </row>
    <row r="199" spans="2:21" x14ac:dyDescent="0.25">
      <c r="B199" s="375"/>
      <c r="C199" s="351" t="s">
        <v>64</v>
      </c>
      <c r="D199" s="352" t="str">
        <f>HLOOKUP(Deckblatt!$C$12,Language!$C$1:$D$730,263,FALSE)</f>
        <v>Lärm auf dem zentralen öffentlich zugänglichen Freiraum</v>
      </c>
      <c r="E199" s="353"/>
      <c r="F199" s="485"/>
      <c r="G199" s="113"/>
      <c r="H199" s="21">
        <v>10</v>
      </c>
      <c r="I199" s="379"/>
      <c r="J199" s="340"/>
      <c r="K199" s="341"/>
      <c r="L199" s="341"/>
      <c r="M199" s="341"/>
      <c r="N199" s="342"/>
      <c r="P199" s="18">
        <f t="shared" si="2"/>
        <v>0</v>
      </c>
      <c r="Q199" s="338"/>
      <c r="R199" s="344"/>
      <c r="S199" s="344"/>
      <c r="T199" s="344"/>
      <c r="U199" s="475"/>
    </row>
    <row r="200" spans="2:21" ht="26.4" x14ac:dyDescent="0.25">
      <c r="B200" s="375"/>
      <c r="C200" s="351"/>
      <c r="D200" s="71" t="s">
        <v>66</v>
      </c>
      <c r="E200" s="150" t="str">
        <f>HLOOKUP(Deckblatt!$C$12,Language!$C$1:$D$730,264,FALSE)</f>
        <v xml:space="preserve">Lärmwert Freiraum (Tag)
</v>
      </c>
      <c r="F200" s="485"/>
      <c r="G200" s="69"/>
      <c r="H200" s="18">
        <v>10</v>
      </c>
      <c r="I200" s="379"/>
      <c r="J200" s="340"/>
      <c r="K200" s="341"/>
      <c r="L200" s="341"/>
      <c r="M200" s="341"/>
      <c r="N200" s="342"/>
      <c r="P200" s="18">
        <f t="shared" si="2"/>
        <v>0</v>
      </c>
      <c r="Q200" s="338"/>
      <c r="R200" s="344"/>
      <c r="S200" s="344"/>
      <c r="T200" s="344"/>
      <c r="U200" s="475"/>
    </row>
    <row r="201" spans="2:21" x14ac:dyDescent="0.25">
      <c r="B201" s="375"/>
      <c r="C201" s="369" t="s">
        <v>67</v>
      </c>
      <c r="D201" s="352" t="str">
        <f>HLOOKUP(Deckblatt!$C$12,Language!$C$1:$D$730,265,FALSE)</f>
        <v>Gewerbelärm / Lärm aus der Event-Nutzung  außerhalb des Quartiers</v>
      </c>
      <c r="E201" s="353"/>
      <c r="F201" s="485"/>
      <c r="G201" s="113"/>
      <c r="H201" s="21">
        <v>15</v>
      </c>
      <c r="I201" s="379"/>
      <c r="J201" s="340"/>
      <c r="K201" s="341"/>
      <c r="L201" s="341"/>
      <c r="M201" s="341"/>
      <c r="N201" s="342"/>
      <c r="P201" s="18">
        <f t="shared" si="2"/>
        <v>0</v>
      </c>
      <c r="Q201" s="338"/>
      <c r="R201" s="344"/>
      <c r="S201" s="344"/>
      <c r="T201" s="344"/>
      <c r="U201" s="475"/>
    </row>
    <row r="202" spans="2:21" ht="39.6" x14ac:dyDescent="0.25">
      <c r="B202" s="375"/>
      <c r="C202" s="479"/>
      <c r="D202" s="71" t="s">
        <v>69</v>
      </c>
      <c r="E202" s="150" t="str">
        <f>HLOOKUP(Deckblatt!$C$12,Language!$C$1:$D$730,266,FALSE)</f>
        <v xml:space="preserve">Industrie- und Gewerbelärm in benachbarten empfindlichen Nutzungsbereichen 
	</v>
      </c>
      <c r="F202" s="485"/>
      <c r="G202" s="69"/>
      <c r="H202" s="18">
        <v>15</v>
      </c>
      <c r="I202" s="379"/>
      <c r="J202" s="340"/>
      <c r="K202" s="341"/>
      <c r="L202" s="341"/>
      <c r="M202" s="341"/>
      <c r="N202" s="342"/>
      <c r="P202" s="18">
        <f t="shared" si="2"/>
        <v>0</v>
      </c>
      <c r="Q202" s="338"/>
      <c r="R202" s="344"/>
      <c r="S202" s="344"/>
      <c r="T202" s="344"/>
      <c r="U202" s="475"/>
    </row>
    <row r="203" spans="2:21" x14ac:dyDescent="0.25">
      <c r="B203" s="375"/>
      <c r="C203" s="359" t="s">
        <v>154</v>
      </c>
      <c r="D203" s="352" t="str">
        <f>HLOOKUP(Deckblatt!$C$12,Language!$C$1:$D$730,267,FALSE)</f>
        <v xml:space="preserve">Vermeidung oder Verminderung von Emissionen </v>
      </c>
      <c r="E203" s="353"/>
      <c r="F203" s="485"/>
      <c r="G203" s="113"/>
      <c r="H203" s="21">
        <v>25</v>
      </c>
      <c r="I203" s="379"/>
      <c r="J203" s="340"/>
      <c r="K203" s="341"/>
      <c r="L203" s="341"/>
      <c r="M203" s="341"/>
      <c r="N203" s="342"/>
      <c r="P203" s="18">
        <f t="shared" si="2"/>
        <v>0</v>
      </c>
      <c r="Q203" s="338"/>
      <c r="R203" s="344"/>
      <c r="S203" s="344"/>
      <c r="T203" s="344"/>
      <c r="U203" s="475"/>
    </row>
    <row r="204" spans="2:21" x14ac:dyDescent="0.25">
      <c r="B204" s="375"/>
      <c r="C204" s="390"/>
      <c r="D204" s="71" t="s">
        <v>156</v>
      </c>
      <c r="E204" s="150" t="str">
        <f>HLOOKUP(Deckblatt!$C$12,Language!$C$1:$D$730,268,FALSE)</f>
        <v>Luftbelastung durch Heiz-/Feuerungsanlagen</v>
      </c>
      <c r="F204" s="485"/>
      <c r="G204" s="69"/>
      <c r="H204" s="18">
        <v>10</v>
      </c>
      <c r="I204" s="379"/>
      <c r="J204" s="340"/>
      <c r="K204" s="341"/>
      <c r="L204" s="341"/>
      <c r="M204" s="341"/>
      <c r="N204" s="342"/>
      <c r="P204" s="18">
        <f t="shared" si="2"/>
        <v>0</v>
      </c>
      <c r="Q204" s="338"/>
      <c r="R204" s="344"/>
      <c r="S204" s="344"/>
      <c r="T204" s="344"/>
      <c r="U204" s="475"/>
    </row>
    <row r="205" spans="2:21" ht="39.6" x14ac:dyDescent="0.25">
      <c r="B205" s="375"/>
      <c r="C205" s="360"/>
      <c r="D205" s="71" t="s">
        <v>219</v>
      </c>
      <c r="E205" s="150" t="str">
        <f>HLOOKUP(Deckblatt!$C$12,Language!$C$1:$D$730,270,FALSE)</f>
        <v xml:space="preserve">Gewerbelärm / Lärm durch zusätzliches Verkehrsaufkommen in benachbarten empfindlichen Nutzungsbereichen
</v>
      </c>
      <c r="F205" s="485"/>
      <c r="G205" s="69"/>
      <c r="H205" s="18">
        <v>15</v>
      </c>
      <c r="I205" s="379"/>
      <c r="J205" s="340"/>
      <c r="K205" s="341"/>
      <c r="L205" s="341"/>
      <c r="M205" s="341"/>
      <c r="N205" s="342"/>
      <c r="P205" s="18">
        <f t="shared" si="2"/>
        <v>0</v>
      </c>
      <c r="Q205" s="338"/>
      <c r="R205" s="344"/>
      <c r="S205" s="344"/>
      <c r="T205" s="344"/>
      <c r="U205" s="475"/>
    </row>
    <row r="206" spans="2:21" ht="26.1" customHeight="1" x14ac:dyDescent="0.25">
      <c r="B206" s="375"/>
      <c r="C206" s="351" t="s">
        <v>157</v>
      </c>
      <c r="D206" s="352" t="str">
        <f>HLOOKUP(Deckblatt!$C$12,Language!$C$1:$D$730,271,FALSE)</f>
        <v>Lärm aus Schienen- und Flugverkehr, Industrie und Gewerbe sowie Sport und Freizeit (Reduzierungsfaktor)</v>
      </c>
      <c r="E206" s="353"/>
      <c r="F206" s="485"/>
      <c r="G206" s="113"/>
      <c r="H206" s="21">
        <v>37.5</v>
      </c>
      <c r="I206" s="379"/>
      <c r="J206" s="340"/>
      <c r="K206" s="341"/>
      <c r="L206" s="341"/>
      <c r="M206" s="341"/>
      <c r="N206" s="342"/>
      <c r="P206" s="18">
        <f t="shared" si="2"/>
        <v>0</v>
      </c>
      <c r="Q206" s="338"/>
      <c r="R206" s="344"/>
      <c r="S206" s="344"/>
      <c r="T206" s="344"/>
      <c r="U206" s="475"/>
    </row>
    <row r="207" spans="2:21" ht="92.4" x14ac:dyDescent="0.25">
      <c r="B207" s="375"/>
      <c r="C207" s="351"/>
      <c r="D207" s="71" t="s">
        <v>159</v>
      </c>
      <c r="E207"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07" s="485"/>
      <c r="G207" s="69"/>
      <c r="H207" s="18">
        <v>37.5</v>
      </c>
      <c r="I207" s="379"/>
      <c r="J207" s="340"/>
      <c r="K207" s="341"/>
      <c r="L207" s="341"/>
      <c r="M207" s="341"/>
      <c r="N207" s="342"/>
      <c r="P207" s="18">
        <f t="shared" si="2"/>
        <v>0</v>
      </c>
      <c r="Q207" s="338"/>
      <c r="R207" s="344"/>
      <c r="S207" s="344"/>
      <c r="T207" s="344"/>
      <c r="U207" s="475"/>
    </row>
    <row r="208" spans="2:21" ht="13.2" customHeight="1" x14ac:dyDescent="0.25">
      <c r="B208" s="375"/>
      <c r="C208" s="351" t="s">
        <v>282</v>
      </c>
      <c r="D208" s="352" t="str">
        <f>HLOOKUP(Deckblatt!$C$12,Language!$C$1:$D$730,273,FALSE)</f>
        <v>Maßnahmen zur Reduzierung der Lichtverschmutzung</v>
      </c>
      <c r="E208" s="353"/>
      <c r="F208" s="485"/>
      <c r="G208" s="356"/>
      <c r="H208" s="21">
        <v>10</v>
      </c>
      <c r="I208" s="379"/>
      <c r="J208" s="340"/>
      <c r="K208" s="341"/>
      <c r="L208" s="341"/>
      <c r="M208" s="341"/>
      <c r="N208" s="342"/>
      <c r="P208" s="18">
        <f t="shared" si="2"/>
        <v>0</v>
      </c>
      <c r="Q208" s="338"/>
      <c r="R208" s="344"/>
      <c r="S208" s="344"/>
      <c r="T208" s="344"/>
      <c r="U208" s="475"/>
    </row>
    <row r="209" spans="2:21" x14ac:dyDescent="0.25">
      <c r="B209" s="375"/>
      <c r="C209" s="351"/>
      <c r="D209" s="361" t="s">
        <v>284</v>
      </c>
      <c r="E209" s="150" t="str">
        <f>HLOOKUP(Deckblatt!$C$12,Language!$C$1:$D$730,274,FALSE)</f>
        <v>Maßnahmen zur Reduzierung der Lichtverschmutzung</v>
      </c>
      <c r="F209" s="485"/>
      <c r="G209" s="356"/>
      <c r="H209" s="21">
        <v>10</v>
      </c>
      <c r="I209" s="379"/>
      <c r="J209" s="340"/>
      <c r="K209" s="341"/>
      <c r="L209" s="341"/>
      <c r="M209" s="341"/>
      <c r="N209" s="342"/>
      <c r="P209" s="18">
        <f t="shared" si="2"/>
        <v>0</v>
      </c>
      <c r="Q209" s="338"/>
      <c r="R209" s="344"/>
      <c r="S209" s="344"/>
      <c r="T209" s="344"/>
      <c r="U209" s="475"/>
    </row>
    <row r="210" spans="2:21" ht="64.95" customHeight="1" x14ac:dyDescent="0.25">
      <c r="B210" s="375"/>
      <c r="C210" s="351"/>
      <c r="D210" s="361"/>
      <c r="E210" s="134" t="str">
        <f>HLOOKUP(Deckblatt!$C$12,Language!$C$1:$D$730,275,FALSE)</f>
        <v>Es gibt ein (umgesetztes) Beleuchtungskonzept, das explizit auf das Thema Lichtverschmutzung und deren Vermeidung eingeht  und v. a. eine möglichst geringe Raumaufhellung angrenzender Nutzungen berücksichtigt.</v>
      </c>
      <c r="F210" s="485"/>
      <c r="G210" s="69"/>
      <c r="H210" s="18">
        <v>3</v>
      </c>
      <c r="I210" s="379"/>
      <c r="J210" s="340"/>
      <c r="K210" s="341"/>
      <c r="L210" s="341"/>
      <c r="M210" s="341"/>
      <c r="N210" s="342"/>
      <c r="P210" s="18">
        <f t="shared" si="2"/>
        <v>0</v>
      </c>
      <c r="Q210" s="338"/>
      <c r="R210" s="344"/>
      <c r="S210" s="344"/>
      <c r="T210" s="344"/>
      <c r="U210" s="475"/>
    </row>
    <row r="211" spans="2:21" ht="39.6" x14ac:dyDescent="0.25">
      <c r="B211" s="375"/>
      <c r="C211" s="351"/>
      <c r="D211" s="361"/>
      <c r="E211" s="134" t="str">
        <f>HLOOKUP(Deckblatt!$C$12,Language!$C$1:$D$730,276,FALSE)</f>
        <v xml:space="preserve">Alle Leuchtmittel im Außenbereich sind derart gestaltet, das keine Lichtstreuung nach oben und zur Seite stattfindet.
</v>
      </c>
      <c r="F211" s="485"/>
      <c r="G211" s="69"/>
      <c r="H211" s="18">
        <v>3</v>
      </c>
      <c r="I211" s="379"/>
      <c r="J211" s="340"/>
      <c r="K211" s="341"/>
      <c r="L211" s="341"/>
      <c r="M211" s="341"/>
      <c r="N211" s="342"/>
      <c r="P211" s="18">
        <f t="shared" si="2"/>
        <v>0</v>
      </c>
      <c r="Q211" s="338"/>
      <c r="R211" s="344"/>
      <c r="S211" s="344"/>
      <c r="T211" s="344"/>
      <c r="U211" s="475"/>
    </row>
    <row r="212" spans="2:21" ht="39.6" x14ac:dyDescent="0.25">
      <c r="B212" s="375"/>
      <c r="C212" s="351"/>
      <c r="D212" s="361"/>
      <c r="E212" s="134" t="str">
        <f>HLOOKUP(Deckblatt!$C$12,Language!$C$1:$D$730,277,FALSE)</f>
        <v xml:space="preserve">Alle Leuchtmittel im Außenbereich verfügen über Lichtfarben und Orientierung die für den Artenschutz unschädlich sind.
</v>
      </c>
      <c r="F212" s="485"/>
      <c r="G212" s="69"/>
      <c r="H212" s="18">
        <v>2</v>
      </c>
      <c r="I212" s="379"/>
      <c r="J212" s="340"/>
      <c r="K212" s="341"/>
      <c r="L212" s="341"/>
      <c r="M212" s="341"/>
      <c r="N212" s="342"/>
      <c r="P212" s="18">
        <f t="shared" si="2"/>
        <v>0</v>
      </c>
      <c r="Q212" s="338"/>
      <c r="R212" s="344"/>
      <c r="S212" s="344"/>
      <c r="T212" s="344"/>
      <c r="U212" s="475"/>
    </row>
    <row r="213" spans="2:21" ht="26.4" x14ac:dyDescent="0.25">
      <c r="B213" s="375"/>
      <c r="C213" s="351"/>
      <c r="D213" s="361"/>
      <c r="E213" s="134" t="str">
        <f>HLOOKUP(Deckblatt!$C$12,Language!$C$1:$D$730,278,FALSE)</f>
        <v xml:space="preserve">Bei allen Leuchtmittel treten keine unerwünschten Blendeffekte auf
</v>
      </c>
      <c r="F213" s="485"/>
      <c r="G213" s="69"/>
      <c r="H213" s="18">
        <v>2</v>
      </c>
      <c r="I213" s="379"/>
      <c r="J213" s="340"/>
      <c r="K213" s="341"/>
      <c r="L213" s="341"/>
      <c r="M213" s="341"/>
      <c r="N213" s="342"/>
      <c r="P213" s="18">
        <f t="shared" si="2"/>
        <v>0</v>
      </c>
      <c r="Q213" s="338"/>
      <c r="R213" s="344"/>
      <c r="S213" s="344"/>
      <c r="T213" s="344"/>
      <c r="U213" s="475"/>
    </row>
    <row r="214" spans="2:21" x14ac:dyDescent="0.25">
      <c r="B214" s="55" t="s">
        <v>294</v>
      </c>
      <c r="C214" s="354" t="str">
        <f>HLOOKUP(Deckblatt!$C$12,Language!$C$1:$D$730,279,FALSE)</f>
        <v>Barrierefreiheit</v>
      </c>
      <c r="D214" s="354"/>
      <c r="E214" s="355"/>
      <c r="F214" s="56">
        <f>Q214</f>
        <v>0</v>
      </c>
      <c r="G214" s="364"/>
      <c r="H214" s="21">
        <v>100</v>
      </c>
      <c r="I214" s="137">
        <v>2</v>
      </c>
      <c r="J214" s="340"/>
      <c r="K214" s="341"/>
      <c r="L214" s="341"/>
      <c r="M214" s="341"/>
      <c r="N214" s="342"/>
      <c r="P214" s="18">
        <f t="shared" si="2"/>
        <v>0</v>
      </c>
      <c r="Q214" s="337">
        <f>SUM(P216,IF(SUM(P219:P224)&gt;30,30,SUM(P219:P224)),IF(SUM(P227:P237)&gt;15,15,SUM(P227:P237)),IF(SUM(P240:P247)&gt;10,10,SUM(P240:P247)),IF(SUM(P250:P254)&gt;8,8,SUM(P250:P254)),IF(P257+P258+P259&gt;4,4,P257+P258+P259),P262,P263)</f>
        <v>0</v>
      </c>
      <c r="R214" s="343">
        <f>Q214/100</f>
        <v>0</v>
      </c>
      <c r="S214" s="344"/>
      <c r="T214" s="344"/>
      <c r="U214" s="475"/>
    </row>
    <row r="215" spans="2:21" ht="13.2" customHeight="1" x14ac:dyDescent="0.25">
      <c r="B215" s="375"/>
      <c r="C215" s="351" t="s">
        <v>54</v>
      </c>
      <c r="D215" s="352" t="str">
        <f>HLOOKUP(Deckblatt!$C$12,Language!$C$1:$D$730,280,FALSE)</f>
        <v>Barrierefreie Fläche</v>
      </c>
      <c r="E215" s="353"/>
      <c r="F215" s="363"/>
      <c r="G215" s="364"/>
      <c r="H215" s="21">
        <v>30</v>
      </c>
      <c r="I215" s="379"/>
      <c r="J215" s="340"/>
      <c r="K215" s="341"/>
      <c r="L215" s="341"/>
      <c r="M215" s="341"/>
      <c r="N215" s="342"/>
      <c r="P215" s="18">
        <f t="shared" si="2"/>
        <v>0</v>
      </c>
      <c r="Q215" s="338"/>
      <c r="R215" s="344"/>
      <c r="S215" s="344"/>
      <c r="T215" s="344"/>
      <c r="U215" s="475"/>
    </row>
    <row r="216" spans="2:21" ht="26.4" x14ac:dyDescent="0.25">
      <c r="B216" s="375"/>
      <c r="C216" s="351"/>
      <c r="D216" s="160" t="s">
        <v>58</v>
      </c>
      <c r="E216" s="134" t="str">
        <f>HLOOKUP(Deckblatt!$C$12,Language!$C$1:$D$730,281,FALSE)</f>
        <v xml:space="preserve">Index Barrierefreiheit
</v>
      </c>
      <c r="F216" s="363"/>
      <c r="G216" s="69"/>
      <c r="H216" s="18">
        <v>30</v>
      </c>
      <c r="I216" s="379"/>
      <c r="J216" s="340"/>
      <c r="K216" s="341"/>
      <c r="L216" s="341"/>
      <c r="M216" s="341"/>
      <c r="N216" s="342"/>
      <c r="P216" s="18">
        <f t="shared" si="2"/>
        <v>0</v>
      </c>
      <c r="Q216" s="338"/>
      <c r="R216" s="344"/>
      <c r="S216" s="344"/>
      <c r="T216" s="344"/>
      <c r="U216" s="475"/>
    </row>
    <row r="217" spans="2:21" ht="13.2" customHeight="1" x14ac:dyDescent="0.25">
      <c r="B217" s="375"/>
      <c r="C217" s="351" t="s">
        <v>61</v>
      </c>
      <c r="D217" s="352" t="str">
        <f>HLOOKUP(Deckblatt!$C$12,Language!$C$1:$D$730,282,FALSE)</f>
        <v>Erreichbarkeit der notwendigen Infrastruktur</v>
      </c>
      <c r="E217" s="353"/>
      <c r="F217" s="363"/>
      <c r="G217" s="356"/>
      <c r="H217" s="21">
        <v>30</v>
      </c>
      <c r="I217" s="379"/>
      <c r="J217" s="340"/>
      <c r="K217" s="341"/>
      <c r="L217" s="341"/>
      <c r="M217" s="341"/>
      <c r="N217" s="342"/>
      <c r="P217" s="18">
        <f t="shared" si="2"/>
        <v>0</v>
      </c>
      <c r="Q217" s="338"/>
      <c r="R217" s="344"/>
      <c r="S217" s="344"/>
      <c r="T217" s="344"/>
      <c r="U217" s="475"/>
    </row>
    <row r="218" spans="2:21" x14ac:dyDescent="0.25">
      <c r="B218" s="375"/>
      <c r="C218" s="351"/>
      <c r="D218" s="376" t="s">
        <v>63</v>
      </c>
      <c r="E218" s="150" t="str">
        <f>HLOOKUP(Deckblatt!$C$12,Language!$C$1:$D$730,283,FALSE)</f>
        <v>Lokale Einrichtungen</v>
      </c>
      <c r="F218" s="363"/>
      <c r="G218" s="356"/>
      <c r="H218" s="21">
        <v>30</v>
      </c>
      <c r="I218" s="379"/>
      <c r="J218" s="340"/>
      <c r="K218" s="341"/>
      <c r="L218" s="341"/>
      <c r="M218" s="341"/>
      <c r="N218" s="342"/>
      <c r="P218" s="18">
        <f t="shared" ref="P218:P280" si="3">IF(G218&gt;H218,H218,G218)</f>
        <v>0</v>
      </c>
      <c r="Q218" s="338"/>
      <c r="R218" s="344"/>
      <c r="S218" s="344"/>
      <c r="T218" s="344"/>
      <c r="U218" s="475"/>
    </row>
    <row r="219" spans="2:21" ht="40.200000000000003" customHeight="1" x14ac:dyDescent="0.25">
      <c r="B219" s="375"/>
      <c r="C219" s="351"/>
      <c r="D219" s="376"/>
      <c r="E219" s="134" t="str">
        <f>HLOOKUP(Deckblatt!$C$12,Language!$C$1:$D$730,284,FALSE)</f>
        <v xml:space="preserve">Bildung: Kinderbetreuung und Grundschule max. Gehdistanz 200m Luftlinie
</v>
      </c>
      <c r="F219" s="363"/>
      <c r="G219" s="69"/>
      <c r="H219" s="18">
        <v>5</v>
      </c>
      <c r="I219" s="379"/>
      <c r="J219" s="340"/>
      <c r="K219" s="341"/>
      <c r="L219" s="341"/>
      <c r="M219" s="341"/>
      <c r="N219" s="342"/>
      <c r="P219" s="18">
        <f t="shared" si="3"/>
        <v>0</v>
      </c>
      <c r="Q219" s="338"/>
      <c r="R219" s="344"/>
      <c r="S219" s="344"/>
      <c r="T219" s="344"/>
      <c r="U219" s="475"/>
    </row>
    <row r="220" spans="2:21" ht="39.6" x14ac:dyDescent="0.25">
      <c r="B220" s="375"/>
      <c r="C220" s="351"/>
      <c r="D220" s="376"/>
      <c r="E220" s="134" t="str">
        <f>HLOOKUP(Deckblatt!$C$12,Language!$C$1:$D$730,286,FALSE)</f>
        <v xml:space="preserve">Nahversorgung 1: Vollsortimenter (Angebot von Gütern des täglichen Bedarfs) max. Gehdistanz 400m Luftlinie
</v>
      </c>
      <c r="F220" s="363"/>
      <c r="G220" s="69"/>
      <c r="H220" s="18">
        <v>8</v>
      </c>
      <c r="I220" s="379"/>
      <c r="J220" s="340"/>
      <c r="K220" s="341"/>
      <c r="L220" s="341"/>
      <c r="M220" s="341"/>
      <c r="N220" s="342"/>
      <c r="P220" s="18">
        <f t="shared" si="3"/>
        <v>0</v>
      </c>
      <c r="Q220" s="338"/>
      <c r="R220" s="344"/>
      <c r="S220" s="344"/>
      <c r="T220" s="344"/>
      <c r="U220" s="475"/>
    </row>
    <row r="221" spans="2:21" ht="39.6" x14ac:dyDescent="0.25">
      <c r="B221" s="375"/>
      <c r="C221" s="351"/>
      <c r="D221" s="376"/>
      <c r="E221" s="134" t="str">
        <f>HLOOKUP(Deckblatt!$C$12,Language!$C$1:$D$730,287,FALSE)</f>
        <v xml:space="preserve">Nahversorgung 2: Kleinteiliger Einzelhandel (Bäckerei, Metzgerei, Drogerie,…) max. Gehdistanz 400m Luftlinie
</v>
      </c>
      <c r="F221" s="363"/>
      <c r="G221" s="69"/>
      <c r="H221" s="18">
        <v>7</v>
      </c>
      <c r="I221" s="379"/>
      <c r="J221" s="340"/>
      <c r="K221" s="341"/>
      <c r="L221" s="341"/>
      <c r="M221" s="341"/>
      <c r="N221" s="342"/>
      <c r="P221" s="18">
        <f t="shared" si="3"/>
        <v>0</v>
      </c>
      <c r="Q221" s="338"/>
      <c r="R221" s="344"/>
      <c r="S221" s="344"/>
      <c r="T221" s="344"/>
      <c r="U221" s="475"/>
    </row>
    <row r="222" spans="2:21" ht="39.6" x14ac:dyDescent="0.25">
      <c r="B222" s="375"/>
      <c r="C222" s="351"/>
      <c r="D222" s="376"/>
      <c r="E222" s="134" t="str">
        <f>HLOOKUP(Deckblatt!$C$12,Language!$C$1:$D$730,288,FALSE)</f>
        <v xml:space="preserve">Medizinische Versorgung: Allgemeinmediziner max. Gehdistanz 400m Luftlinie
</v>
      </c>
      <c r="F222" s="363"/>
      <c r="G222" s="69"/>
      <c r="H222" s="18">
        <v>5</v>
      </c>
      <c r="I222" s="379"/>
      <c r="J222" s="340"/>
      <c r="K222" s="341"/>
      <c r="L222" s="341"/>
      <c r="M222" s="341"/>
      <c r="N222" s="342"/>
      <c r="P222" s="18">
        <f t="shared" si="3"/>
        <v>0</v>
      </c>
      <c r="Q222" s="338"/>
      <c r="R222" s="344"/>
      <c r="S222" s="344"/>
      <c r="T222" s="344"/>
      <c r="U222" s="475"/>
    </row>
    <row r="223" spans="2:21" ht="26.4" x14ac:dyDescent="0.25">
      <c r="B223" s="375"/>
      <c r="C223" s="351"/>
      <c r="D223" s="376"/>
      <c r="E223" s="134" t="str">
        <f>HLOOKUP(Deckblatt!$C$12,Language!$C$1:$D$730,289,FALSE)</f>
        <v xml:space="preserve">Bus- oder Straßenbahnhaltestelle: max. Gehdistanz 200m Luftlinie
</v>
      </c>
      <c r="F223" s="363"/>
      <c r="G223" s="69"/>
      <c r="H223" s="18">
        <v>5</v>
      </c>
      <c r="I223" s="379"/>
      <c r="J223" s="340"/>
      <c r="K223" s="341"/>
      <c r="L223" s="341"/>
      <c r="M223" s="341"/>
      <c r="N223" s="342"/>
      <c r="P223" s="18">
        <f t="shared" si="3"/>
        <v>0</v>
      </c>
      <c r="Q223" s="338"/>
      <c r="R223" s="344"/>
      <c r="S223" s="344"/>
      <c r="T223" s="344"/>
      <c r="U223" s="475"/>
    </row>
    <row r="224" spans="2:21" ht="37.200000000000003" customHeight="1" x14ac:dyDescent="0.25">
      <c r="B224" s="375"/>
      <c r="C224" s="351"/>
      <c r="D224" s="376"/>
      <c r="E224" s="134" t="str">
        <f>HLOOKUP(Deckblatt!$C$12,Language!$C$1:$D$730,290,FALSE)</f>
        <v xml:space="preserve">Gastronomie: Restaurant, Café, Kantine, Mensa, etc.
max. Gehdistanz 400 m Luftlinie
</v>
      </c>
      <c r="F224" s="363"/>
      <c r="G224" s="69"/>
      <c r="H224" s="18">
        <v>5</v>
      </c>
      <c r="I224" s="379"/>
      <c r="J224" s="340"/>
      <c r="K224" s="341"/>
      <c r="L224" s="341"/>
      <c r="M224" s="341"/>
      <c r="N224" s="342"/>
      <c r="P224" s="18">
        <f t="shared" si="3"/>
        <v>0</v>
      </c>
      <c r="Q224" s="338"/>
      <c r="R224" s="344"/>
      <c r="S224" s="344"/>
      <c r="T224" s="344"/>
      <c r="U224" s="475"/>
    </row>
    <row r="225" spans="2:21" ht="13.2" customHeight="1" x14ac:dyDescent="0.25">
      <c r="B225" s="375"/>
      <c r="C225" s="351" t="s">
        <v>64</v>
      </c>
      <c r="D225" s="352" t="str">
        <f>HLOOKUP(Deckblatt!$C$12,Language!$C$1:$D$730,292,FALSE)</f>
        <v>Barrierefreiheit der Verkehrsflächen</v>
      </c>
      <c r="E225" s="353"/>
      <c r="F225" s="363"/>
      <c r="G225" s="356"/>
      <c r="H225" s="21">
        <v>15</v>
      </c>
      <c r="I225" s="379"/>
      <c r="J225" s="340"/>
      <c r="K225" s="341"/>
      <c r="L225" s="341"/>
      <c r="M225" s="341"/>
      <c r="N225" s="342"/>
      <c r="P225" s="18">
        <f t="shared" si="3"/>
        <v>0</v>
      </c>
      <c r="Q225" s="338"/>
      <c r="R225" s="344"/>
      <c r="S225" s="344"/>
      <c r="T225" s="344"/>
      <c r="U225" s="475"/>
    </row>
    <row r="226" spans="2:21" x14ac:dyDescent="0.25">
      <c r="B226" s="375"/>
      <c r="C226" s="351"/>
      <c r="D226" s="376" t="s">
        <v>66</v>
      </c>
      <c r="E226" s="150" t="str">
        <f>HLOOKUP(Deckblatt!$C$12,Language!$C$1:$D$730,293,FALSE)</f>
        <v>Barrierefreie Bewegungsflächen</v>
      </c>
      <c r="F226" s="363"/>
      <c r="G226" s="356"/>
      <c r="H226" s="21">
        <v>15</v>
      </c>
      <c r="I226" s="379"/>
      <c r="J226" s="340"/>
      <c r="K226" s="341"/>
      <c r="L226" s="341"/>
      <c r="M226" s="341"/>
      <c r="N226" s="342"/>
      <c r="P226" s="18">
        <f t="shared" si="3"/>
        <v>0</v>
      </c>
      <c r="Q226" s="338"/>
      <c r="R226" s="344"/>
      <c r="S226" s="344"/>
      <c r="T226" s="344"/>
      <c r="U226" s="475"/>
    </row>
    <row r="227" spans="2:21" ht="52.8" x14ac:dyDescent="0.25">
      <c r="B227" s="375"/>
      <c r="C227" s="351"/>
      <c r="D227" s="376"/>
      <c r="E227" s="134" t="str">
        <f>HLOOKUP(Deckblatt!$C$12,Language!$C$1:$D$730,294,FALSE)</f>
        <v xml:space="preserve">Breite der Bewegungsfläche auf Gehwegen im Umfeld von Schulen, Kinderbetreuungseinrichtungen, Freizeit- und Pflegeeinrichtungen, Einkaufszentren, bei Fußgängerüberwegen und Furten: 3 m
</v>
      </c>
      <c r="F227" s="363"/>
      <c r="G227" s="69"/>
      <c r="H227" s="18">
        <v>2</v>
      </c>
      <c r="I227" s="379"/>
      <c r="J227" s="340"/>
      <c r="K227" s="341"/>
      <c r="L227" s="341"/>
      <c r="M227" s="341"/>
      <c r="N227" s="342"/>
      <c r="P227" s="18">
        <f t="shared" si="3"/>
        <v>0</v>
      </c>
      <c r="Q227" s="338"/>
      <c r="R227" s="344"/>
      <c r="S227" s="344"/>
      <c r="T227" s="344"/>
      <c r="U227" s="475"/>
    </row>
    <row r="228" spans="2:21" ht="39.6" x14ac:dyDescent="0.25">
      <c r="B228" s="375"/>
      <c r="C228" s="351"/>
      <c r="D228" s="376"/>
      <c r="E228" s="134" t="str">
        <f>HLOOKUP(Deckblatt!$C$12,Language!$C$1:$D$730,295,FALSE)</f>
        <v xml:space="preserve">Breite der Bewegungsfläche von Gehwegen an der schmalsten Stelle (im Straßenraum und in Freiflächen): 1,5 m
</v>
      </c>
      <c r="F228" s="363"/>
      <c r="G228" s="69"/>
      <c r="H228" s="18">
        <v>2</v>
      </c>
      <c r="I228" s="379"/>
      <c r="J228" s="340"/>
      <c r="K228" s="341"/>
      <c r="L228" s="341"/>
      <c r="M228" s="341"/>
      <c r="N228" s="342"/>
      <c r="P228" s="18">
        <f t="shared" si="3"/>
        <v>0</v>
      </c>
      <c r="Q228" s="338"/>
      <c r="R228" s="344"/>
      <c r="S228" s="344"/>
      <c r="T228" s="344"/>
      <c r="U228" s="475"/>
    </row>
    <row r="229" spans="2:21" ht="39.6" x14ac:dyDescent="0.25">
      <c r="B229" s="375"/>
      <c r="C229" s="351"/>
      <c r="D229" s="376"/>
      <c r="E229" s="134" t="str">
        <f>HLOOKUP(Deckblatt!$C$12,Language!$C$1:$D$730,296,FALSE)</f>
        <v xml:space="preserve">Breite der Bewegungsfläche auf Nebengehwegen, in Durchgängen an Kassen und Kontrollen: 0,9 m
</v>
      </c>
      <c r="F229" s="363"/>
      <c r="G229" s="69"/>
      <c r="H229" s="18">
        <v>2</v>
      </c>
      <c r="I229" s="379"/>
      <c r="J229" s="340"/>
      <c r="K229" s="341"/>
      <c r="L229" s="341"/>
      <c r="M229" s="341"/>
      <c r="N229" s="342"/>
      <c r="P229" s="18">
        <f t="shared" si="3"/>
        <v>0</v>
      </c>
      <c r="Q229" s="338"/>
      <c r="R229" s="344"/>
      <c r="S229" s="344"/>
      <c r="T229" s="344"/>
      <c r="U229" s="475"/>
    </row>
    <row r="230" spans="2:21" ht="52.8" x14ac:dyDescent="0.25">
      <c r="B230" s="375"/>
      <c r="C230" s="351"/>
      <c r="D230" s="376"/>
      <c r="E230" s="134" t="str">
        <f>HLOOKUP(Deckblatt!$C$12,Language!$C$1:$D$730,297,FALSE)</f>
        <v xml:space="preserve">Verweilplätze vor öffentlichen Einrichtungen: 1,5x1,5 m
(z.B. als Wendemöglichkeit, als Ruhe- oder Verweilfläche, am Anfang und Ende einer Rampe, vor Haus- und Gebäudeeingängen etc.)
</v>
      </c>
      <c r="F230" s="363"/>
      <c r="G230" s="69"/>
      <c r="H230" s="18">
        <v>2</v>
      </c>
      <c r="I230" s="379"/>
      <c r="J230" s="340"/>
      <c r="K230" s="341"/>
      <c r="L230" s="341"/>
      <c r="M230" s="341"/>
      <c r="N230" s="342"/>
      <c r="P230" s="18">
        <f t="shared" si="3"/>
        <v>0</v>
      </c>
      <c r="Q230" s="338"/>
      <c r="R230" s="344"/>
      <c r="S230" s="344"/>
      <c r="T230" s="344"/>
      <c r="U230" s="475"/>
    </row>
    <row r="231" spans="2:21" ht="39.6" x14ac:dyDescent="0.25">
      <c r="B231" s="375"/>
      <c r="C231" s="351"/>
      <c r="D231" s="376"/>
      <c r="E231" s="134" t="str">
        <f>HLOOKUP(Deckblatt!$C$12,Language!$C$1:$D$730,298,FALSE)</f>
        <v xml:space="preserve">Bewegungsfläche innerhalb der Gehwege: 2,0 x 2,5 m (nach max. 18m, innerhalb der Sichtweite)
</v>
      </c>
      <c r="F231" s="363"/>
      <c r="G231" s="69"/>
      <c r="H231" s="18">
        <v>2</v>
      </c>
      <c r="I231" s="379"/>
      <c r="J231" s="340"/>
      <c r="K231" s="341"/>
      <c r="L231" s="341"/>
      <c r="M231" s="341"/>
      <c r="N231" s="342"/>
      <c r="P231" s="18">
        <f t="shared" si="3"/>
        <v>0</v>
      </c>
      <c r="Q231" s="338"/>
      <c r="R231" s="344"/>
      <c r="S231" s="344"/>
      <c r="T231" s="344"/>
      <c r="U231" s="475"/>
    </row>
    <row r="232" spans="2:21" ht="39.6" x14ac:dyDescent="0.25">
      <c r="B232" s="375"/>
      <c r="C232" s="351"/>
      <c r="D232" s="376"/>
      <c r="E232" s="134" t="str">
        <f>HLOOKUP(Deckblatt!$C$12,Language!$C$1:$D$730,299,FALSE)</f>
        <v xml:space="preserve">Gehwege mit Längsgefälle von 0-3% ausführen, wenn nötig bei 3-6 % Gefälle nur Verweilplätzen spätestens alle 10 m
</v>
      </c>
      <c r="F232" s="363"/>
      <c r="G232" s="69"/>
      <c r="H232" s="18">
        <v>2</v>
      </c>
      <c r="I232" s="379"/>
      <c r="J232" s="340"/>
      <c r="K232" s="341"/>
      <c r="L232" s="341"/>
      <c r="M232" s="341"/>
      <c r="N232" s="342"/>
      <c r="P232" s="18">
        <f t="shared" si="3"/>
        <v>0</v>
      </c>
      <c r="Q232" s="338"/>
      <c r="R232" s="344"/>
      <c r="S232" s="344"/>
      <c r="T232" s="344"/>
      <c r="U232" s="475"/>
    </row>
    <row r="233" spans="2:21" ht="39.6" x14ac:dyDescent="0.25">
      <c r="B233" s="375"/>
      <c r="C233" s="351"/>
      <c r="D233" s="376"/>
      <c r="E233" s="134" t="str">
        <f>HLOOKUP(Deckblatt!$C$12,Language!$C$1:$D$730,300,FALSE)</f>
        <v xml:space="preserve">Verkehrsberuhigter Straßenraum: Orientierung schaffen mittels taktil und optisch kontrastierendem Leitsystem
</v>
      </c>
      <c r="F233" s="363"/>
      <c r="G233" s="69"/>
      <c r="H233" s="18">
        <v>2</v>
      </c>
      <c r="I233" s="379"/>
      <c r="J233" s="340"/>
      <c r="K233" s="341"/>
      <c r="L233" s="341"/>
      <c r="M233" s="341"/>
      <c r="N233" s="342"/>
      <c r="P233" s="18">
        <f t="shared" si="3"/>
        <v>0</v>
      </c>
      <c r="Q233" s="338"/>
      <c r="R233" s="344"/>
      <c r="S233" s="344"/>
      <c r="T233" s="344"/>
      <c r="U233" s="475"/>
    </row>
    <row r="234" spans="2:21" ht="39.6" x14ac:dyDescent="0.25">
      <c r="B234" s="375"/>
      <c r="C234" s="351"/>
      <c r="D234" s="376"/>
      <c r="E234" s="134" t="str">
        <f>HLOOKUP(Deckblatt!$C$12,Language!$C$1:$D$730,301,FALSE)</f>
        <v xml:space="preserve">Zugang, Fußgängerüberweg und Furt mit abgesenktem Bürgersteig, senkrecht zur Straße, ohne Sichthindernisse
</v>
      </c>
      <c r="F234" s="363"/>
      <c r="G234" s="69"/>
      <c r="H234" s="18">
        <v>2</v>
      </c>
      <c r="I234" s="379"/>
      <c r="J234" s="340"/>
      <c r="K234" s="341"/>
      <c r="L234" s="341"/>
      <c r="M234" s="341"/>
      <c r="N234" s="342"/>
      <c r="P234" s="18">
        <f t="shared" si="3"/>
        <v>0</v>
      </c>
      <c r="Q234" s="338"/>
      <c r="R234" s="344"/>
      <c r="S234" s="344"/>
      <c r="T234" s="344"/>
      <c r="U234" s="475"/>
    </row>
    <row r="235" spans="2:21" ht="39.6" x14ac:dyDescent="0.25">
      <c r="B235" s="375"/>
      <c r="C235" s="351"/>
      <c r="D235" s="376"/>
      <c r="E235" s="134" t="str">
        <f>HLOOKUP(Deckblatt!$C$12,Language!$C$1:$D$730,302,FALSE)</f>
        <v xml:space="preserve">Unterschiedliche Ebenen sind mittels DIN-konformen Rampen oder Aufzügen zugängig zu machen (evtl. auch Fahrtreppe oder Fahrsteig).
</v>
      </c>
      <c r="F235" s="363"/>
      <c r="G235" s="69"/>
      <c r="H235" s="18">
        <v>2</v>
      </c>
      <c r="I235" s="379"/>
      <c r="J235" s="340"/>
      <c r="K235" s="341"/>
      <c r="L235" s="341"/>
      <c r="M235" s="341"/>
      <c r="N235" s="342"/>
      <c r="P235" s="18">
        <f t="shared" si="3"/>
        <v>0</v>
      </c>
      <c r="Q235" s="338"/>
      <c r="R235" s="344"/>
      <c r="S235" s="344"/>
      <c r="T235" s="344"/>
      <c r="U235" s="475"/>
    </row>
    <row r="236" spans="2:21" ht="55.2" customHeight="1" x14ac:dyDescent="0.25">
      <c r="B236" s="375"/>
      <c r="C236" s="351"/>
      <c r="D236" s="376"/>
      <c r="E236" s="134" t="str">
        <f>HLOOKUP(Deckblatt!$C$12,Language!$C$1:$D$730,303,FALSE)</f>
        <v xml:space="preserve">Barrierefreie Haltestellen ÖPNV (zu überwindende Höhenunterschiede und Abstände ≤ 3 cm, Einstiegstellen markiert, Witterungsschutz, Bewegungsflächen nicht von Radwegen gequert)
</v>
      </c>
      <c r="F236" s="363"/>
      <c r="G236" s="69"/>
      <c r="H236" s="18">
        <v>2</v>
      </c>
      <c r="I236" s="379"/>
      <c r="J236" s="340"/>
      <c r="K236" s="341"/>
      <c r="L236" s="341"/>
      <c r="M236" s="341"/>
      <c r="N236" s="342"/>
      <c r="P236" s="18">
        <f t="shared" si="3"/>
        <v>0</v>
      </c>
      <c r="Q236" s="338"/>
      <c r="R236" s="344"/>
      <c r="S236" s="344"/>
      <c r="T236" s="344"/>
      <c r="U236" s="475"/>
    </row>
    <row r="237" spans="2:21" ht="62.4" customHeight="1" x14ac:dyDescent="0.25">
      <c r="B237" s="375"/>
      <c r="C237" s="351"/>
      <c r="D237" s="376"/>
      <c r="E237"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37" s="363"/>
      <c r="G237" s="69"/>
      <c r="H237" s="18">
        <v>2</v>
      </c>
      <c r="I237" s="379"/>
      <c r="J237" s="340"/>
      <c r="K237" s="341"/>
      <c r="L237" s="341"/>
      <c r="M237" s="341"/>
      <c r="N237" s="342"/>
      <c r="P237" s="18">
        <f t="shared" si="3"/>
        <v>0</v>
      </c>
      <c r="Q237" s="338"/>
      <c r="R237" s="344"/>
      <c r="S237" s="344"/>
      <c r="T237" s="344"/>
      <c r="U237" s="475"/>
    </row>
    <row r="238" spans="2:21" ht="13.2" customHeight="1" x14ac:dyDescent="0.25">
      <c r="B238" s="375"/>
      <c r="C238" s="351" t="s">
        <v>67</v>
      </c>
      <c r="D238" s="352" t="str">
        <f>HLOOKUP(Deckblatt!$C$12,Language!$C$1:$D$730,306,FALSE)</f>
        <v>Visuelle Informationen im öffentlichen Raum</v>
      </c>
      <c r="E238" s="353"/>
      <c r="F238" s="363"/>
      <c r="G238" s="356"/>
      <c r="H238" s="21">
        <v>10</v>
      </c>
      <c r="I238" s="379"/>
      <c r="J238" s="340"/>
      <c r="K238" s="341"/>
      <c r="L238" s="341"/>
      <c r="M238" s="341"/>
      <c r="N238" s="342"/>
      <c r="P238" s="18">
        <f t="shared" si="3"/>
        <v>0</v>
      </c>
      <c r="Q238" s="338"/>
      <c r="R238" s="344"/>
      <c r="S238" s="344"/>
      <c r="T238" s="344"/>
      <c r="U238" s="475"/>
    </row>
    <row r="239" spans="2:21" x14ac:dyDescent="0.25">
      <c r="B239" s="375"/>
      <c r="C239" s="351"/>
      <c r="D239" s="376" t="s">
        <v>69</v>
      </c>
      <c r="E239" s="150" t="str">
        <f>HLOOKUP(Deckblatt!$C$12,Language!$C$1:$D$730,307,FALSE)</f>
        <v>Visuelle Informationselemente</v>
      </c>
      <c r="F239" s="363"/>
      <c r="G239" s="356"/>
      <c r="H239" s="21">
        <v>10</v>
      </c>
      <c r="I239" s="379"/>
      <c r="J239" s="340"/>
      <c r="K239" s="341"/>
      <c r="L239" s="341"/>
      <c r="M239" s="341"/>
      <c r="N239" s="342"/>
      <c r="P239" s="18">
        <f t="shared" si="3"/>
        <v>0</v>
      </c>
      <c r="Q239" s="338"/>
      <c r="R239" s="344"/>
      <c r="S239" s="344"/>
      <c r="T239" s="344"/>
      <c r="U239" s="475"/>
    </row>
    <row r="240" spans="2:21" ht="52.8" x14ac:dyDescent="0.25">
      <c r="B240" s="375"/>
      <c r="C240" s="351"/>
      <c r="D240" s="376"/>
      <c r="E240" s="134" t="str">
        <f>HLOOKUP(Deckblatt!$C$12,Language!$C$1:$D$730,308,FALSE)</f>
        <v xml:space="preserve">Einhaltung der vorgeschriebenen Kontraste bei Schrift- und Bildzeichen, besonders mit Notfall- und Warnfunktionen sowie bei Informationsträgern (Besondere Vorsicht bei Sonderlösungen!)
</v>
      </c>
      <c r="F240" s="363"/>
      <c r="G240" s="69"/>
      <c r="H240" s="18">
        <v>2</v>
      </c>
      <c r="I240" s="379"/>
      <c r="J240" s="340"/>
      <c r="K240" s="341"/>
      <c r="L240" s="341"/>
      <c r="M240" s="341"/>
      <c r="N240" s="342"/>
      <c r="P240" s="18">
        <f t="shared" si="3"/>
        <v>0</v>
      </c>
      <c r="Q240" s="338"/>
      <c r="R240" s="344"/>
      <c r="S240" s="344"/>
      <c r="T240" s="344"/>
      <c r="U240" s="475"/>
    </row>
    <row r="241" spans="2:21" ht="52.8" x14ac:dyDescent="0.25">
      <c r="B241" s="375"/>
      <c r="C241" s="351"/>
      <c r="D241" s="376"/>
      <c r="E241" s="134" t="str">
        <f>HLOOKUP(Deckblatt!$C$12,Language!$C$1:$D$730,309,FALSE)</f>
        <v xml:space="preserve">Realisierung einer gleichmäßigen, blendfreien Grundbeleuchtung mit akzentuierter Beleuchtung wichtiger Bereiche (z. B. Treppen) und möglicher Ziele (z. B. Informationstafeln)
</v>
      </c>
      <c r="F241" s="363"/>
      <c r="G241" s="69"/>
      <c r="H241" s="18">
        <v>2</v>
      </c>
      <c r="I241" s="379"/>
      <c r="J241" s="340"/>
      <c r="K241" s="341"/>
      <c r="L241" s="341"/>
      <c r="M241" s="341"/>
      <c r="N241" s="342"/>
      <c r="P241" s="18">
        <f t="shared" si="3"/>
        <v>0</v>
      </c>
      <c r="Q241" s="338"/>
      <c r="R241" s="344"/>
      <c r="S241" s="344"/>
      <c r="T241" s="344"/>
      <c r="U241" s="475"/>
    </row>
    <row r="242" spans="2:21" ht="26.4" x14ac:dyDescent="0.25">
      <c r="B242" s="375"/>
      <c r="C242" s="351"/>
      <c r="D242" s="376"/>
      <c r="E242" s="134" t="str">
        <f>HLOOKUP(Deckblatt!$C$12,Language!$C$1:$D$730,310,FALSE)</f>
        <v xml:space="preserve">Wahl hilfreicher Farbkombinationen von Sehobjekt und Umfeld
</v>
      </c>
      <c r="F242" s="363"/>
      <c r="G242" s="69"/>
      <c r="H242" s="18">
        <v>2</v>
      </c>
      <c r="I242" s="379"/>
      <c r="J242" s="340"/>
      <c r="K242" s="341"/>
      <c r="L242" s="341"/>
      <c r="M242" s="341"/>
      <c r="N242" s="342"/>
      <c r="P242" s="18">
        <f t="shared" si="3"/>
        <v>0</v>
      </c>
      <c r="Q242" s="338"/>
      <c r="R242" s="344"/>
      <c r="S242" s="344"/>
      <c r="T242" s="344"/>
      <c r="U242" s="475"/>
    </row>
    <row r="243" spans="2:21" ht="39.6" x14ac:dyDescent="0.25">
      <c r="B243" s="375"/>
      <c r="C243" s="351"/>
      <c r="D243" s="376"/>
      <c r="E243" s="134" t="str">
        <f>HLOOKUP(Deckblatt!$C$12,Language!$C$1:$D$730,311,FALSE)</f>
        <v xml:space="preserve">Einhaltung der Mindestzeichengröße in Abhängigkeit von der Beobachterentfernung
</v>
      </c>
      <c r="F243" s="363"/>
      <c r="G243" s="69"/>
      <c r="H243" s="18">
        <v>2</v>
      </c>
      <c r="I243" s="379"/>
      <c r="J243" s="340"/>
      <c r="K243" s="341"/>
      <c r="L243" s="341"/>
      <c r="M243" s="341"/>
      <c r="N243" s="342"/>
      <c r="P243" s="18">
        <f t="shared" si="3"/>
        <v>0</v>
      </c>
      <c r="Q243" s="338"/>
      <c r="R243" s="344"/>
      <c r="S243" s="344"/>
      <c r="T243" s="344"/>
      <c r="U243" s="475"/>
    </row>
    <row r="244" spans="2:21" ht="26.4" x14ac:dyDescent="0.25">
      <c r="B244" s="375"/>
      <c r="C244" s="351"/>
      <c r="D244" s="376"/>
      <c r="E244" s="134" t="str">
        <f>HLOOKUP(Deckblatt!$C$12,Language!$C$1:$D$730,312,FALSE)</f>
        <v xml:space="preserve">Anbringung und Beständigkeit visueller Informationen
</v>
      </c>
      <c r="F244" s="363"/>
      <c r="G244" s="69"/>
      <c r="H244" s="18">
        <v>2</v>
      </c>
      <c r="I244" s="379"/>
      <c r="J244" s="340"/>
      <c r="K244" s="341"/>
      <c r="L244" s="341"/>
      <c r="M244" s="341"/>
      <c r="N244" s="342"/>
      <c r="P244" s="18">
        <f t="shared" si="3"/>
        <v>0</v>
      </c>
      <c r="Q244" s="338"/>
      <c r="R244" s="344"/>
      <c r="S244" s="344"/>
      <c r="T244" s="344"/>
      <c r="U244" s="475"/>
    </row>
    <row r="245" spans="2:21" ht="39.6" x14ac:dyDescent="0.25">
      <c r="B245" s="375"/>
      <c r="C245" s="351"/>
      <c r="D245" s="376"/>
      <c r="E245" s="134" t="str">
        <f>HLOOKUP(Deckblatt!$C$12,Language!$C$1:$D$730,313,FALSE)</f>
        <v xml:space="preserve">Leichte Verständlichkeit und Eindeutigkeit (Verwendung leichter
Sprache)
</v>
      </c>
      <c r="F245" s="363"/>
      <c r="G245" s="69"/>
      <c r="H245" s="18">
        <v>2</v>
      </c>
      <c r="I245" s="379"/>
      <c r="J245" s="340"/>
      <c r="K245" s="341"/>
      <c r="L245" s="341"/>
      <c r="M245" s="341"/>
      <c r="N245" s="342"/>
      <c r="P245" s="18">
        <f t="shared" si="3"/>
        <v>0</v>
      </c>
      <c r="Q245" s="338"/>
      <c r="R245" s="344"/>
      <c r="S245" s="344"/>
      <c r="T245" s="344"/>
      <c r="U245" s="475"/>
    </row>
    <row r="246" spans="2:21" ht="39.6" x14ac:dyDescent="0.25">
      <c r="B246" s="375"/>
      <c r="C246" s="351"/>
      <c r="D246" s="376"/>
      <c r="E246" s="134" t="str">
        <f>HLOOKUP(Deckblatt!$C$12,Language!$C$1:$D$730,314,FALSE)</f>
        <v xml:space="preserve">Semantische Gruppierung (Informationselemente mit verwandten Inhalten sollten zu Gruppen räumlich zusammengefasst werden)
</v>
      </c>
      <c r="F246" s="363"/>
      <c r="G246" s="69"/>
      <c r="H246" s="18">
        <v>2</v>
      </c>
      <c r="I246" s="379"/>
      <c r="J246" s="340"/>
      <c r="K246" s="341"/>
      <c r="L246" s="341"/>
      <c r="M246" s="341"/>
      <c r="N246" s="342"/>
      <c r="P246" s="18">
        <f t="shared" si="3"/>
        <v>0</v>
      </c>
      <c r="Q246" s="338"/>
      <c r="R246" s="344"/>
      <c r="S246" s="344"/>
      <c r="T246" s="344"/>
      <c r="U246" s="475"/>
    </row>
    <row r="247" spans="2:21" ht="39.6" x14ac:dyDescent="0.25">
      <c r="B247" s="375"/>
      <c r="C247" s="351"/>
      <c r="D247" s="376"/>
      <c r="E247" s="134" t="str">
        <f>HLOOKUP(Deckblatt!$C$12,Language!$C$1:$D$730,315,FALSE)</f>
        <v xml:space="preserve">Informationselemente, die einen Fortbewegungsprozess steuern und begleiten, sollen eine kontinuierliche Informationskette bilden
</v>
      </c>
      <c r="F247" s="363"/>
      <c r="G247" s="69"/>
      <c r="H247" s="18">
        <v>2</v>
      </c>
      <c r="I247" s="379"/>
      <c r="J247" s="340"/>
      <c r="K247" s="341"/>
      <c r="L247" s="341"/>
      <c r="M247" s="341"/>
      <c r="N247" s="342"/>
      <c r="P247" s="18">
        <f t="shared" si="3"/>
        <v>0</v>
      </c>
      <c r="Q247" s="338"/>
      <c r="R247" s="344"/>
      <c r="S247" s="344"/>
      <c r="T247" s="344"/>
      <c r="U247" s="475"/>
    </row>
    <row r="248" spans="2:21" ht="13.2" customHeight="1" x14ac:dyDescent="0.25">
      <c r="B248" s="375"/>
      <c r="C248" s="351" t="s">
        <v>154</v>
      </c>
      <c r="D248" s="352" t="str">
        <f>HLOOKUP(Deckblatt!$C$12,Language!$C$1:$D$730,316,FALSE)</f>
        <v>Bodenindikatoren im öffentlichen Raum</v>
      </c>
      <c r="E248" s="353"/>
      <c r="F248" s="363"/>
      <c r="G248" s="356"/>
      <c r="H248" s="21">
        <v>8</v>
      </c>
      <c r="I248" s="379"/>
      <c r="J248" s="340"/>
      <c r="K248" s="341"/>
      <c r="L248" s="341"/>
      <c r="M248" s="341"/>
      <c r="N248" s="342"/>
      <c r="P248" s="18">
        <f t="shared" si="3"/>
        <v>0</v>
      </c>
      <c r="Q248" s="338"/>
      <c r="R248" s="344"/>
      <c r="S248" s="344"/>
      <c r="T248" s="344"/>
      <c r="U248" s="475"/>
    </row>
    <row r="249" spans="2:21" x14ac:dyDescent="0.25">
      <c r="B249" s="375"/>
      <c r="C249" s="351"/>
      <c r="D249" s="376" t="s">
        <v>156</v>
      </c>
      <c r="E249" s="150" t="str">
        <f>HLOOKUP(Deckblatt!$C$12,Language!$C$1:$D$730,317,FALSE)</f>
        <v>Oberflächenschutzmaßnahmen</v>
      </c>
      <c r="F249" s="363"/>
      <c r="G249" s="356"/>
      <c r="H249" s="21">
        <v>8</v>
      </c>
      <c r="I249" s="379"/>
      <c r="J249" s="340"/>
      <c r="K249" s="341"/>
      <c r="L249" s="341"/>
      <c r="M249" s="341"/>
      <c r="N249" s="342"/>
      <c r="P249" s="18">
        <f t="shared" si="3"/>
        <v>0</v>
      </c>
      <c r="Q249" s="338"/>
      <c r="R249" s="344"/>
      <c r="S249" s="344"/>
      <c r="T249" s="344"/>
      <c r="U249" s="475"/>
    </row>
    <row r="250" spans="2:21" ht="25.2" customHeight="1" x14ac:dyDescent="0.25">
      <c r="B250" s="375"/>
      <c r="C250" s="351"/>
      <c r="D250" s="376"/>
      <c r="E250" s="134" t="str">
        <f>HLOOKUP(Deckblatt!$C$12,Language!$C$1:$D$730,318,FALSE)</f>
        <v>Eine einheitliche Orientierung der Oberflächenstruktur z. B. an Querungsstellen</v>
      </c>
      <c r="F250" s="363"/>
      <c r="G250" s="69"/>
      <c r="H250" s="18">
        <v>2</v>
      </c>
      <c r="I250" s="379"/>
      <c r="J250" s="340"/>
      <c r="K250" s="341"/>
      <c r="L250" s="341"/>
      <c r="M250" s="341"/>
      <c r="N250" s="342"/>
      <c r="P250" s="18">
        <f t="shared" si="3"/>
        <v>0</v>
      </c>
      <c r="Q250" s="338"/>
      <c r="R250" s="344"/>
      <c r="S250" s="344"/>
      <c r="T250" s="344"/>
      <c r="U250" s="475"/>
    </row>
    <row r="251" spans="2:21" ht="26.4" x14ac:dyDescent="0.25">
      <c r="B251" s="375"/>
      <c r="C251" s="351"/>
      <c r="D251" s="376"/>
      <c r="E251" s="134" t="str">
        <f>HLOOKUP(Deckblatt!$C$12,Language!$C$1:$D$730,319,FALSE)</f>
        <v xml:space="preserve">Systematische Wiederkehrbarkeit
</v>
      </c>
      <c r="F251" s="363"/>
      <c r="G251" s="69"/>
      <c r="H251" s="18">
        <v>2</v>
      </c>
      <c r="I251" s="379"/>
      <c r="J251" s="340"/>
      <c r="K251" s="341"/>
      <c r="L251" s="341"/>
      <c r="M251" s="341"/>
      <c r="N251" s="342"/>
      <c r="P251" s="18">
        <f t="shared" si="3"/>
        <v>0</v>
      </c>
      <c r="Q251" s="338"/>
      <c r="R251" s="344"/>
      <c r="S251" s="344"/>
      <c r="T251" s="344"/>
      <c r="U251" s="475"/>
    </row>
    <row r="252" spans="2:21" ht="26.4" x14ac:dyDescent="0.25">
      <c r="B252" s="375"/>
      <c r="C252" s="351"/>
      <c r="D252" s="376"/>
      <c r="E252" s="134" t="str">
        <f>HLOOKUP(Deckblatt!$C$12,Language!$C$1:$D$730,320,FALSE)</f>
        <v xml:space="preserve">Rutschhemmende Eigenschaften
</v>
      </c>
      <c r="F252" s="363"/>
      <c r="G252" s="69"/>
      <c r="H252" s="18">
        <v>2</v>
      </c>
      <c r="I252" s="379"/>
      <c r="J252" s="340"/>
      <c r="K252" s="341"/>
      <c r="L252" s="341"/>
      <c r="M252" s="341"/>
      <c r="N252" s="342"/>
      <c r="P252" s="18">
        <f t="shared" si="3"/>
        <v>0</v>
      </c>
      <c r="Q252" s="338"/>
      <c r="R252" s="344"/>
      <c r="S252" s="344"/>
      <c r="T252" s="344"/>
      <c r="U252" s="475"/>
    </row>
    <row r="253" spans="2:21" ht="26.4" x14ac:dyDescent="0.25">
      <c r="B253" s="375"/>
      <c r="C253" s="351"/>
      <c r="D253" s="376"/>
      <c r="E253" s="134" t="str">
        <f>HLOOKUP(Deckblatt!$C$12,Language!$C$1:$D$730,321,FALSE)</f>
        <v xml:space="preserve">Kontrastierende Begleitstreifen mit Leuchtdichtekontrast (K&gt; 0,4)
</v>
      </c>
      <c r="F253" s="363"/>
      <c r="G253" s="69"/>
      <c r="H253" s="18">
        <v>2</v>
      </c>
      <c r="I253" s="379"/>
      <c r="J253" s="340"/>
      <c r="K253" s="341"/>
      <c r="L253" s="341"/>
      <c r="M253" s="341"/>
      <c r="N253" s="342"/>
      <c r="P253" s="18">
        <f t="shared" si="3"/>
        <v>0</v>
      </c>
      <c r="Q253" s="338"/>
      <c r="R253" s="344"/>
      <c r="S253" s="344"/>
      <c r="T253" s="344"/>
      <c r="U253" s="475"/>
    </row>
    <row r="254" spans="2:21" ht="27" customHeight="1" x14ac:dyDescent="0.25">
      <c r="B254" s="375"/>
      <c r="C254" s="351"/>
      <c r="D254" s="376"/>
      <c r="E254" s="134" t="str">
        <f>HLOOKUP(Deckblatt!$C$12,Language!$C$1:$D$730,322,FALSE)</f>
        <v xml:space="preserve">Sicherheitsabstand zur Bordsteinkante
</v>
      </c>
      <c r="F254" s="363"/>
      <c r="G254" s="69"/>
      <c r="H254" s="18">
        <v>2</v>
      </c>
      <c r="I254" s="379"/>
      <c r="J254" s="340"/>
      <c r="K254" s="341"/>
      <c r="L254" s="341"/>
      <c r="M254" s="341"/>
      <c r="N254" s="342"/>
      <c r="P254" s="18">
        <f t="shared" si="3"/>
        <v>0</v>
      </c>
      <c r="Q254" s="338"/>
      <c r="R254" s="344"/>
      <c r="S254" s="344"/>
      <c r="T254" s="344"/>
      <c r="U254" s="475"/>
    </row>
    <row r="255" spans="2:21" ht="13.2" customHeight="1" x14ac:dyDescent="0.25">
      <c r="B255" s="375"/>
      <c r="C255" s="351" t="s">
        <v>157</v>
      </c>
      <c r="D255" s="352" t="str">
        <f>HLOOKUP(Deckblatt!$C$12,Language!$C$1:$D$730,323,FALSE)</f>
        <v>Zusatzeinrichtung für Blinde</v>
      </c>
      <c r="E255" s="353"/>
      <c r="F255" s="363"/>
      <c r="G255" s="356"/>
      <c r="H255" s="21">
        <v>4</v>
      </c>
      <c r="I255" s="379"/>
      <c r="J255" s="340"/>
      <c r="K255" s="341"/>
      <c r="L255" s="341"/>
      <c r="M255" s="341"/>
      <c r="N255" s="342"/>
      <c r="P255" s="18">
        <f t="shared" si="3"/>
        <v>0</v>
      </c>
      <c r="Q255" s="338"/>
      <c r="R255" s="344"/>
      <c r="S255" s="344"/>
      <c r="T255" s="344"/>
      <c r="U255" s="475"/>
    </row>
    <row r="256" spans="2:21" x14ac:dyDescent="0.25">
      <c r="B256" s="375"/>
      <c r="C256" s="351"/>
      <c r="D256" s="376" t="s">
        <v>159</v>
      </c>
      <c r="E256" s="150" t="str">
        <f>HLOOKUP(Deckblatt!$C$12,Language!$C$1:$D$730,324,FALSE)</f>
        <v>Signalanlagen im Straßenverkehr</v>
      </c>
      <c r="F256" s="363"/>
      <c r="G256" s="356"/>
      <c r="H256" s="21">
        <v>4</v>
      </c>
      <c r="I256" s="379"/>
      <c r="J256" s="340"/>
      <c r="K256" s="341"/>
      <c r="L256" s="341"/>
      <c r="M256" s="341"/>
      <c r="N256" s="342"/>
      <c r="P256" s="18">
        <f t="shared" si="3"/>
        <v>0</v>
      </c>
      <c r="Q256" s="338"/>
      <c r="R256" s="344"/>
      <c r="S256" s="344"/>
      <c r="T256" s="344"/>
      <c r="U256" s="475"/>
    </row>
    <row r="257" spans="2:21" ht="39.6" x14ac:dyDescent="0.25">
      <c r="B257" s="375"/>
      <c r="C257" s="351"/>
      <c r="D257" s="376"/>
      <c r="E257" s="134" t="str">
        <f>HLOOKUP(Deckblatt!$C$12,Language!$C$1:$D$730,325,FALSE)</f>
        <v xml:space="preserve">Erleichtertes Auffinden der Fußgängerfurt sowie des Signalgebermastes mittels Anforderungstaster und taktiler Zeichen
</v>
      </c>
      <c r="F257" s="363"/>
      <c r="G257" s="69"/>
      <c r="H257" s="18">
        <v>2</v>
      </c>
      <c r="I257" s="379"/>
      <c r="J257" s="340"/>
      <c r="K257" s="341"/>
      <c r="L257" s="341"/>
      <c r="M257" s="341"/>
      <c r="N257" s="342"/>
      <c r="P257" s="18">
        <f t="shared" si="3"/>
        <v>0</v>
      </c>
      <c r="Q257" s="338"/>
      <c r="R257" s="344"/>
      <c r="S257" s="344"/>
      <c r="T257" s="344"/>
      <c r="U257" s="475"/>
    </row>
    <row r="258" spans="2:21" ht="22.95" customHeight="1" x14ac:dyDescent="0.25">
      <c r="B258" s="375"/>
      <c r="C258" s="351"/>
      <c r="D258" s="376"/>
      <c r="E258" s="134" t="str">
        <f>HLOOKUP(Deckblatt!$C$12,Language!$C$1:$D$730,326,FALSE)</f>
        <v xml:space="preserve">Erkennbarkeit des Freigabesignals für die Fußgängerfurt
</v>
      </c>
      <c r="F258" s="363"/>
      <c r="G258" s="69"/>
      <c r="H258" s="18">
        <v>2</v>
      </c>
      <c r="I258" s="379"/>
      <c r="J258" s="340"/>
      <c r="K258" s="341"/>
      <c r="L258" s="341"/>
      <c r="M258" s="341"/>
      <c r="N258" s="342"/>
      <c r="P258" s="18">
        <f t="shared" si="3"/>
        <v>0</v>
      </c>
      <c r="Q258" s="338"/>
      <c r="R258" s="344"/>
      <c r="S258" s="344"/>
      <c r="T258" s="344"/>
      <c r="U258" s="475"/>
    </row>
    <row r="259" spans="2:21" ht="22.95" customHeight="1" x14ac:dyDescent="0.25">
      <c r="B259" s="375"/>
      <c r="C259" s="351"/>
      <c r="D259" s="376"/>
      <c r="E259" s="134" t="str">
        <f>HLOOKUP(Deckblatt!$C$12,Language!$C$1:$D$730,327,FALSE)</f>
        <v xml:space="preserve">Sicheres und gradliniges Überqueren der Straße möglich
</v>
      </c>
      <c r="F259" s="363"/>
      <c r="G259" s="69"/>
      <c r="H259" s="18">
        <v>2</v>
      </c>
      <c r="I259" s="379"/>
      <c r="J259" s="340"/>
      <c r="K259" s="341"/>
      <c r="L259" s="341"/>
      <c r="M259" s="341"/>
      <c r="N259" s="342"/>
      <c r="P259" s="18">
        <f t="shared" si="3"/>
        <v>0</v>
      </c>
      <c r="Q259" s="338"/>
      <c r="R259" s="344"/>
      <c r="S259" s="344"/>
      <c r="T259" s="344"/>
      <c r="U259" s="475"/>
    </row>
    <row r="260" spans="2:21" ht="13.2" customHeight="1" x14ac:dyDescent="0.25">
      <c r="B260" s="375"/>
      <c r="C260" s="351" t="s">
        <v>282</v>
      </c>
      <c r="D260" s="352" t="str">
        <f>HLOOKUP(Deckblatt!$C$12,Language!$C$1:$D$730,328,FALSE)</f>
        <v>Planungsgrundlagen</v>
      </c>
      <c r="E260" s="353"/>
      <c r="F260" s="363"/>
      <c r="G260" s="356"/>
      <c r="H260" s="21">
        <v>3</v>
      </c>
      <c r="I260" s="379"/>
      <c r="J260" s="340"/>
      <c r="K260" s="341"/>
      <c r="L260" s="341"/>
      <c r="M260" s="341"/>
      <c r="N260" s="342"/>
      <c r="P260" s="18">
        <f t="shared" si="3"/>
        <v>0</v>
      </c>
      <c r="Q260" s="338"/>
      <c r="R260" s="344"/>
      <c r="S260" s="344"/>
      <c r="T260" s="344"/>
      <c r="U260" s="475"/>
    </row>
    <row r="261" spans="2:21" x14ac:dyDescent="0.25">
      <c r="B261" s="375"/>
      <c r="C261" s="351"/>
      <c r="D261" s="376" t="s">
        <v>284</v>
      </c>
      <c r="E261" s="150" t="str">
        <f>HLOOKUP(Deckblatt!$C$12,Language!$C$1:$D$730,329,FALSE)</f>
        <v>Leuchtdichtekontrast &amp; Zwei-Sinne-Prinzip</v>
      </c>
      <c r="F261" s="363"/>
      <c r="G261" s="356"/>
      <c r="H261" s="21">
        <v>3</v>
      </c>
      <c r="I261" s="379"/>
      <c r="J261" s="340"/>
      <c r="K261" s="341"/>
      <c r="L261" s="341"/>
      <c r="M261" s="341"/>
      <c r="N261" s="342"/>
      <c r="P261" s="18">
        <f t="shared" si="3"/>
        <v>0</v>
      </c>
      <c r="Q261" s="338"/>
      <c r="R261" s="344"/>
      <c r="S261" s="344"/>
      <c r="T261" s="344"/>
      <c r="U261" s="475"/>
    </row>
    <row r="262" spans="2:21" ht="42" customHeight="1" x14ac:dyDescent="0.25">
      <c r="B262" s="375"/>
      <c r="C262" s="351"/>
      <c r="D262" s="376"/>
      <c r="E262" s="134" t="str">
        <f>HLOOKUP(Deckblatt!$C$12,Language!$C$1:$D$730,330,FALSE)</f>
        <v xml:space="preserve">Leuchtdichtekontrast (relativer Leuchtdichteunterschied benachbarter Flächen; kann durch Farbgebung unterstützt werden) Systematische Wiederkehrbarkeit
</v>
      </c>
      <c r="F262" s="363"/>
      <c r="G262" s="69"/>
      <c r="H262" s="18">
        <v>1</v>
      </c>
      <c r="I262" s="379"/>
      <c r="J262" s="340"/>
      <c r="K262" s="341"/>
      <c r="L262" s="341"/>
      <c r="M262" s="341"/>
      <c r="N262" s="342"/>
      <c r="P262" s="18">
        <f t="shared" si="3"/>
        <v>0</v>
      </c>
      <c r="Q262" s="338"/>
      <c r="R262" s="344"/>
      <c r="S262" s="344"/>
      <c r="T262" s="344"/>
      <c r="U262" s="475"/>
    </row>
    <row r="263" spans="2:21" ht="46.2" customHeight="1" x14ac:dyDescent="0.25">
      <c r="B263" s="375"/>
      <c r="C263" s="351"/>
      <c r="D263" s="376"/>
      <c r="E263" s="134" t="str">
        <f>HLOOKUP(Deckblatt!$C$12,Language!$C$1:$D$730,331,FALSE)</f>
        <v xml:space="preserve">Zwei-Sinne-Prinzip: gleichzeitige Vermittlung von Informationen für zwei Sinne (visuell, taktil und auditiv)
</v>
      </c>
      <c r="F263" s="363"/>
      <c r="G263" s="69"/>
      <c r="H263" s="18">
        <v>2</v>
      </c>
      <c r="I263" s="379"/>
      <c r="J263" s="340"/>
      <c r="K263" s="341"/>
      <c r="L263" s="341"/>
      <c r="M263" s="341"/>
      <c r="N263" s="342"/>
      <c r="P263" s="18">
        <f t="shared" si="3"/>
        <v>0</v>
      </c>
      <c r="Q263" s="339"/>
      <c r="R263" s="365"/>
      <c r="S263" s="344"/>
      <c r="T263" s="344"/>
      <c r="U263" s="475"/>
    </row>
    <row r="264" spans="2:21" x14ac:dyDescent="0.25">
      <c r="B264" s="55" t="s">
        <v>346</v>
      </c>
      <c r="C264" s="354" t="str">
        <f>HLOOKUP(Deckblatt!$C$12,Language!$C$1:$D$730,338,FALSE)</f>
        <v>Städtebau</v>
      </c>
      <c r="D264" s="354"/>
      <c r="E264" s="355"/>
      <c r="F264" s="66">
        <f>Q264</f>
        <v>0</v>
      </c>
      <c r="G264" s="372"/>
      <c r="H264" s="21">
        <v>100</v>
      </c>
      <c r="I264" s="176">
        <v>3</v>
      </c>
      <c r="J264" s="340"/>
      <c r="K264" s="341"/>
      <c r="L264" s="341"/>
      <c r="M264" s="341"/>
      <c r="N264" s="342"/>
      <c r="P264" s="18">
        <f t="shared" si="3"/>
        <v>0</v>
      </c>
      <c r="Q264" s="337">
        <f>SUM(SUM(P267:P277),IF(SUM(P279:P282)&gt;20,20,SUM(P279:P282)),IF(SUM(P284:P286)&gt;30,30,SUM(P284:P286)))</f>
        <v>0</v>
      </c>
      <c r="R264" s="343">
        <f>Q264/100</f>
        <v>0</v>
      </c>
      <c r="S264" s="344"/>
      <c r="T264" s="344"/>
      <c r="U264" s="475"/>
    </row>
    <row r="265" spans="2:21" ht="13.2" customHeight="1" x14ac:dyDescent="0.25">
      <c r="B265" s="375"/>
      <c r="C265" s="351" t="s">
        <v>54</v>
      </c>
      <c r="D265" s="352" t="str">
        <f>HLOOKUP(Deckblatt!$C$12,Language!$C$1:$D$730,339,FALSE)</f>
        <v>Städtebauliche Einbindung</v>
      </c>
      <c r="E265" s="353"/>
      <c r="F265" s="363"/>
      <c r="G265" s="373"/>
      <c r="H265" s="21">
        <v>50</v>
      </c>
      <c r="I265" s="379"/>
      <c r="J265" s="340"/>
      <c r="K265" s="341"/>
      <c r="L265" s="341"/>
      <c r="M265" s="341"/>
      <c r="N265" s="342"/>
      <c r="P265" s="18">
        <f t="shared" si="3"/>
        <v>0</v>
      </c>
      <c r="Q265" s="338"/>
      <c r="R265" s="344"/>
      <c r="S265" s="344"/>
      <c r="T265" s="344"/>
      <c r="U265" s="475"/>
    </row>
    <row r="266" spans="2:21" x14ac:dyDescent="0.25">
      <c r="B266" s="375"/>
      <c r="C266" s="351"/>
      <c r="D266" s="376" t="s">
        <v>58</v>
      </c>
      <c r="E266" s="150" t="str">
        <f>HLOOKUP(Deckblatt!$C$12,Language!$C$1:$D$730,340,FALSE)</f>
        <v>Einbindung in die Stadtgestalt und Stadtstruktur</v>
      </c>
      <c r="F266" s="363"/>
      <c r="G266" s="374"/>
      <c r="H266" s="21">
        <v>20</v>
      </c>
      <c r="I266" s="379"/>
      <c r="J266" s="340"/>
      <c r="K266" s="341"/>
      <c r="L266" s="341"/>
      <c r="M266" s="341"/>
      <c r="N266" s="342"/>
      <c r="P266" s="18">
        <f t="shared" si="3"/>
        <v>0</v>
      </c>
      <c r="Q266" s="338"/>
      <c r="R266" s="344"/>
      <c r="S266" s="344"/>
      <c r="T266" s="344"/>
      <c r="U266" s="475"/>
    </row>
    <row r="267" spans="2:21" ht="26.4" x14ac:dyDescent="0.25">
      <c r="B267" s="375"/>
      <c r="C267" s="351"/>
      <c r="D267" s="376"/>
      <c r="E267" s="134" t="str">
        <f>HLOOKUP(Deckblatt!$C$12,Language!$C$1:$D$730,341,FALSE)</f>
        <v xml:space="preserve">Es liegt eine Analyse/Bestandsuntersuchung vor.
</v>
      </c>
      <c r="F267" s="363"/>
      <c r="G267" s="69"/>
      <c r="H267" s="18">
        <v>10</v>
      </c>
      <c r="I267" s="379"/>
      <c r="J267" s="340"/>
      <c r="K267" s="341"/>
      <c r="L267" s="341"/>
      <c r="M267" s="341"/>
      <c r="N267" s="342"/>
      <c r="P267" s="18">
        <f t="shared" si="3"/>
        <v>0</v>
      </c>
      <c r="Q267" s="338"/>
      <c r="R267" s="344"/>
      <c r="S267" s="344"/>
      <c r="T267" s="344"/>
      <c r="U267" s="475"/>
    </row>
    <row r="268" spans="2:21" ht="56.4" customHeight="1" x14ac:dyDescent="0.25">
      <c r="B268" s="375"/>
      <c r="C268" s="351"/>
      <c r="D268" s="376"/>
      <c r="E268" s="134" t="str">
        <f>HLOOKUP(Deckblatt!$C$12,Language!$C$1:$D$730,342,FALSE)</f>
        <v xml:space="preserve">Die Einbindung des Projekts in die Stadtgestalt und Stadtstruktur wird im städtebaulichen Konzept nachvollziehbar aus den Erkenntnissen der Analyse/Bestandsuntersuchung hergeleitet
</v>
      </c>
      <c r="F268" s="363"/>
      <c r="G268" s="69"/>
      <c r="H268" s="18">
        <v>10</v>
      </c>
      <c r="I268" s="379"/>
      <c r="J268" s="340"/>
      <c r="K268" s="341"/>
      <c r="L268" s="341"/>
      <c r="M268" s="341"/>
      <c r="N268" s="342"/>
      <c r="P268" s="18">
        <f t="shared" si="3"/>
        <v>0</v>
      </c>
      <c r="Q268" s="338"/>
      <c r="R268" s="344"/>
      <c r="S268" s="344"/>
      <c r="T268" s="344"/>
      <c r="U268" s="475"/>
    </row>
    <row r="269" spans="2:21" x14ac:dyDescent="0.25">
      <c r="B269" s="375"/>
      <c r="C269" s="351"/>
      <c r="D269" s="376" t="s">
        <v>181</v>
      </c>
      <c r="E269" s="150" t="str">
        <f>HLOOKUP(Deckblatt!$C$12,Language!$C$1:$D$730,343,FALSE)</f>
        <v>Einbindung in das Erschließungsnetz</v>
      </c>
      <c r="F269" s="363"/>
      <c r="G269" s="113"/>
      <c r="H269" s="21">
        <v>10</v>
      </c>
      <c r="I269" s="379"/>
      <c r="J269" s="340"/>
      <c r="K269" s="341"/>
      <c r="L269" s="341"/>
      <c r="M269" s="341"/>
      <c r="N269" s="342"/>
      <c r="P269" s="18">
        <f t="shared" si="3"/>
        <v>0</v>
      </c>
      <c r="Q269" s="338"/>
      <c r="R269" s="344"/>
      <c r="S269" s="344"/>
      <c r="T269" s="344"/>
      <c r="U269" s="475"/>
    </row>
    <row r="270" spans="2:21" ht="26.4" x14ac:dyDescent="0.25">
      <c r="B270" s="375"/>
      <c r="C270" s="351"/>
      <c r="D270" s="376"/>
      <c r="E270" s="134" t="str">
        <f>HLOOKUP(Deckblatt!$C$12,Language!$C$1:$D$730,344,FALSE)</f>
        <v xml:space="preserve">Es liegt eine Analyse/Bestandsuntersuchung vor.
</v>
      </c>
      <c r="F270" s="363"/>
      <c r="G270" s="69"/>
      <c r="H270" s="18">
        <v>5</v>
      </c>
      <c r="I270" s="379"/>
      <c r="J270" s="340"/>
      <c r="K270" s="341"/>
      <c r="L270" s="341"/>
      <c r="M270" s="341"/>
      <c r="N270" s="342"/>
      <c r="P270" s="18">
        <f t="shared" si="3"/>
        <v>0</v>
      </c>
      <c r="Q270" s="338"/>
      <c r="R270" s="344"/>
      <c r="S270" s="344"/>
      <c r="T270" s="344"/>
      <c r="U270" s="475"/>
    </row>
    <row r="271" spans="2:21" ht="54" customHeight="1" x14ac:dyDescent="0.25">
      <c r="B271" s="375"/>
      <c r="C271" s="351"/>
      <c r="D271" s="376"/>
      <c r="E271" s="134" t="str">
        <f>HLOOKUP(Deckblatt!$C$12,Language!$C$1:$D$730,345,FALSE)</f>
        <v xml:space="preserve">Die Einbindung des Projekts in das Erschließungsnetz wird im Verkehrskonzept nachvollziehbar aus den Erkenntnissen der Analyse/Bestandsuntersuchung hergeleitet (Erläuterung)
</v>
      </c>
      <c r="F271" s="363"/>
      <c r="G271" s="69"/>
      <c r="H271" s="18">
        <v>5</v>
      </c>
      <c r="I271" s="379"/>
      <c r="J271" s="340"/>
      <c r="K271" s="341"/>
      <c r="L271" s="341"/>
      <c r="M271" s="341"/>
      <c r="N271" s="342"/>
      <c r="P271" s="18">
        <f t="shared" si="3"/>
        <v>0</v>
      </c>
      <c r="Q271" s="338"/>
      <c r="R271" s="344"/>
      <c r="S271" s="344"/>
      <c r="T271" s="344"/>
      <c r="U271" s="475"/>
    </row>
    <row r="272" spans="2:21" x14ac:dyDescent="0.25">
      <c r="B272" s="375"/>
      <c r="C272" s="351"/>
      <c r="D272" s="376" t="s">
        <v>246</v>
      </c>
      <c r="E272" s="150" t="str">
        <f>HLOOKUP(Deckblatt!$C$12,Language!$C$1:$D$730,346,FALSE)</f>
        <v>Einbindung in die übergeordnete Planung/Werksrahmenplanung</v>
      </c>
      <c r="F272" s="363"/>
      <c r="G272" s="113"/>
      <c r="H272" s="21">
        <v>10</v>
      </c>
      <c r="I272" s="379"/>
      <c r="J272" s="340"/>
      <c r="K272" s="341"/>
      <c r="L272" s="341"/>
      <c r="M272" s="341"/>
      <c r="N272" s="342"/>
      <c r="P272" s="18">
        <f t="shared" si="3"/>
        <v>0</v>
      </c>
      <c r="Q272" s="338"/>
      <c r="R272" s="344"/>
      <c r="S272" s="344"/>
      <c r="T272" s="344"/>
      <c r="U272" s="475"/>
    </row>
    <row r="273" spans="2:21" ht="26.4" x14ac:dyDescent="0.25">
      <c r="B273" s="375"/>
      <c r="C273" s="351"/>
      <c r="D273" s="376"/>
      <c r="E273" s="134" t="str">
        <f>HLOOKUP(Deckblatt!$C$12,Language!$C$1:$D$730,347,FALSE)</f>
        <v xml:space="preserve">Es liegt eine Analyse/Bestandsuntersuchung vor.
</v>
      </c>
      <c r="F273" s="363"/>
      <c r="G273" s="69"/>
      <c r="H273" s="18">
        <v>5</v>
      </c>
      <c r="I273" s="379"/>
      <c r="J273" s="340"/>
      <c r="K273" s="341"/>
      <c r="L273" s="341"/>
      <c r="M273" s="341"/>
      <c r="N273" s="342"/>
      <c r="P273" s="18">
        <f t="shared" si="3"/>
        <v>0</v>
      </c>
      <c r="Q273" s="338"/>
      <c r="R273" s="344"/>
      <c r="S273" s="344"/>
      <c r="T273" s="344"/>
      <c r="U273" s="475"/>
    </row>
    <row r="274" spans="2:21" ht="66" x14ac:dyDescent="0.25">
      <c r="B274" s="375"/>
      <c r="C274" s="351"/>
      <c r="D274" s="376"/>
      <c r="E274"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74" s="363"/>
      <c r="G274" s="69"/>
      <c r="H274" s="18">
        <v>5</v>
      </c>
      <c r="I274" s="379"/>
      <c r="J274" s="340"/>
      <c r="K274" s="341"/>
      <c r="L274" s="341"/>
      <c r="M274" s="341"/>
      <c r="N274" s="342"/>
      <c r="P274" s="18">
        <f t="shared" si="3"/>
        <v>0</v>
      </c>
      <c r="Q274" s="338"/>
      <c r="R274" s="344"/>
      <c r="S274" s="344"/>
      <c r="T274" s="344"/>
      <c r="U274" s="475"/>
    </row>
    <row r="275" spans="2:21" x14ac:dyDescent="0.25">
      <c r="B275" s="375"/>
      <c r="C275" s="351"/>
      <c r="D275" s="376" t="s">
        <v>250</v>
      </c>
      <c r="E275" s="150" t="str">
        <f>HLOOKUP(Deckblatt!$C$12,Language!$C$1:$D$730,349,FALSE)</f>
        <v>Einbindung von baulichen Bestand</v>
      </c>
      <c r="F275" s="363"/>
      <c r="G275" s="113"/>
      <c r="H275" s="21">
        <v>10</v>
      </c>
      <c r="I275" s="379"/>
      <c r="J275" s="340"/>
      <c r="K275" s="341"/>
      <c r="L275" s="341"/>
      <c r="M275" s="341"/>
      <c r="N275" s="342"/>
      <c r="P275" s="18">
        <f t="shared" si="3"/>
        <v>0</v>
      </c>
      <c r="Q275" s="338"/>
      <c r="R275" s="344"/>
      <c r="S275" s="344"/>
      <c r="T275" s="344"/>
      <c r="U275" s="475"/>
    </row>
    <row r="276" spans="2:21" ht="26.4" x14ac:dyDescent="0.25">
      <c r="B276" s="375"/>
      <c r="C276" s="351"/>
      <c r="D276" s="376"/>
      <c r="E276" s="134" t="str">
        <f>HLOOKUP(Deckblatt!$C$12,Language!$C$1:$D$730,350,FALSE)</f>
        <v xml:space="preserve">Es liegt eine Analyse/Bestandsuntersuchung vor.
</v>
      </c>
      <c r="F276" s="363"/>
      <c r="G276" s="69"/>
      <c r="H276" s="18">
        <v>5</v>
      </c>
      <c r="I276" s="379"/>
      <c r="J276" s="340"/>
      <c r="K276" s="341"/>
      <c r="L276" s="341"/>
      <c r="M276" s="341"/>
      <c r="N276" s="342"/>
      <c r="P276" s="18">
        <f t="shared" si="3"/>
        <v>0</v>
      </c>
      <c r="Q276" s="338"/>
      <c r="R276" s="344"/>
      <c r="S276" s="344"/>
      <c r="T276" s="344"/>
      <c r="U276" s="475"/>
    </row>
    <row r="277" spans="2:21" ht="61.2" customHeight="1" x14ac:dyDescent="0.25">
      <c r="B277" s="375"/>
      <c r="C277" s="351"/>
      <c r="D277" s="376"/>
      <c r="E277" s="134" t="str">
        <f>HLOOKUP(Deckblatt!$C$12,Language!$C$1:$D$730,351,FALSE)</f>
        <v xml:space="preserve">Die Einbindung der bestehenden und identitätsstiftenden Gebäude wird im städtebaulichen Konzept nachvollziehbar aus den Erkenntnissen der Analyse/Bestandsuntersuchung hergeleitet (Erläuterung).
</v>
      </c>
      <c r="F277" s="363"/>
      <c r="G277" s="69"/>
      <c r="H277" s="18">
        <v>5</v>
      </c>
      <c r="I277" s="379"/>
      <c r="J277" s="340"/>
      <c r="K277" s="341"/>
      <c r="L277" s="341"/>
      <c r="M277" s="341"/>
      <c r="N277" s="342"/>
      <c r="P277" s="18">
        <f t="shared" si="3"/>
        <v>0</v>
      </c>
      <c r="Q277" s="338"/>
      <c r="R277" s="344"/>
      <c r="S277" s="344"/>
      <c r="T277" s="344"/>
      <c r="U277" s="475"/>
    </row>
    <row r="278" spans="2:21" ht="13.2" customHeight="1" x14ac:dyDescent="0.25">
      <c r="B278" s="375"/>
      <c r="C278" s="359" t="s">
        <v>61</v>
      </c>
      <c r="D278" s="352" t="str">
        <f>HLOOKUP(Deckblatt!$C$12,Language!$C$1:$D$730,352,FALSE)</f>
        <v>Städtebauliche Qualifizierung</v>
      </c>
      <c r="E278" s="353"/>
      <c r="F278" s="363"/>
      <c r="G278" s="113"/>
      <c r="H278" s="21">
        <v>20</v>
      </c>
      <c r="I278" s="379"/>
      <c r="J278" s="340"/>
      <c r="K278" s="341"/>
      <c r="L278" s="341"/>
      <c r="M278" s="341"/>
      <c r="N278" s="342"/>
      <c r="P278" s="18">
        <f t="shared" si="3"/>
        <v>0</v>
      </c>
      <c r="Q278" s="338"/>
      <c r="R278" s="344"/>
      <c r="S278" s="344"/>
      <c r="T278" s="344"/>
      <c r="U278" s="475"/>
    </row>
    <row r="279" spans="2:21" ht="26.4" x14ac:dyDescent="0.25">
      <c r="B279" s="375"/>
      <c r="C279" s="390"/>
      <c r="D279" s="160" t="s">
        <v>63</v>
      </c>
      <c r="E279" s="150" t="str">
        <f>HLOOKUP(Deckblatt!$C$12,Language!$C$1:$D$730,353,FALSE)</f>
        <v xml:space="preserve">Übergeordnetes Gestaltungskonzept
</v>
      </c>
      <c r="F279" s="363"/>
      <c r="G279" s="69"/>
      <c r="H279" s="18">
        <v>8</v>
      </c>
      <c r="I279" s="379"/>
      <c r="J279" s="340"/>
      <c r="K279" s="341"/>
      <c r="L279" s="341"/>
      <c r="M279" s="341"/>
      <c r="N279" s="342"/>
      <c r="P279" s="18">
        <f t="shared" si="3"/>
        <v>0</v>
      </c>
      <c r="Q279" s="338"/>
      <c r="R279" s="344"/>
      <c r="S279" s="344"/>
      <c r="T279" s="344"/>
      <c r="U279" s="475"/>
    </row>
    <row r="280" spans="2:21" ht="26.4" x14ac:dyDescent="0.25">
      <c r="B280" s="375"/>
      <c r="C280" s="390"/>
      <c r="D280" s="160" t="s">
        <v>186</v>
      </c>
      <c r="E280" s="150" t="str">
        <f>HLOOKUP(Deckblatt!$C$12,Language!$C$1:$D$730,354,FALSE)</f>
        <v xml:space="preserve">Regelwerk für die Charakteristika von Baukörpern
</v>
      </c>
      <c r="F280" s="363"/>
      <c r="G280" s="69"/>
      <c r="H280" s="18">
        <v>4</v>
      </c>
      <c r="I280" s="379"/>
      <c r="J280" s="340"/>
      <c r="K280" s="341"/>
      <c r="L280" s="341"/>
      <c r="M280" s="341"/>
      <c r="N280" s="342"/>
      <c r="P280" s="18">
        <f t="shared" si="3"/>
        <v>0</v>
      </c>
      <c r="Q280" s="338"/>
      <c r="R280" s="344"/>
      <c r="S280" s="344"/>
      <c r="T280" s="344"/>
      <c r="U280" s="475"/>
    </row>
    <row r="281" spans="2:21" ht="26.4" x14ac:dyDescent="0.25">
      <c r="B281" s="375"/>
      <c r="C281" s="390"/>
      <c r="D281" s="160" t="s">
        <v>256</v>
      </c>
      <c r="E281" s="150" t="str">
        <f>HLOOKUP(Deckblatt!$C$12,Language!$C$1:$D$730,356,FALSE)</f>
        <v xml:space="preserve">Gestaltung von städtebaulich prägnanten Gebäuden
</v>
      </c>
      <c r="F281" s="363"/>
      <c r="G281" s="69"/>
      <c r="H281" s="18">
        <v>4</v>
      </c>
      <c r="I281" s="379"/>
      <c r="J281" s="340"/>
      <c r="K281" s="341"/>
      <c r="L281" s="341"/>
      <c r="M281" s="341"/>
      <c r="N281" s="342"/>
      <c r="P281" s="18">
        <f t="shared" ref="P281:P352" si="4">IF(G281&gt;H281,H281,G281)</f>
        <v>0</v>
      </c>
      <c r="Q281" s="338"/>
      <c r="R281" s="344"/>
      <c r="S281" s="344"/>
      <c r="T281" s="344"/>
      <c r="U281" s="475"/>
    </row>
    <row r="282" spans="2:21" ht="26.4" x14ac:dyDescent="0.25">
      <c r="B282" s="375"/>
      <c r="C282" s="390"/>
      <c r="D282" s="160" t="s">
        <v>257</v>
      </c>
      <c r="E282" s="150" t="str">
        <f>HLOOKUP(Deckblatt!$C$12,Language!$C$1:$D$730,357,FALSE)</f>
        <v xml:space="preserve">Gestaltung von privaten Stellplätzen und Nebenanlagen
</v>
      </c>
      <c r="F282" s="363"/>
      <c r="G282" s="69"/>
      <c r="H282" s="18">
        <v>8</v>
      </c>
      <c r="I282" s="379"/>
      <c r="J282" s="340"/>
      <c r="K282" s="341"/>
      <c r="L282" s="341"/>
      <c r="M282" s="341"/>
      <c r="N282" s="342"/>
      <c r="P282" s="18">
        <f t="shared" si="4"/>
        <v>0</v>
      </c>
      <c r="Q282" s="338"/>
      <c r="R282" s="344"/>
      <c r="S282" s="344"/>
      <c r="T282" s="344"/>
      <c r="U282" s="475"/>
    </row>
    <row r="283" spans="2:21" ht="13.2" customHeight="1" x14ac:dyDescent="0.25">
      <c r="B283" s="375"/>
      <c r="C283" s="390" t="s">
        <v>64</v>
      </c>
      <c r="D283" s="352" t="str">
        <f>HLOOKUP(Deckblatt!$C$12,Language!$C$1:$D$730,358,FALSE)</f>
        <v xml:space="preserve">Impuls / Attraktor </v>
      </c>
      <c r="E283" s="353"/>
      <c r="F283" s="363"/>
      <c r="G283" s="113"/>
      <c r="H283" s="21">
        <v>30</v>
      </c>
      <c r="I283" s="379"/>
      <c r="J283" s="340"/>
      <c r="K283" s="341"/>
      <c r="L283" s="341"/>
      <c r="M283" s="341"/>
      <c r="N283" s="342"/>
      <c r="P283" s="18">
        <f t="shared" si="4"/>
        <v>0</v>
      </c>
      <c r="Q283" s="338"/>
      <c r="R283" s="344"/>
      <c r="S283" s="344"/>
      <c r="T283" s="344"/>
      <c r="U283" s="475"/>
    </row>
    <row r="284" spans="2:21" x14ac:dyDescent="0.25">
      <c r="B284" s="375"/>
      <c r="C284" s="390"/>
      <c r="D284" s="19" t="s">
        <v>66</v>
      </c>
      <c r="E284" s="134" t="str">
        <f>HLOOKUP(Deckblatt!$C$12,Language!$C$1:$D$730,359,FALSE)</f>
        <v>Impuls durch die Nutzung</v>
      </c>
      <c r="F284" s="363"/>
      <c r="G284" s="69"/>
      <c r="H284" s="18">
        <v>15</v>
      </c>
      <c r="I284" s="379"/>
      <c r="J284" s="340"/>
      <c r="K284" s="341"/>
      <c r="L284" s="341"/>
      <c r="M284" s="341"/>
      <c r="N284" s="342"/>
      <c r="P284" s="18">
        <f t="shared" si="4"/>
        <v>0</v>
      </c>
      <c r="Q284" s="338"/>
      <c r="R284" s="344"/>
      <c r="S284" s="344"/>
      <c r="T284" s="344"/>
      <c r="U284" s="475"/>
    </row>
    <row r="285" spans="2:21" x14ac:dyDescent="0.25">
      <c r="B285" s="375"/>
      <c r="C285" s="390"/>
      <c r="D285" s="71" t="s">
        <v>188</v>
      </c>
      <c r="E285" s="134" t="str">
        <f>HLOOKUP(Deckblatt!$C$12,Language!$C$1:$D$730,360,FALSE)</f>
        <v>Impuls durch räumliche und gestalterische Aspekte</v>
      </c>
      <c r="F285" s="363"/>
      <c r="G285" s="69"/>
      <c r="H285" s="18">
        <v>15</v>
      </c>
      <c r="I285" s="379"/>
      <c r="J285" s="340"/>
      <c r="K285" s="341"/>
      <c r="L285" s="341"/>
      <c r="M285" s="341"/>
      <c r="N285" s="342"/>
      <c r="P285" s="18">
        <f t="shared" si="4"/>
        <v>0</v>
      </c>
      <c r="Q285" s="338"/>
      <c r="R285" s="344"/>
      <c r="S285" s="344"/>
      <c r="T285" s="344"/>
      <c r="U285" s="475"/>
    </row>
    <row r="286" spans="2:21" ht="85.95" customHeight="1" x14ac:dyDescent="0.25">
      <c r="B286" s="375"/>
      <c r="C286" s="360"/>
      <c r="D286" s="71" t="s">
        <v>755</v>
      </c>
      <c r="E286"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86" s="363"/>
      <c r="G286" s="69"/>
      <c r="H286" s="18">
        <v>30</v>
      </c>
      <c r="I286" s="379"/>
      <c r="J286" s="340"/>
      <c r="K286" s="341"/>
      <c r="L286" s="341"/>
      <c r="M286" s="341"/>
      <c r="N286" s="342"/>
      <c r="P286" s="18">
        <f t="shared" si="4"/>
        <v>0</v>
      </c>
      <c r="Q286" s="339"/>
      <c r="R286" s="365"/>
      <c r="S286" s="344"/>
      <c r="T286" s="344"/>
      <c r="U286" s="475"/>
    </row>
    <row r="287" spans="2:21" x14ac:dyDescent="0.25">
      <c r="B287" s="55" t="s">
        <v>362</v>
      </c>
      <c r="C287" s="354" t="str">
        <f>HLOOKUP(Deckblatt!$C$12,Language!$C$1:$D$730,362,FALSE)</f>
        <v>Soziale und Funktionale Mischung</v>
      </c>
      <c r="D287" s="354"/>
      <c r="E287" s="355"/>
      <c r="F287" s="66">
        <f>Q287</f>
        <v>0</v>
      </c>
      <c r="G287" s="372"/>
      <c r="H287" s="21">
        <v>100</v>
      </c>
      <c r="I287" s="176">
        <v>5</v>
      </c>
      <c r="J287" s="340"/>
      <c r="K287" s="341"/>
      <c r="L287" s="341"/>
      <c r="M287" s="341"/>
      <c r="N287" s="342"/>
      <c r="P287" s="18">
        <f t="shared" si="4"/>
        <v>0</v>
      </c>
      <c r="Q287" s="337">
        <f>SUM(P289:P300)</f>
        <v>0</v>
      </c>
      <c r="R287" s="343">
        <f>Q287/100</f>
        <v>0</v>
      </c>
      <c r="S287" s="344"/>
      <c r="T287" s="344"/>
      <c r="U287" s="475"/>
    </row>
    <row r="288" spans="2:21" ht="13.2" customHeight="1" x14ac:dyDescent="0.25">
      <c r="B288" s="375"/>
      <c r="C288" s="351" t="s">
        <v>54</v>
      </c>
      <c r="D288" s="352" t="str">
        <f>HLOOKUP(Deckblatt!$C$12,Language!$C$1:$D$730,363,FALSE)</f>
        <v>Soziale und funktionale Einbindung</v>
      </c>
      <c r="E288" s="353"/>
      <c r="F288" s="363"/>
      <c r="G288" s="374"/>
      <c r="H288" s="21">
        <v>20</v>
      </c>
      <c r="I288" s="379"/>
      <c r="J288" s="340"/>
      <c r="K288" s="341"/>
      <c r="L288" s="341"/>
      <c r="M288" s="341"/>
      <c r="N288" s="342"/>
      <c r="P288" s="18">
        <f t="shared" si="4"/>
        <v>0</v>
      </c>
      <c r="Q288" s="338"/>
      <c r="R288" s="344"/>
      <c r="S288" s="344"/>
      <c r="T288" s="344"/>
      <c r="U288" s="475"/>
    </row>
    <row r="289" spans="2:21" ht="31.2" customHeight="1" x14ac:dyDescent="0.25">
      <c r="B289" s="375"/>
      <c r="C289" s="351"/>
      <c r="D289" s="160" t="s">
        <v>58</v>
      </c>
      <c r="E289" s="229" t="str">
        <f>HLOOKUP(Deckblatt!$C$12,Language!$C$1:$D$730,364,FALSE)</f>
        <v xml:space="preserve">Einbindung in den sozialen und funktionalen Kontext
</v>
      </c>
      <c r="F289" s="363"/>
      <c r="G289" s="69"/>
      <c r="H289" s="18">
        <v>10</v>
      </c>
      <c r="I289" s="379"/>
      <c r="J289" s="340"/>
      <c r="K289" s="341"/>
      <c r="L289" s="341"/>
      <c r="M289" s="341"/>
      <c r="N289" s="342"/>
      <c r="P289" s="18">
        <f t="shared" si="4"/>
        <v>0</v>
      </c>
      <c r="Q289" s="338"/>
      <c r="R289" s="344"/>
      <c r="S289" s="344"/>
      <c r="T289" s="344"/>
      <c r="U289" s="475"/>
    </row>
    <row r="290" spans="2:21" ht="50.4" customHeight="1" x14ac:dyDescent="0.25">
      <c r="B290" s="375"/>
      <c r="C290" s="351"/>
      <c r="D290" s="160" t="s">
        <v>181</v>
      </c>
      <c r="E290" s="134" t="str">
        <f>HLOOKUP(Deckblatt!$C$12,Language!$C$1:$D$730,365,FALSE)</f>
        <v xml:space="preserve">Einbindung bestehender sozialer Strukturen oder Nutzungen
Schutz, Erhalt von vorher vorhandenen Strukturen. z. B. Kleingärtner
</v>
      </c>
      <c r="F290" s="363"/>
      <c r="G290" s="69"/>
      <c r="H290" s="18">
        <v>10</v>
      </c>
      <c r="I290" s="379"/>
      <c r="J290" s="340"/>
      <c r="K290" s="341"/>
      <c r="L290" s="341"/>
      <c r="M290" s="341"/>
      <c r="N290" s="342"/>
      <c r="P290" s="18">
        <f t="shared" si="4"/>
        <v>0</v>
      </c>
      <c r="Q290" s="338"/>
      <c r="R290" s="344"/>
      <c r="S290" s="344"/>
      <c r="T290" s="344"/>
      <c r="U290" s="475"/>
    </row>
    <row r="291" spans="2:21" ht="13.2" customHeight="1" x14ac:dyDescent="0.25">
      <c r="B291" s="375"/>
      <c r="C291" s="351" t="s">
        <v>61</v>
      </c>
      <c r="D291" s="352" t="str">
        <f>HLOOKUP(Deckblatt!$C$12,Language!$C$1:$D$730,366,FALSE)</f>
        <v>Qualifizierung der sozialen Mischung</v>
      </c>
      <c r="E291" s="353"/>
      <c r="F291" s="363"/>
      <c r="G291" s="113"/>
      <c r="H291" s="21">
        <v>65</v>
      </c>
      <c r="I291" s="379"/>
      <c r="J291" s="340"/>
      <c r="K291" s="341"/>
      <c r="L291" s="341"/>
      <c r="M291" s="341"/>
      <c r="N291" s="342"/>
      <c r="P291" s="18">
        <f t="shared" si="4"/>
        <v>0</v>
      </c>
      <c r="Q291" s="338"/>
      <c r="R291" s="344"/>
      <c r="S291" s="344"/>
      <c r="T291" s="344"/>
      <c r="U291" s="475"/>
    </row>
    <row r="292" spans="2:21" ht="22.2" customHeight="1" x14ac:dyDescent="0.25">
      <c r="B292" s="375"/>
      <c r="C292" s="351"/>
      <c r="D292" s="160" t="s">
        <v>63</v>
      </c>
      <c r="E292" s="229" t="str">
        <f>HLOOKUP(Deckblatt!$C$12,Language!$C$1:$D$730,367,FALSE)</f>
        <v xml:space="preserve">Demographische Mischung
</v>
      </c>
      <c r="F292" s="363"/>
      <c r="G292" s="69"/>
      <c r="H292" s="18">
        <v>8</v>
      </c>
      <c r="I292" s="379"/>
      <c r="J292" s="340"/>
      <c r="K292" s="341"/>
      <c r="L292" s="341"/>
      <c r="M292" s="341"/>
      <c r="N292" s="342"/>
      <c r="P292" s="18">
        <f t="shared" si="4"/>
        <v>0</v>
      </c>
      <c r="Q292" s="338"/>
      <c r="R292" s="344"/>
      <c r="S292" s="344"/>
      <c r="T292" s="344"/>
      <c r="U292" s="475"/>
    </row>
    <row r="293" spans="2:21" ht="24" customHeight="1" x14ac:dyDescent="0.25">
      <c r="B293" s="375"/>
      <c r="C293" s="351"/>
      <c r="D293" s="160" t="s">
        <v>255</v>
      </c>
      <c r="E293" s="229" t="str">
        <f>HLOOKUP(Deckblatt!$C$12,Language!$C$1:$D$730,369,FALSE)</f>
        <v>Grundstücksangebot</v>
      </c>
      <c r="F293" s="363"/>
      <c r="G293" s="69"/>
      <c r="H293" s="18">
        <v>4</v>
      </c>
      <c r="I293" s="379"/>
      <c r="J293" s="340"/>
      <c r="K293" s="341"/>
      <c r="L293" s="341"/>
      <c r="M293" s="341"/>
      <c r="N293" s="342"/>
      <c r="P293" s="18">
        <f t="shared" si="4"/>
        <v>0</v>
      </c>
      <c r="Q293" s="338"/>
      <c r="R293" s="344"/>
      <c r="S293" s="344"/>
      <c r="T293" s="344"/>
      <c r="U293" s="475"/>
    </row>
    <row r="294" spans="2:21" ht="25.95" customHeight="1" x14ac:dyDescent="0.25">
      <c r="B294" s="375"/>
      <c r="C294" s="351"/>
      <c r="D294" s="160" t="s">
        <v>256</v>
      </c>
      <c r="E294" s="229" t="str">
        <f>HLOOKUP(Deckblatt!$C$12,Language!$C$1:$D$730,370,FALSE)</f>
        <v xml:space="preserve">Differenzierte Bautypen/Formen von Arbeitsstätten
</v>
      </c>
      <c r="F294" s="363"/>
      <c r="G294" s="69"/>
      <c r="H294" s="18">
        <v>12</v>
      </c>
      <c r="I294" s="379"/>
      <c r="J294" s="340"/>
      <c r="K294" s="341"/>
      <c r="L294" s="341"/>
      <c r="M294" s="341"/>
      <c r="N294" s="342"/>
      <c r="P294" s="18">
        <f t="shared" si="4"/>
        <v>0</v>
      </c>
      <c r="Q294" s="338"/>
      <c r="R294" s="344"/>
      <c r="S294" s="344"/>
      <c r="T294" s="344"/>
      <c r="U294" s="475"/>
    </row>
    <row r="295" spans="2:21" ht="142.94999999999999" customHeight="1" x14ac:dyDescent="0.25">
      <c r="B295" s="375"/>
      <c r="C295" s="351"/>
      <c r="D295" s="160" t="s">
        <v>259</v>
      </c>
      <c r="E295" s="134" t="str">
        <f>HLOOKUP(Deckblatt!$C$12,Language!$C$1:$D$730,373,FALSE)</f>
        <v>Unterschiedliche Firmengrößen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v>
      </c>
      <c r="F295" s="363"/>
      <c r="G295" s="69"/>
      <c r="H295" s="18">
        <v>8</v>
      </c>
      <c r="I295" s="379"/>
      <c r="J295" s="340"/>
      <c r="K295" s="341"/>
      <c r="L295" s="341"/>
      <c r="M295" s="341"/>
      <c r="N295" s="342"/>
      <c r="P295" s="18">
        <f t="shared" ref="P295" si="5">IF(G295&gt;H295,H295,G295)</f>
        <v>0</v>
      </c>
      <c r="Q295" s="338"/>
      <c r="R295" s="344"/>
      <c r="S295" s="344"/>
      <c r="T295" s="344"/>
      <c r="U295" s="475"/>
    </row>
    <row r="296" spans="2:21" ht="52.8" x14ac:dyDescent="0.25">
      <c r="B296" s="375"/>
      <c r="C296" s="351"/>
      <c r="D296" s="160" t="s">
        <v>366</v>
      </c>
      <c r="E296" s="134" t="str">
        <f>HLOOKUP(Deckblatt!$C$12,Language!$C$1:$D$730,374,FALSE)</f>
        <v xml:space="preserve">Differenzierte Branchenstruktur
Das Quartier besteht aus zwei oder mehreren Branchen (Beispiele siehe Methode), wovon jede mindestens 10 % der Gesamt-BGF 
</v>
      </c>
      <c r="F296" s="363"/>
      <c r="G296" s="69"/>
      <c r="H296" s="18">
        <v>33</v>
      </c>
      <c r="I296" s="379"/>
      <c r="J296" s="340"/>
      <c r="K296" s="341"/>
      <c r="L296" s="341"/>
      <c r="M296" s="341"/>
      <c r="N296" s="342"/>
      <c r="P296" s="18">
        <f t="shared" si="4"/>
        <v>0</v>
      </c>
      <c r="Q296" s="338"/>
      <c r="R296" s="344"/>
      <c r="S296" s="344"/>
      <c r="T296" s="344"/>
      <c r="U296" s="475"/>
    </row>
    <row r="297" spans="2:21" ht="13.2" customHeight="1" x14ac:dyDescent="0.25">
      <c r="B297" s="375"/>
      <c r="C297" s="351" t="s">
        <v>64</v>
      </c>
      <c r="D297" s="352" t="str">
        <f>HLOOKUP(Deckblatt!$C$12,Language!$C$1:$D$730,375,FALSE)</f>
        <v>Nutzungsanteil</v>
      </c>
      <c r="E297" s="353"/>
      <c r="F297" s="363"/>
      <c r="G297" s="113"/>
      <c r="H297" s="21">
        <v>15</v>
      </c>
      <c r="I297" s="379"/>
      <c r="J297" s="340"/>
      <c r="K297" s="341"/>
      <c r="L297" s="341"/>
      <c r="M297" s="341"/>
      <c r="N297" s="342"/>
      <c r="P297" s="18">
        <f t="shared" si="4"/>
        <v>0</v>
      </c>
      <c r="Q297" s="338"/>
      <c r="R297" s="344"/>
      <c r="S297" s="344"/>
      <c r="T297" s="344"/>
      <c r="U297" s="475"/>
    </row>
    <row r="298" spans="2:21" ht="26.4" x14ac:dyDescent="0.25">
      <c r="B298" s="375"/>
      <c r="C298" s="351"/>
      <c r="D298" s="376" t="s">
        <v>188</v>
      </c>
      <c r="E298" s="229" t="str">
        <f>HLOOKUP(Deckblatt!$C$12,Language!$C$1:$D$730,377,FALSE)</f>
        <v xml:space="preserve">Stärkung der lokalen Ökonomie
</v>
      </c>
      <c r="F298" s="363"/>
      <c r="G298" s="113"/>
      <c r="H298" s="21">
        <v>15</v>
      </c>
      <c r="I298" s="379"/>
      <c r="J298" s="340"/>
      <c r="K298" s="341"/>
      <c r="L298" s="341"/>
      <c r="M298" s="341"/>
      <c r="N298" s="342"/>
      <c r="P298" s="18">
        <f t="shared" si="4"/>
        <v>0</v>
      </c>
      <c r="Q298" s="338"/>
      <c r="R298" s="344"/>
      <c r="S298" s="344"/>
      <c r="T298" s="344"/>
      <c r="U298" s="475"/>
    </row>
    <row r="299" spans="2:21" ht="39.6" x14ac:dyDescent="0.25">
      <c r="B299" s="375"/>
      <c r="C299" s="351"/>
      <c r="D299" s="376"/>
      <c r="E299" s="134" t="str">
        <f>HLOOKUP(Deckblatt!$C$12,Language!$C$1:$D$730,378,FALSE)</f>
        <v xml:space="preserve">Es gibt ein übergreifendes Konzept, die lokale Ökonomie zu stärken – sowohl im Projektgebiet als auch im Umfeld.
</v>
      </c>
      <c r="F299" s="363"/>
      <c r="G299" s="69"/>
      <c r="H299" s="18">
        <v>5</v>
      </c>
      <c r="I299" s="379"/>
      <c r="J299" s="340"/>
      <c r="K299" s="341"/>
      <c r="L299" s="341"/>
      <c r="M299" s="341"/>
      <c r="N299" s="342"/>
      <c r="P299" s="18">
        <f t="shared" si="4"/>
        <v>0</v>
      </c>
      <c r="Q299" s="338"/>
      <c r="R299" s="344"/>
      <c r="S299" s="344"/>
      <c r="T299" s="344"/>
      <c r="U299" s="475"/>
    </row>
    <row r="300" spans="2:21" ht="26.4" x14ac:dyDescent="0.25">
      <c r="B300" s="375"/>
      <c r="C300" s="351"/>
      <c r="D300" s="376"/>
      <c r="E300" s="134" t="str">
        <f>HLOOKUP(Deckblatt!$C$12,Language!$C$1:$D$730,379,FALSE)</f>
        <v xml:space="preserve">Maßnahmen aus dem Konzept wurden umgesetzt.
</v>
      </c>
      <c r="F300" s="363"/>
      <c r="G300" s="69"/>
      <c r="H300" s="18">
        <v>10</v>
      </c>
      <c r="I300" s="379"/>
      <c r="J300" s="340"/>
      <c r="K300" s="341"/>
      <c r="L300" s="341"/>
      <c r="M300" s="341"/>
      <c r="N300" s="342"/>
      <c r="P300" s="18">
        <f t="shared" si="4"/>
        <v>0</v>
      </c>
      <c r="Q300" s="339"/>
      <c r="R300" s="365"/>
      <c r="S300" s="344"/>
      <c r="T300" s="344"/>
      <c r="U300" s="475"/>
    </row>
    <row r="301" spans="2:21" x14ac:dyDescent="0.25">
      <c r="B301" s="55" t="s">
        <v>372</v>
      </c>
      <c r="C301" s="354" t="str">
        <f>HLOOKUP(Deckblatt!$C$12,Language!$C$1:$D$730,380,FALSE)</f>
        <v>Soziale und Erwerbswirtschaftliche Infrastruktur</v>
      </c>
      <c r="D301" s="354"/>
      <c r="E301" s="355"/>
      <c r="F301" s="66">
        <f>Q301</f>
        <v>0</v>
      </c>
      <c r="G301" s="372"/>
      <c r="H301" s="21">
        <v>110</v>
      </c>
      <c r="I301" s="176">
        <v>3</v>
      </c>
      <c r="J301" s="340"/>
      <c r="K301" s="341"/>
      <c r="L301" s="341"/>
      <c r="M301" s="341"/>
      <c r="N301" s="342"/>
      <c r="P301" s="18">
        <f t="shared" si="4"/>
        <v>0</v>
      </c>
      <c r="Q301" s="337">
        <f>IF(SUM(IF(SUM(P303:P305)&gt;20,20,SUM(P303:P305)),IF(SUM(P307:P312)&gt;45,45,SUM(P307:P312)),P314)&gt;100,100+P316,SUM(IF(SUM(P303:P305)&gt;20,20,SUM(P303:P305)),IF(SUM(P307:P312)&gt;45,45,SUM(P307:P312)),P314)+P316)</f>
        <v>0</v>
      </c>
      <c r="R301" s="343">
        <f>Q301/100</f>
        <v>0</v>
      </c>
      <c r="S301" s="344"/>
      <c r="T301" s="344"/>
      <c r="U301" s="475"/>
    </row>
    <row r="302" spans="2:21" ht="13.2" customHeight="1" x14ac:dyDescent="0.25">
      <c r="B302" s="375"/>
      <c r="C302" s="351" t="s">
        <v>54</v>
      </c>
      <c r="D302" s="352" t="str">
        <f>HLOOKUP(Deckblatt!$C$12,Language!$C$1:$D$730,381,FALSE)</f>
        <v>Soziale Infrastruktur</v>
      </c>
      <c r="E302" s="353"/>
      <c r="F302" s="363"/>
      <c r="G302" s="374"/>
      <c r="H302" s="21">
        <v>20</v>
      </c>
      <c r="I302" s="379"/>
      <c r="J302" s="340"/>
      <c r="K302" s="341"/>
      <c r="L302" s="341"/>
      <c r="M302" s="341"/>
      <c r="N302" s="342"/>
      <c r="P302" s="18">
        <f t="shared" si="4"/>
        <v>0</v>
      </c>
      <c r="Q302" s="338"/>
      <c r="R302" s="344"/>
      <c r="S302" s="344"/>
      <c r="T302" s="344"/>
      <c r="U302" s="475"/>
    </row>
    <row r="303" spans="2:21" x14ac:dyDescent="0.25">
      <c r="B303" s="375"/>
      <c r="C303" s="351"/>
      <c r="D303" s="71" t="s">
        <v>58</v>
      </c>
      <c r="E303" s="134" t="str">
        <f>HLOOKUP(Deckblatt!$C$12,Language!$C$1:$D$730,382,FALSE)</f>
        <v>Bildung 1: Kinderbetreuung und Grundschule</v>
      </c>
      <c r="F303" s="363"/>
      <c r="G303" s="69"/>
      <c r="H303" s="18">
        <v>20</v>
      </c>
      <c r="I303" s="379"/>
      <c r="J303" s="340"/>
      <c r="K303" s="341"/>
      <c r="L303" s="341"/>
      <c r="M303" s="341"/>
      <c r="N303" s="342"/>
      <c r="P303" s="18">
        <f t="shared" si="4"/>
        <v>0</v>
      </c>
      <c r="Q303" s="338"/>
      <c r="R303" s="344"/>
      <c r="S303" s="344"/>
      <c r="T303" s="344"/>
      <c r="U303" s="475"/>
    </row>
    <row r="304" spans="2:21" ht="52.8" x14ac:dyDescent="0.25">
      <c r="B304" s="375"/>
      <c r="C304" s="351"/>
      <c r="D304" s="71" t="s">
        <v>246</v>
      </c>
      <c r="E304" s="134" t="str">
        <f>HLOOKUP(Deckblatt!$C$12,Language!$C$1:$D$730,384,FALSE)</f>
        <v xml:space="preserve">Freizeit: Kunst und Kultur (Kino, Theater, Galerien, (Werks-)Museen), Bücherei, Quartierszentrum, Bürgerhaus, Jugendraum, Seniorentreff etc. 
</v>
      </c>
      <c r="F304" s="363"/>
      <c r="G304" s="69"/>
      <c r="H304" s="18">
        <v>5</v>
      </c>
      <c r="I304" s="379"/>
      <c r="J304" s="340"/>
      <c r="K304" s="341"/>
      <c r="L304" s="341"/>
      <c r="M304" s="341"/>
      <c r="N304" s="342"/>
      <c r="P304" s="18">
        <f t="shared" si="4"/>
        <v>0</v>
      </c>
      <c r="Q304" s="338"/>
      <c r="R304" s="344"/>
      <c r="S304" s="344"/>
      <c r="T304" s="344"/>
      <c r="U304" s="475"/>
    </row>
    <row r="305" spans="2:22" ht="39.6" x14ac:dyDescent="0.25">
      <c r="B305" s="375"/>
      <c r="C305" s="351"/>
      <c r="D305" s="71" t="s">
        <v>121</v>
      </c>
      <c r="E305" s="134" t="str">
        <f>HLOOKUP(Deckblatt!$C$12,Language!$C$1:$D$730,386,FALSE)</f>
        <v xml:space="preserve">Sportstätten: Turn- und Sporthalle, Sportfreigelände/Sportplatz mit Leichtathletik, Hallen- oder Freibad, etc. 
</v>
      </c>
      <c r="F305" s="363"/>
      <c r="G305" s="69"/>
      <c r="H305" s="18">
        <v>5</v>
      </c>
      <c r="I305" s="379"/>
      <c r="J305" s="340"/>
      <c r="K305" s="341"/>
      <c r="L305" s="341"/>
      <c r="M305" s="341"/>
      <c r="N305" s="342"/>
      <c r="P305" s="18">
        <f t="shared" si="4"/>
        <v>0</v>
      </c>
      <c r="Q305" s="338"/>
      <c r="R305" s="344"/>
      <c r="S305" s="344"/>
      <c r="T305" s="344"/>
      <c r="U305" s="475"/>
    </row>
    <row r="306" spans="2:22" ht="13.2" customHeight="1" x14ac:dyDescent="0.25">
      <c r="B306" s="375"/>
      <c r="C306" s="359" t="s">
        <v>61</v>
      </c>
      <c r="D306" s="352" t="str">
        <f>HLOOKUP(Deckblatt!$C$12,Language!$C$1:$D$730,387,FALSE)</f>
        <v>Erwerbswirtschaftliche Infrastruktur</v>
      </c>
      <c r="E306" s="353"/>
      <c r="F306" s="363"/>
      <c r="G306" s="113"/>
      <c r="H306" s="21">
        <v>45</v>
      </c>
      <c r="I306" s="379"/>
      <c r="J306" s="340"/>
      <c r="K306" s="341"/>
      <c r="L306" s="341"/>
      <c r="M306" s="341"/>
      <c r="N306" s="342"/>
      <c r="P306" s="18">
        <f t="shared" si="4"/>
        <v>0</v>
      </c>
      <c r="Q306" s="338"/>
      <c r="R306" s="344"/>
      <c r="S306" s="344"/>
      <c r="T306" s="344"/>
      <c r="U306" s="475"/>
    </row>
    <row r="307" spans="2:22" ht="39.6" x14ac:dyDescent="0.25">
      <c r="B307" s="375"/>
      <c r="C307" s="390"/>
      <c r="D307" s="71" t="s">
        <v>63</v>
      </c>
      <c r="E307" s="134" t="str">
        <f>HLOOKUP(Deckblatt!$C$12,Language!$C$1:$D$730,388,FALSE)</f>
        <v xml:space="preserve">Es gibt ein Handels-/Zentrenkonzept in welches das Quartier/der Standort eingebunden ist
</v>
      </c>
      <c r="F307" s="363"/>
      <c r="G307" s="69"/>
      <c r="H307" s="18">
        <v>10</v>
      </c>
      <c r="I307" s="379"/>
      <c r="J307" s="340"/>
      <c r="K307" s="341"/>
      <c r="L307" s="341"/>
      <c r="M307" s="341"/>
      <c r="N307" s="342"/>
      <c r="P307" s="18">
        <f t="shared" si="4"/>
        <v>0</v>
      </c>
      <c r="Q307" s="338"/>
      <c r="R307" s="344"/>
      <c r="S307" s="344"/>
      <c r="T307" s="344"/>
      <c r="U307" s="475"/>
    </row>
    <row r="308" spans="2:22" ht="26.4" x14ac:dyDescent="0.25">
      <c r="B308" s="375"/>
      <c r="C308" s="390"/>
      <c r="D308" s="71" t="s">
        <v>186</v>
      </c>
      <c r="E308" s="134" t="str">
        <f>HLOOKUP(Deckblatt!$C$12,Language!$C$1:$D$730,389,FALSE)</f>
        <v>Nahversorgung 1: Angebot von Gütern des täglichen Bedarfs ist vor Ort vorhanden (ausgenommen Bestellungen von E-Commerce Plattformen).</v>
      </c>
      <c r="F308" s="363"/>
      <c r="G308" s="69"/>
      <c r="H308" s="18">
        <v>10</v>
      </c>
      <c r="I308" s="379"/>
      <c r="J308" s="340"/>
      <c r="K308" s="341"/>
      <c r="L308" s="341"/>
      <c r="M308" s="341"/>
      <c r="N308" s="342"/>
      <c r="P308" s="18">
        <f t="shared" si="4"/>
        <v>0</v>
      </c>
      <c r="Q308" s="338"/>
      <c r="R308" s="344"/>
      <c r="S308" s="344"/>
      <c r="T308" s="344"/>
      <c r="U308" s="475"/>
    </row>
    <row r="309" spans="2:22" ht="52.8" x14ac:dyDescent="0.25">
      <c r="B309" s="375"/>
      <c r="C309" s="390"/>
      <c r="D309" s="71" t="s">
        <v>255</v>
      </c>
      <c r="E309" s="134" t="str">
        <f>HLOOKUP(Deckblatt!$C$12,Language!$C$1:$D$730,390,FALSE)</f>
        <v xml:space="preserve">Nahversorgung 2: Kleinteiliger Einzelhandel (Bäckerei, Metzgerei, Drogerie etc.) (Max. Geh-/Fahrzeit mit ÖPNV 10 Min), (Max. Entfernung Luftlinie 700 m)
</v>
      </c>
      <c r="F309" s="363"/>
      <c r="G309" s="69"/>
      <c r="H309" s="18">
        <v>5</v>
      </c>
      <c r="I309" s="379"/>
      <c r="J309" s="340"/>
      <c r="K309" s="341"/>
      <c r="L309" s="341"/>
      <c r="M309" s="341"/>
      <c r="N309" s="342"/>
      <c r="P309" s="18">
        <f t="shared" si="4"/>
        <v>0</v>
      </c>
      <c r="Q309" s="338"/>
      <c r="R309" s="344"/>
      <c r="S309" s="344"/>
      <c r="T309" s="344"/>
      <c r="U309" s="475"/>
    </row>
    <row r="310" spans="2:22" ht="26.4" x14ac:dyDescent="0.25">
      <c r="B310" s="375"/>
      <c r="C310" s="390"/>
      <c r="D310" s="71" t="s">
        <v>257</v>
      </c>
      <c r="E310" s="134" t="str">
        <f>HLOOKUP(Deckblatt!$C$12,Language!$C$1:$D$730,392,FALSE)</f>
        <v xml:space="preserve">Gastronomie: Restaurant, Café, Bäckerei, Kantine, Mensa, etc. 
</v>
      </c>
      <c r="F310" s="363"/>
      <c r="G310" s="69"/>
      <c r="H310" s="18">
        <v>5</v>
      </c>
      <c r="I310" s="379"/>
      <c r="J310" s="340"/>
      <c r="K310" s="341"/>
      <c r="L310" s="341"/>
      <c r="M310" s="341"/>
      <c r="N310" s="342"/>
      <c r="P310" s="18">
        <f t="shared" si="4"/>
        <v>0</v>
      </c>
      <c r="Q310" s="338"/>
      <c r="R310" s="344"/>
      <c r="S310" s="344"/>
      <c r="T310" s="344"/>
      <c r="U310" s="475"/>
    </row>
    <row r="311" spans="2:22" ht="52.8" x14ac:dyDescent="0.25">
      <c r="B311" s="375"/>
      <c r="C311" s="390"/>
      <c r="D311" s="71" t="s">
        <v>258</v>
      </c>
      <c r="E311" s="134" t="str">
        <f>HLOOKUP(Deckblatt!$C$12,Language!$C$1:$D$730,393,FALSE)</f>
        <v xml:space="preserve">Sonstige Dienstleistungen: Bank, Post, (dienstleisterunabhängige) Paketstation, Friseur, Wellness etc. 
</v>
      </c>
      <c r="F311" s="363"/>
      <c r="G311" s="69"/>
      <c r="H311" s="18">
        <v>5</v>
      </c>
      <c r="I311" s="379"/>
      <c r="J311" s="340"/>
      <c r="K311" s="341"/>
      <c r="L311" s="341"/>
      <c r="M311" s="341"/>
      <c r="N311" s="342"/>
      <c r="P311" s="18">
        <f t="shared" si="4"/>
        <v>0</v>
      </c>
      <c r="Q311" s="338"/>
      <c r="R311" s="344"/>
      <c r="S311" s="344"/>
      <c r="T311" s="344"/>
      <c r="U311" s="475"/>
    </row>
    <row r="312" spans="2:22" ht="66" x14ac:dyDescent="0.25">
      <c r="B312" s="345"/>
      <c r="C312" s="390"/>
      <c r="D312" s="71" t="s">
        <v>259</v>
      </c>
      <c r="E312" s="134" t="str">
        <f>HLOOKUP(Deckblatt!$C$12,Language!$C$1:$D$730,394,FALSE)</f>
        <v xml:space="preserve">Medizinische Versorgung 1: Allgemeinmediziner, Apotheke, (Max. Geh-/Fahrzeit mit ÖPNV 10 Min.)
- Allgemeinmediziner (7 Punkte)
- Apotheke (3 Punkte)
</v>
      </c>
      <c r="F312" s="357"/>
      <c r="G312" s="69"/>
      <c r="H312" s="74">
        <v>10</v>
      </c>
      <c r="I312" s="349"/>
      <c r="J312" s="340"/>
      <c r="K312" s="341"/>
      <c r="L312" s="341"/>
      <c r="M312" s="341"/>
      <c r="N312" s="342"/>
      <c r="P312" s="18">
        <f t="shared" si="4"/>
        <v>0</v>
      </c>
      <c r="Q312" s="338"/>
      <c r="R312" s="344"/>
      <c r="S312" s="344"/>
      <c r="T312" s="344"/>
      <c r="U312" s="475"/>
    </row>
    <row r="313" spans="2:22" ht="13.2" customHeight="1" x14ac:dyDescent="0.25">
      <c r="B313" s="345"/>
      <c r="C313" s="369" t="s">
        <v>64</v>
      </c>
      <c r="D313" s="352" t="str">
        <f>HLOOKUP(Deckblatt!$C$12,Language!$C$1:$D$730,396,FALSE)</f>
        <v>Synergien und Angebote an die Öffentlichkeit</v>
      </c>
      <c r="E313" s="353"/>
      <c r="F313" s="357"/>
      <c r="G313" s="113"/>
      <c r="H313" s="21">
        <v>45</v>
      </c>
      <c r="I313" s="349"/>
      <c r="J313" s="340"/>
      <c r="K313" s="341"/>
      <c r="L313" s="341"/>
      <c r="M313" s="341"/>
      <c r="N313" s="342"/>
      <c r="P313" s="18">
        <f t="shared" si="4"/>
        <v>0</v>
      </c>
      <c r="Q313" s="338"/>
      <c r="R313" s="344"/>
      <c r="S313" s="344"/>
      <c r="T313" s="344"/>
      <c r="U313" s="475"/>
    </row>
    <row r="314" spans="2:22" ht="26.4" x14ac:dyDescent="0.25">
      <c r="B314" s="345"/>
      <c r="C314" s="479"/>
      <c r="D314" s="71" t="s">
        <v>66</v>
      </c>
      <c r="E314" s="134" t="str">
        <f>HLOOKUP(Deckblatt!$C$12,Language!$C$1:$D$730,397,FALSE)</f>
        <v xml:space="preserve">Konzepte und Ideen
</v>
      </c>
      <c r="F314" s="357"/>
      <c r="G314" s="69"/>
      <c r="H314" s="18">
        <v>45</v>
      </c>
      <c r="I314" s="349"/>
      <c r="J314" s="340"/>
      <c r="K314" s="341"/>
      <c r="L314" s="341"/>
      <c r="M314" s="341"/>
      <c r="N314" s="342"/>
      <c r="P314" s="18">
        <f t="shared" si="4"/>
        <v>0</v>
      </c>
      <c r="Q314" s="338"/>
      <c r="R314" s="344"/>
      <c r="S314" s="344"/>
      <c r="T314" s="344"/>
      <c r="U314" s="475"/>
    </row>
    <row r="315" spans="2:22" s="76" customFormat="1" ht="27" customHeight="1" x14ac:dyDescent="0.25">
      <c r="B315" s="345"/>
      <c r="C315" s="480" t="s">
        <v>67</v>
      </c>
      <c r="D315" s="400" t="str">
        <f>HLOOKUP(Deckblatt!$C$12,Language!$C$1:$D$730,398,FALSE)</f>
        <v>CIRCULAR ECONOMY BONUS – ANGEBOTE FÜR DIE TÄGLICHE VERSORGUNG UND ZUM AUSTAUSCH</v>
      </c>
      <c r="E315" s="401"/>
      <c r="F315" s="347"/>
      <c r="G315" s="113"/>
      <c r="H315" s="75">
        <v>10</v>
      </c>
      <c r="I315" s="349"/>
      <c r="J315" s="340"/>
      <c r="K315" s="341"/>
      <c r="L315" s="341"/>
      <c r="M315" s="341"/>
      <c r="N315" s="342"/>
      <c r="P315" s="18">
        <f t="shared" si="4"/>
        <v>0</v>
      </c>
      <c r="Q315" s="338"/>
      <c r="R315" s="344"/>
      <c r="S315" s="344"/>
      <c r="T315" s="344"/>
      <c r="U315" s="475"/>
      <c r="V315" s="183"/>
    </row>
    <row r="316" spans="2:22" ht="93" thickBot="1" x14ac:dyDescent="0.3">
      <c r="B316" s="377"/>
      <c r="C316" s="486"/>
      <c r="D316" s="121" t="s">
        <v>69</v>
      </c>
      <c r="E316"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16" s="378"/>
      <c r="G316" s="70"/>
      <c r="H316" s="59">
        <v>10</v>
      </c>
      <c r="I316" s="380"/>
      <c r="J316" s="340"/>
      <c r="K316" s="341"/>
      <c r="L316" s="341"/>
      <c r="M316" s="341"/>
      <c r="N316" s="342"/>
      <c r="P316" s="18">
        <f t="shared" si="4"/>
        <v>0</v>
      </c>
      <c r="Q316" s="339"/>
      <c r="R316" s="365"/>
      <c r="S316" s="365"/>
      <c r="T316" s="365"/>
      <c r="U316" s="475"/>
    </row>
    <row r="317" spans="2:22" ht="13.2" customHeight="1" x14ac:dyDescent="0.25">
      <c r="B317" s="49" t="s">
        <v>378</v>
      </c>
      <c r="C317" s="354" t="str">
        <f>HLOOKUP(Deckblatt!$C$12,Language!$C$1:$D$730,400,FALSE)</f>
        <v>Energieinfrastruktur</v>
      </c>
      <c r="D317" s="354"/>
      <c r="E317" s="355"/>
      <c r="F317" s="62">
        <f>Q317</f>
        <v>0</v>
      </c>
      <c r="G317" s="487"/>
      <c r="H317" s="136">
        <v>120</v>
      </c>
      <c r="I317" s="178">
        <v>5</v>
      </c>
      <c r="J317" s="340"/>
      <c r="K317" s="341"/>
      <c r="L317" s="341"/>
      <c r="M317" s="341"/>
      <c r="N317" s="342"/>
      <c r="P317" s="18">
        <f t="shared" si="4"/>
        <v>0</v>
      </c>
      <c r="Q317" s="337">
        <f>SUM(P319:P323,P325,P327,P329,P331,P333,P335,P337)</f>
        <v>0</v>
      </c>
      <c r="R317" s="343">
        <f>Q317/100</f>
        <v>0</v>
      </c>
      <c r="S317" s="474">
        <v>0.2</v>
      </c>
      <c r="T317" s="343">
        <f>IF((R317*I317+R338*I338+R366*I366+R379*I379+R406*I406)/(I317+I338+I366+I379+I406)&gt;1,1,(R317*I317+R338*I338+R366*I366+R379*I379+R406*I406)/(I317+I338+I366+I379+I406))</f>
        <v>0</v>
      </c>
      <c r="U317" s="475"/>
    </row>
    <row r="318" spans="2:22" ht="13.2" customHeight="1" x14ac:dyDescent="0.25">
      <c r="B318" s="345"/>
      <c r="C318" s="351" t="s">
        <v>54</v>
      </c>
      <c r="D318" s="352" t="str">
        <f>HLOOKUP(Deckblatt!$C$12,Language!$C$1:$D$730,401,FALSE)</f>
        <v>Integrales Energiekonzept</v>
      </c>
      <c r="E318" s="353"/>
      <c r="F318" s="347"/>
      <c r="G318" s="374"/>
      <c r="H318" s="21">
        <v>20</v>
      </c>
      <c r="I318" s="349"/>
      <c r="J318" s="340"/>
      <c r="K318" s="341"/>
      <c r="L318" s="341"/>
      <c r="M318" s="341"/>
      <c r="N318" s="342"/>
      <c r="P318" s="18">
        <f t="shared" si="4"/>
        <v>0</v>
      </c>
      <c r="Q318" s="338"/>
      <c r="R318" s="344"/>
      <c r="S318" s="474"/>
      <c r="T318" s="344"/>
      <c r="U318" s="475"/>
    </row>
    <row r="319" spans="2:22" ht="23.4" customHeight="1" x14ac:dyDescent="0.25">
      <c r="B319" s="346"/>
      <c r="C319" s="351"/>
      <c r="D319" s="71" t="s">
        <v>58</v>
      </c>
      <c r="E319" s="229" t="str">
        <f>HLOOKUP(Deckblatt!$C$12,Language!$C$1:$D$730,402,FALSE)</f>
        <v xml:space="preserve">Energiebedarf
</v>
      </c>
      <c r="F319" s="348"/>
      <c r="G319" s="69"/>
      <c r="H319" s="18">
        <v>3</v>
      </c>
      <c r="I319" s="350"/>
      <c r="J319" s="340"/>
      <c r="K319" s="341"/>
      <c r="L319" s="341"/>
      <c r="M319" s="341"/>
      <c r="N319" s="342"/>
      <c r="P319" s="18">
        <f t="shared" si="4"/>
        <v>0</v>
      </c>
      <c r="Q319" s="338"/>
      <c r="R319" s="344"/>
      <c r="S319" s="474"/>
      <c r="T319" s="344"/>
      <c r="U319" s="475"/>
    </row>
    <row r="320" spans="2:22" ht="23.4" customHeight="1" x14ac:dyDescent="0.25">
      <c r="B320" s="346"/>
      <c r="C320" s="351"/>
      <c r="D320" s="71" t="s">
        <v>181</v>
      </c>
      <c r="E320" s="229" t="str">
        <f>HLOOKUP(Deckblatt!$C$12,Language!$C$1:$D$730,403,FALSE)</f>
        <v>Energiepotential</v>
      </c>
      <c r="F320" s="348"/>
      <c r="G320" s="69"/>
      <c r="H320" s="18">
        <v>7</v>
      </c>
      <c r="I320" s="350"/>
      <c r="J320" s="340"/>
      <c r="K320" s="341"/>
      <c r="L320" s="341"/>
      <c r="M320" s="341"/>
      <c r="N320" s="342"/>
      <c r="P320" s="18">
        <f t="shared" si="4"/>
        <v>0</v>
      </c>
      <c r="Q320" s="338"/>
      <c r="R320" s="344"/>
      <c r="S320" s="474"/>
      <c r="T320" s="344"/>
      <c r="U320" s="475"/>
    </row>
    <row r="321" spans="2:21" ht="23.4" customHeight="1" x14ac:dyDescent="0.25">
      <c r="B321" s="346"/>
      <c r="C321" s="351"/>
      <c r="D321" s="71" t="s">
        <v>246</v>
      </c>
      <c r="E321" s="229" t="str">
        <f>HLOOKUP(Deckblatt!$C$12,Language!$C$1:$D$730,404,FALSE)</f>
        <v xml:space="preserve">Energiebilanz
</v>
      </c>
      <c r="F321" s="348"/>
      <c r="G321" s="69"/>
      <c r="H321" s="18">
        <v>2</v>
      </c>
      <c r="I321" s="350"/>
      <c r="J321" s="340"/>
      <c r="K321" s="341"/>
      <c r="L321" s="341"/>
      <c r="M321" s="341"/>
      <c r="N321" s="342"/>
      <c r="P321" s="18">
        <f t="shared" si="4"/>
        <v>0</v>
      </c>
      <c r="Q321" s="338"/>
      <c r="R321" s="344"/>
      <c r="S321" s="474"/>
      <c r="T321" s="344"/>
      <c r="U321" s="475"/>
    </row>
    <row r="322" spans="2:21" ht="23.4" customHeight="1" x14ac:dyDescent="0.25">
      <c r="B322" s="346"/>
      <c r="C322" s="351"/>
      <c r="D322" s="71" t="s">
        <v>250</v>
      </c>
      <c r="E322" s="229" t="str">
        <f>HLOOKUP(Deckblatt!$C$12,Language!$C$1:$D$730,405,FALSE)</f>
        <v xml:space="preserve">Energieversorgungsvarianten
</v>
      </c>
      <c r="F322" s="348"/>
      <c r="G322" s="69"/>
      <c r="H322" s="18">
        <v>4</v>
      </c>
      <c r="I322" s="350"/>
      <c r="J322" s="340"/>
      <c r="K322" s="341"/>
      <c r="L322" s="341"/>
      <c r="M322" s="341"/>
      <c r="N322" s="342"/>
      <c r="P322" s="18">
        <f t="shared" si="4"/>
        <v>0</v>
      </c>
      <c r="Q322" s="338"/>
      <c r="R322" s="344"/>
      <c r="S322" s="474"/>
      <c r="T322" s="344"/>
      <c r="U322" s="475"/>
    </row>
    <row r="323" spans="2:21" ht="23.4" customHeight="1" x14ac:dyDescent="0.25">
      <c r="B323" s="346"/>
      <c r="C323" s="351"/>
      <c r="D323" s="71" t="s">
        <v>121</v>
      </c>
      <c r="E323" s="229" t="str">
        <f>HLOOKUP(Deckblatt!$C$12,Language!$C$1:$D$730,406,FALSE)</f>
        <v xml:space="preserve">Investitionen und Betriebskosten
</v>
      </c>
      <c r="F323" s="348"/>
      <c r="G323" s="69"/>
      <c r="H323" s="18">
        <v>4</v>
      </c>
      <c r="I323" s="350"/>
      <c r="J323" s="340"/>
      <c r="K323" s="341"/>
      <c r="L323" s="341"/>
      <c r="M323" s="341"/>
      <c r="N323" s="342"/>
      <c r="P323" s="18">
        <f t="shared" si="4"/>
        <v>0</v>
      </c>
      <c r="Q323" s="338"/>
      <c r="R323" s="344"/>
      <c r="S323" s="474"/>
      <c r="T323" s="344"/>
      <c r="U323" s="475"/>
    </row>
    <row r="324" spans="2:21" ht="13.2" customHeight="1" x14ac:dyDescent="0.25">
      <c r="B324" s="346"/>
      <c r="C324" s="351" t="s">
        <v>61</v>
      </c>
      <c r="D324" s="352" t="str">
        <f>HLOOKUP(Deckblatt!$C$12,Language!$C$1:$D$730,407,FALSE)</f>
        <v>Kohärente Versorgungsstruktur</v>
      </c>
      <c r="E324" s="353"/>
      <c r="F324" s="348"/>
      <c r="G324" s="113"/>
      <c r="H324" s="21">
        <v>10</v>
      </c>
      <c r="I324" s="350"/>
      <c r="J324" s="340"/>
      <c r="K324" s="341"/>
      <c r="L324" s="341"/>
      <c r="M324" s="341"/>
      <c r="N324" s="342"/>
      <c r="P324" s="18">
        <f t="shared" si="4"/>
        <v>0</v>
      </c>
      <c r="Q324" s="338"/>
      <c r="R324" s="344"/>
      <c r="S324" s="474"/>
      <c r="T324" s="344"/>
      <c r="U324" s="475"/>
    </row>
    <row r="325" spans="2:21" ht="34.200000000000003" customHeight="1" x14ac:dyDescent="0.25">
      <c r="B325" s="346"/>
      <c r="C325" s="351"/>
      <c r="D325" s="71" t="s">
        <v>63</v>
      </c>
      <c r="E325" s="229" t="str">
        <f>HLOOKUP(Deckblatt!$C$12,Language!$C$1:$D$730,408,FALSE)</f>
        <v xml:space="preserve">Wärme- und Kälteversorgungsstruktur
Eine kohärente Wärme- bzw. Kälteversorgungsstruktur ist gegeben.
</v>
      </c>
      <c r="F325" s="348"/>
      <c r="G325" s="69"/>
      <c r="H325" s="18">
        <v>10</v>
      </c>
      <c r="I325" s="350"/>
      <c r="J325" s="340"/>
      <c r="K325" s="341"/>
      <c r="L325" s="341"/>
      <c r="M325" s="341"/>
      <c r="N325" s="342"/>
      <c r="P325" s="18">
        <f t="shared" si="4"/>
        <v>0</v>
      </c>
      <c r="Q325" s="338"/>
      <c r="R325" s="344"/>
      <c r="S325" s="474"/>
      <c r="T325" s="344"/>
      <c r="U325" s="475"/>
    </row>
    <row r="326" spans="2:21" ht="13.2" customHeight="1" x14ac:dyDescent="0.25">
      <c r="B326" s="346"/>
      <c r="C326" s="351" t="s">
        <v>64</v>
      </c>
      <c r="D326" s="352" t="str">
        <f>HLOOKUP(Deckblatt!$C$12,Language!$C$1:$D$730,409,FALSE)</f>
        <v>Nutzung von Synergien</v>
      </c>
      <c r="E326" s="353"/>
      <c r="F326" s="348"/>
      <c r="G326" s="113"/>
      <c r="H326" s="21">
        <v>30</v>
      </c>
      <c r="I326" s="350"/>
      <c r="J326" s="340"/>
      <c r="K326" s="341"/>
      <c r="L326" s="341"/>
      <c r="M326" s="341"/>
      <c r="N326" s="342"/>
      <c r="P326" s="18">
        <f t="shared" si="4"/>
        <v>0</v>
      </c>
      <c r="Q326" s="338"/>
      <c r="R326" s="344"/>
      <c r="S326" s="474"/>
      <c r="T326" s="344"/>
      <c r="U326" s="475"/>
    </row>
    <row r="327" spans="2:21" ht="58.95" customHeight="1" x14ac:dyDescent="0.25">
      <c r="B327" s="346"/>
      <c r="C327" s="351"/>
      <c r="D327" s="71" t="s">
        <v>66</v>
      </c>
      <c r="E327" s="134" t="str">
        <f>HLOOKUP(Deckblatt!$C$12,Language!$C$1:$D$730,410,FALSE)</f>
        <v xml:space="preserve">Synergien und Energiekreisläufe
Durch die gemeinsame Planung von Gebäuden und Anlagen werden integrale Energiekreisläufe für Strom,  Wärme und Kälte in signifikantem  Umfang geschaffen. </v>
      </c>
      <c r="F327" s="348"/>
      <c r="G327" s="69"/>
      <c r="H327" s="18">
        <v>20</v>
      </c>
      <c r="I327" s="350"/>
      <c r="J327" s="340"/>
      <c r="K327" s="341"/>
      <c r="L327" s="341"/>
      <c r="M327" s="341"/>
      <c r="N327" s="342"/>
      <c r="P327" s="18">
        <f t="shared" si="4"/>
        <v>0</v>
      </c>
      <c r="Q327" s="338"/>
      <c r="R327" s="344"/>
      <c r="S327" s="474"/>
      <c r="T327" s="344"/>
      <c r="U327" s="475"/>
    </row>
    <row r="328" spans="2:21" ht="31.2" customHeight="1" x14ac:dyDescent="0.25">
      <c r="B328" s="346"/>
      <c r="C328" s="351"/>
      <c r="D328" s="398" t="s">
        <v>188</v>
      </c>
      <c r="E328" s="54" t="str">
        <f>HLOOKUP(Deckblatt!$C$12,Language!$C$1:$D$730,411,FALSE)</f>
        <v>AGENDA 2030 BONUS – NUTZUNG ERNEUERBARER ENERGIETRÄGER UND ENERGIEERZEUGUNG</v>
      </c>
      <c r="F328" s="348"/>
      <c r="G328" s="113"/>
      <c r="H328" s="21">
        <v>10</v>
      </c>
      <c r="I328" s="350"/>
      <c r="J328" s="340"/>
      <c r="K328" s="341"/>
      <c r="L328" s="341"/>
      <c r="M328" s="341"/>
      <c r="N328" s="342"/>
      <c r="P328" s="18">
        <f t="shared" si="4"/>
        <v>0</v>
      </c>
      <c r="Q328" s="338"/>
      <c r="R328" s="344"/>
      <c r="S328" s="474"/>
      <c r="T328" s="344"/>
      <c r="U328" s="475"/>
    </row>
    <row r="329" spans="2:21" ht="101.4" customHeight="1" x14ac:dyDescent="0.25">
      <c r="B329" s="346"/>
      <c r="C329" s="351"/>
      <c r="D329" s="399"/>
      <c r="E329"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29" s="348"/>
      <c r="G329" s="69"/>
      <c r="H329" s="18">
        <v>10</v>
      </c>
      <c r="I329" s="350"/>
      <c r="J329" s="340"/>
      <c r="K329" s="341"/>
      <c r="L329" s="341"/>
      <c r="M329" s="341"/>
      <c r="N329" s="342"/>
      <c r="P329" s="18">
        <f t="shared" si="4"/>
        <v>0</v>
      </c>
      <c r="Q329" s="338"/>
      <c r="R329" s="344"/>
      <c r="S329" s="474"/>
      <c r="T329" s="344"/>
      <c r="U329" s="475"/>
    </row>
    <row r="330" spans="2:21" ht="13.2" customHeight="1" x14ac:dyDescent="0.25">
      <c r="B330" s="346"/>
      <c r="C330" s="369" t="s">
        <v>67</v>
      </c>
      <c r="D330" s="352" t="str">
        <f>HLOOKUP(Deckblatt!$C$12,Language!$C$1:$D$730,413,FALSE)</f>
        <v>Energiemanagement und Energieaudits</v>
      </c>
      <c r="E330" s="353"/>
      <c r="F330" s="348"/>
      <c r="G330" s="113"/>
      <c r="H330" s="21">
        <v>10</v>
      </c>
      <c r="I330" s="350"/>
      <c r="J330" s="340"/>
      <c r="K330" s="341"/>
      <c r="L330" s="341"/>
      <c r="M330" s="341"/>
      <c r="N330" s="342"/>
      <c r="P330" s="18">
        <f t="shared" si="4"/>
        <v>0</v>
      </c>
      <c r="Q330" s="338"/>
      <c r="R330" s="344"/>
      <c r="S330" s="474"/>
      <c r="T330" s="344"/>
      <c r="U330" s="475"/>
    </row>
    <row r="331" spans="2:21" ht="60.6" customHeight="1" x14ac:dyDescent="0.25">
      <c r="B331" s="346"/>
      <c r="C331" s="479"/>
      <c r="D331" s="71" t="s">
        <v>69</v>
      </c>
      <c r="E331"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31" s="348"/>
      <c r="G331" s="69"/>
      <c r="H331" s="18">
        <v>10</v>
      </c>
      <c r="I331" s="350"/>
      <c r="J331" s="340"/>
      <c r="K331" s="341"/>
      <c r="L331" s="341"/>
      <c r="M331" s="341"/>
      <c r="N331" s="342"/>
      <c r="P331" s="18">
        <f t="shared" si="4"/>
        <v>0</v>
      </c>
      <c r="Q331" s="338"/>
      <c r="R331" s="344"/>
      <c r="S331" s="474"/>
      <c r="T331" s="344"/>
      <c r="U331" s="475"/>
    </row>
    <row r="332" spans="2:21" ht="13.2" customHeight="1" x14ac:dyDescent="0.25">
      <c r="B332" s="346"/>
      <c r="C332" s="369" t="s">
        <v>154</v>
      </c>
      <c r="D332" s="352" t="str">
        <f>HLOOKUP(Deckblatt!$C$12,Language!$C$1:$D$730,415,FALSE)</f>
        <v>Lastmanagement</v>
      </c>
      <c r="E332" s="353"/>
      <c r="F332" s="348"/>
      <c r="G332" s="113"/>
      <c r="H332" s="21">
        <v>10</v>
      </c>
      <c r="I332" s="350"/>
      <c r="J332" s="340"/>
      <c r="K332" s="341"/>
      <c r="L332" s="341"/>
      <c r="M332" s="341"/>
      <c r="N332" s="342"/>
      <c r="P332" s="18">
        <f t="shared" si="4"/>
        <v>0</v>
      </c>
      <c r="Q332" s="338"/>
      <c r="R332" s="344"/>
      <c r="S332" s="474"/>
      <c r="T332" s="344"/>
      <c r="U332" s="475"/>
    </row>
    <row r="333" spans="2:21" ht="52.8" x14ac:dyDescent="0.25">
      <c r="B333" s="346"/>
      <c r="C333" s="479"/>
      <c r="D333" s="71" t="s">
        <v>156</v>
      </c>
      <c r="E333" s="134" t="str">
        <f>HLOOKUP(Deckblatt!$C$12,Language!$C$1:$D$730,416,FALSE)</f>
        <v xml:space="preserve">Lastmanagement auf Quartierebene
Es wurde ein Lastmanagement auf Ebene des Quartiers bzw. für große Verbraucher eingeführt.
</v>
      </c>
      <c r="F333" s="348"/>
      <c r="G333" s="69"/>
      <c r="H333" s="18">
        <v>10</v>
      </c>
      <c r="I333" s="350"/>
      <c r="J333" s="340"/>
      <c r="K333" s="341"/>
      <c r="L333" s="341"/>
      <c r="M333" s="341"/>
      <c r="N333" s="342"/>
      <c r="P333" s="18">
        <f t="shared" si="4"/>
        <v>0</v>
      </c>
      <c r="Q333" s="338"/>
      <c r="R333" s="344"/>
      <c r="S333" s="474"/>
      <c r="T333" s="344"/>
      <c r="U333" s="475"/>
    </row>
    <row r="334" spans="2:21" ht="13.2" customHeight="1" x14ac:dyDescent="0.25">
      <c r="B334" s="346"/>
      <c r="C334" s="359" t="s">
        <v>157</v>
      </c>
      <c r="D334" s="352" t="str">
        <f>HLOOKUP(Deckblatt!$C$12,Language!$C$1:$D$730,417,FALSE)</f>
        <v>Energieerzeugung im Quartier</v>
      </c>
      <c r="E334" s="353"/>
      <c r="F334" s="348"/>
      <c r="G334" s="113"/>
      <c r="H334" s="21">
        <v>40</v>
      </c>
      <c r="I334" s="350"/>
      <c r="J334" s="340"/>
      <c r="K334" s="341"/>
      <c r="L334" s="341"/>
      <c r="M334" s="341"/>
      <c r="N334" s="342"/>
      <c r="P334" s="18">
        <f t="shared" si="4"/>
        <v>0</v>
      </c>
      <c r="Q334" s="338"/>
      <c r="R334" s="344"/>
      <c r="S334" s="474"/>
      <c r="T334" s="344"/>
      <c r="U334" s="475"/>
    </row>
    <row r="335" spans="2:21" ht="52.8" x14ac:dyDescent="0.25">
      <c r="B335" s="346"/>
      <c r="C335" s="390"/>
      <c r="D335" s="71" t="s">
        <v>159</v>
      </c>
      <c r="E335" s="134" t="str">
        <f>HLOOKUP(Deckblatt!$C$12,Language!$C$1:$D$730,418,FALSE)</f>
        <v xml:space="preserve">Nutzung der Dachflächen zur Energiegewinnung
Prozentualer Anteil der Dachflächen die zur regenerative Energieerzeugung genutzt werden
</v>
      </c>
      <c r="F335" s="348"/>
      <c r="G335" s="69"/>
      <c r="H335" s="18">
        <v>30</v>
      </c>
      <c r="I335" s="350"/>
      <c r="J335" s="340"/>
      <c r="K335" s="341"/>
      <c r="L335" s="341"/>
      <c r="M335" s="341"/>
      <c r="N335" s="342"/>
      <c r="P335" s="18">
        <f t="shared" si="4"/>
        <v>0</v>
      </c>
      <c r="Q335" s="338"/>
      <c r="R335" s="344"/>
      <c r="S335" s="474"/>
      <c r="T335" s="344"/>
      <c r="U335" s="475"/>
    </row>
    <row r="336" spans="2:21" ht="37.200000000000003" customHeight="1" x14ac:dyDescent="0.25">
      <c r="B336" s="346"/>
      <c r="C336" s="390"/>
      <c r="D336" s="398" t="s">
        <v>160</v>
      </c>
      <c r="E336" s="54" t="str">
        <f>HLOOKUP(Deckblatt!$C$12,Language!$C$1:$D$730,419,FALSE)</f>
        <v>AGENDA 2030 BONUS – NUTZUNG DER FASSADENFLÄCHEN ZUR ENERGIEGEWINNUNG</v>
      </c>
      <c r="F336" s="348"/>
      <c r="G336" s="113"/>
      <c r="H336" s="21">
        <v>10</v>
      </c>
      <c r="I336" s="350"/>
      <c r="J336" s="340"/>
      <c r="K336" s="341"/>
      <c r="L336" s="341"/>
      <c r="M336" s="341"/>
      <c r="N336" s="342"/>
      <c r="P336" s="18">
        <f t="shared" si="4"/>
        <v>0</v>
      </c>
      <c r="Q336" s="338"/>
      <c r="R336" s="344"/>
      <c r="S336" s="474"/>
      <c r="T336" s="344"/>
      <c r="U336" s="475"/>
    </row>
    <row r="337" spans="2:21" ht="90.6" customHeight="1" x14ac:dyDescent="0.25">
      <c r="B337" s="370"/>
      <c r="C337" s="360"/>
      <c r="D337" s="399"/>
      <c r="E337"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37" s="371"/>
      <c r="G337" s="69"/>
      <c r="H337" s="18">
        <v>10</v>
      </c>
      <c r="I337" s="366"/>
      <c r="J337" s="340"/>
      <c r="K337" s="341"/>
      <c r="L337" s="341"/>
      <c r="M337" s="341"/>
      <c r="N337" s="342"/>
      <c r="P337" s="18">
        <f t="shared" si="4"/>
        <v>0</v>
      </c>
      <c r="Q337" s="339"/>
      <c r="R337" s="365"/>
      <c r="S337" s="474"/>
      <c r="T337" s="344"/>
      <c r="U337" s="475"/>
    </row>
    <row r="338" spans="2:21" x14ac:dyDescent="0.25">
      <c r="B338" s="55" t="s">
        <v>391</v>
      </c>
      <c r="C338" s="354" t="str">
        <f>HLOOKUP(Deckblatt!$C$12,Language!$C$1:$D$730,423,FALSE)</f>
        <v>Wertstoffmanagement</v>
      </c>
      <c r="D338" s="354"/>
      <c r="E338" s="355"/>
      <c r="F338" s="66">
        <f>Q338</f>
        <v>0</v>
      </c>
      <c r="G338" s="364"/>
      <c r="H338" s="21">
        <v>120</v>
      </c>
      <c r="I338" s="176">
        <v>3</v>
      </c>
      <c r="J338" s="340"/>
      <c r="K338" s="341"/>
      <c r="L338" s="341"/>
      <c r="M338" s="341"/>
      <c r="N338" s="342"/>
      <c r="P338" s="18">
        <f t="shared" si="4"/>
        <v>0</v>
      </c>
      <c r="Q338" s="337">
        <f>IF(SUM(SUM(P340:P362),IF(P364+P365&gt;10,10,P364+P365))&gt;120,120,SUM(SUM(P340:P362),IF(P364+P365&gt;10,10,P364+P365)))</f>
        <v>0</v>
      </c>
      <c r="R338" s="490">
        <f>Q338/100</f>
        <v>0</v>
      </c>
      <c r="S338" s="474"/>
      <c r="T338" s="344"/>
      <c r="U338" s="475"/>
    </row>
    <row r="339" spans="2:21" ht="13.2" customHeight="1" x14ac:dyDescent="0.25">
      <c r="B339" s="375"/>
      <c r="C339" s="359" t="s">
        <v>54</v>
      </c>
      <c r="D339" s="352" t="str">
        <f>HLOOKUP(Deckblatt!$C$12,Language!$C$1:$D$730,424,FALSE)</f>
        <v>Konzept für Wertstoffnutzung</v>
      </c>
      <c r="E339" s="353"/>
      <c r="F339" s="363"/>
      <c r="G339" s="364"/>
      <c r="H339" s="21">
        <v>22</v>
      </c>
      <c r="I339" s="379"/>
      <c r="J339" s="340"/>
      <c r="K339" s="341"/>
      <c r="L339" s="341"/>
      <c r="M339" s="341"/>
      <c r="N339" s="342"/>
      <c r="P339" s="18">
        <f t="shared" si="4"/>
        <v>0</v>
      </c>
      <c r="Q339" s="338"/>
      <c r="R339" s="491"/>
      <c r="S339" s="474"/>
      <c r="T339" s="344"/>
      <c r="U339" s="475"/>
    </row>
    <row r="340" spans="2:21" ht="26.4" x14ac:dyDescent="0.25">
      <c r="B340" s="375"/>
      <c r="C340" s="390"/>
      <c r="D340" s="71" t="s">
        <v>58</v>
      </c>
      <c r="E340" s="134" t="str">
        <f>HLOOKUP(Deckblatt!$C$12,Language!$C$1:$D$730,425,FALSE)</f>
        <v xml:space="preserve">Konzept Wertstoffnutzung
</v>
      </c>
      <c r="F340" s="363"/>
      <c r="G340" s="69"/>
      <c r="H340" s="18">
        <v>10</v>
      </c>
      <c r="I340" s="379"/>
      <c r="J340" s="340"/>
      <c r="K340" s="341"/>
      <c r="L340" s="341"/>
      <c r="M340" s="341"/>
      <c r="N340" s="342"/>
      <c r="P340" s="18">
        <f t="shared" si="4"/>
        <v>0</v>
      </c>
      <c r="Q340" s="338"/>
      <c r="R340" s="491"/>
      <c r="S340" s="474"/>
      <c r="T340" s="344"/>
      <c r="U340" s="475"/>
    </row>
    <row r="341" spans="2:21" ht="26.4" x14ac:dyDescent="0.25">
      <c r="B341" s="375"/>
      <c r="C341" s="390"/>
      <c r="D341" s="71" t="s">
        <v>181</v>
      </c>
      <c r="E341" s="134" t="str">
        <f>HLOOKUP(Deckblatt!$C$12,Language!$C$1:$D$730,426,FALSE)</f>
        <v xml:space="preserve">Abfallvermeidung und Abfallverwertung
</v>
      </c>
      <c r="F341" s="363"/>
      <c r="G341" s="69"/>
      <c r="H341" s="18">
        <v>4</v>
      </c>
      <c r="I341" s="379"/>
      <c r="J341" s="340"/>
      <c r="K341" s="341"/>
      <c r="L341" s="341"/>
      <c r="M341" s="341"/>
      <c r="N341" s="342"/>
      <c r="P341" s="18">
        <f t="shared" si="4"/>
        <v>0</v>
      </c>
      <c r="Q341" s="338"/>
      <c r="R341" s="491"/>
      <c r="S341" s="474"/>
      <c r="T341" s="344"/>
      <c r="U341" s="475"/>
    </row>
    <row r="342" spans="2:21" ht="26.4" x14ac:dyDescent="0.25">
      <c r="B342" s="375"/>
      <c r="C342" s="390"/>
      <c r="D342" s="71" t="s">
        <v>246</v>
      </c>
      <c r="E342" s="134" t="str">
        <f>HLOOKUP(Deckblatt!$C$12,Language!$C$1:$D$730,427,FALSE)</f>
        <v xml:space="preserve">Methoden, Anlagen und Einrichtungen
</v>
      </c>
      <c r="F342" s="363"/>
      <c r="G342" s="69"/>
      <c r="H342" s="18">
        <v>2</v>
      </c>
      <c r="I342" s="379"/>
      <c r="J342" s="340"/>
      <c r="K342" s="341"/>
      <c r="L342" s="341"/>
      <c r="M342" s="341"/>
      <c r="N342" s="342"/>
      <c r="P342" s="18">
        <f t="shared" si="4"/>
        <v>0</v>
      </c>
      <c r="Q342" s="338"/>
      <c r="R342" s="491"/>
      <c r="S342" s="474"/>
      <c r="T342" s="344"/>
      <c r="U342" s="475"/>
    </row>
    <row r="343" spans="2:21" ht="26.4" x14ac:dyDescent="0.25">
      <c r="B343" s="375"/>
      <c r="C343" s="390"/>
      <c r="D343" s="71" t="s">
        <v>250</v>
      </c>
      <c r="E343" s="134" t="str">
        <f>HLOOKUP(Deckblatt!$C$12,Language!$C$1:$D$730,428,FALSE)</f>
        <v xml:space="preserve">Laufzeit Abfallentsorgungsanlage
</v>
      </c>
      <c r="F343" s="363"/>
      <c r="G343" s="69"/>
      <c r="H343" s="18">
        <v>2</v>
      </c>
      <c r="I343" s="379"/>
      <c r="J343" s="340"/>
      <c r="K343" s="341"/>
      <c r="L343" s="341"/>
      <c r="M343" s="341"/>
      <c r="N343" s="342"/>
      <c r="P343" s="18">
        <f t="shared" si="4"/>
        <v>0</v>
      </c>
      <c r="Q343" s="338"/>
      <c r="R343" s="491"/>
      <c r="S343" s="474"/>
      <c r="T343" s="344"/>
      <c r="U343" s="475"/>
    </row>
    <row r="344" spans="2:21" ht="26.4" x14ac:dyDescent="0.25">
      <c r="B344" s="375"/>
      <c r="C344" s="390"/>
      <c r="D344" s="71" t="s">
        <v>121</v>
      </c>
      <c r="E344" s="134" t="str">
        <f>HLOOKUP(Deckblatt!$C$12,Language!$C$1:$D$730,429,FALSE)</f>
        <v xml:space="preserve">Maßnahmen, Zeitpläne, Standorte
</v>
      </c>
      <c r="F344" s="363"/>
      <c r="G344" s="69"/>
      <c r="H344" s="18">
        <v>2</v>
      </c>
      <c r="I344" s="379"/>
      <c r="J344" s="340"/>
      <c r="K344" s="341"/>
      <c r="L344" s="341"/>
      <c r="M344" s="341"/>
      <c r="N344" s="342"/>
      <c r="P344" s="18">
        <f t="shared" si="4"/>
        <v>0</v>
      </c>
      <c r="Q344" s="338"/>
      <c r="R344" s="491"/>
      <c r="S344" s="474"/>
      <c r="T344" s="344"/>
      <c r="U344" s="475"/>
    </row>
    <row r="345" spans="2:21" ht="26.4" x14ac:dyDescent="0.25">
      <c r="B345" s="375"/>
      <c r="C345" s="360"/>
      <c r="D345" s="71" t="s">
        <v>824</v>
      </c>
      <c r="E345" s="134" t="str">
        <f>HLOOKUP(Deckblatt!$C$12,Language!$C$1:$D$730,430,FALSE)</f>
        <v xml:space="preserve">Darstellung Entsorgungsträger
</v>
      </c>
      <c r="F345" s="363"/>
      <c r="G345" s="69"/>
      <c r="H345" s="18">
        <v>2</v>
      </c>
      <c r="I345" s="379"/>
      <c r="J345" s="340"/>
      <c r="K345" s="341"/>
      <c r="L345" s="341"/>
      <c r="M345" s="341"/>
      <c r="N345" s="342"/>
      <c r="P345" s="18">
        <f t="shared" si="4"/>
        <v>0</v>
      </c>
      <c r="Q345" s="338"/>
      <c r="R345" s="491"/>
      <c r="S345" s="474"/>
      <c r="T345" s="344"/>
      <c r="U345" s="475"/>
    </row>
    <row r="346" spans="2:21" ht="13.2" customHeight="1" x14ac:dyDescent="0.25">
      <c r="B346" s="375"/>
      <c r="C346" s="369" t="s">
        <v>61</v>
      </c>
      <c r="D346" s="352" t="str">
        <f>HLOOKUP(Deckblatt!$C$12,Language!$C$1:$D$730,431,FALSE)</f>
        <v>Abfallmanagement</v>
      </c>
      <c r="E346" s="353"/>
      <c r="F346" s="363"/>
      <c r="G346" s="113"/>
      <c r="H346" s="21">
        <v>10</v>
      </c>
      <c r="I346" s="379"/>
      <c r="J346" s="340"/>
      <c r="K346" s="341"/>
      <c r="L346" s="341"/>
      <c r="M346" s="341"/>
      <c r="N346" s="342"/>
      <c r="P346" s="18">
        <f t="shared" ref="P346:P347" si="6">IF(G346&gt;H346,H346,G346)</f>
        <v>0</v>
      </c>
      <c r="Q346" s="338"/>
      <c r="R346" s="491"/>
      <c r="S346" s="474"/>
      <c r="T346" s="344"/>
      <c r="U346" s="475"/>
    </row>
    <row r="347" spans="2:21" ht="33" customHeight="1" x14ac:dyDescent="0.25">
      <c r="B347" s="375"/>
      <c r="C347" s="360"/>
      <c r="D347" s="71" t="s">
        <v>63</v>
      </c>
      <c r="E347" s="134" t="str">
        <f>HLOOKUP(Deckblatt!$C$12,Language!$C$1:$D$730,432,FALSE)</f>
        <v xml:space="preserve">Zentrales Abfallmanagement
Es gibt ein quartiersbezogenes zentrales Abfallmanagement.
</v>
      </c>
      <c r="F347" s="363"/>
      <c r="G347" s="69"/>
      <c r="H347" s="18">
        <v>10</v>
      </c>
      <c r="I347" s="379"/>
      <c r="J347" s="340"/>
      <c r="K347" s="341"/>
      <c r="L347" s="341"/>
      <c r="M347" s="341"/>
      <c r="N347" s="342"/>
      <c r="P347" s="18">
        <f t="shared" si="6"/>
        <v>0</v>
      </c>
      <c r="Q347" s="338"/>
      <c r="R347" s="491"/>
      <c r="S347" s="474"/>
      <c r="T347" s="344"/>
      <c r="U347" s="475"/>
    </row>
    <row r="348" spans="2:21" ht="13.2" customHeight="1" x14ac:dyDescent="0.25">
      <c r="B348" s="375"/>
      <c r="C348" s="351" t="s">
        <v>64</v>
      </c>
      <c r="D348" s="352" t="str">
        <f>HLOOKUP(Deckblatt!$C$12,Language!$C$1:$D$730,433,FALSE)</f>
        <v>Abfallvermeidung</v>
      </c>
      <c r="E348" s="353"/>
      <c r="F348" s="363"/>
      <c r="G348" s="113"/>
      <c r="H348" s="21">
        <v>23</v>
      </c>
      <c r="I348" s="379"/>
      <c r="J348" s="340"/>
      <c r="K348" s="341"/>
      <c r="L348" s="341"/>
      <c r="M348" s="341"/>
      <c r="N348" s="342"/>
      <c r="P348" s="18">
        <f t="shared" si="4"/>
        <v>0</v>
      </c>
      <c r="Q348" s="338"/>
      <c r="R348" s="491"/>
      <c r="S348" s="474"/>
      <c r="T348" s="344"/>
      <c r="U348" s="475"/>
    </row>
    <row r="349" spans="2:21" ht="26.4" x14ac:dyDescent="0.25">
      <c r="B349" s="375"/>
      <c r="C349" s="351"/>
      <c r="D349" s="71" t="s">
        <v>66</v>
      </c>
      <c r="E349" s="134" t="str">
        <f>HLOOKUP(Deckblatt!$C$12,Language!$C$1:$D$730,434,FALSE)</f>
        <v xml:space="preserve">Förderung Informations- und Aufklärungskampagnen
</v>
      </c>
      <c r="F349" s="363"/>
      <c r="G349" s="69"/>
      <c r="H349" s="18">
        <v>6</v>
      </c>
      <c r="I349" s="379"/>
      <c r="J349" s="340"/>
      <c r="K349" s="341"/>
      <c r="L349" s="341"/>
      <c r="M349" s="341"/>
      <c r="N349" s="342"/>
      <c r="P349" s="18">
        <f t="shared" si="4"/>
        <v>0</v>
      </c>
      <c r="Q349" s="338"/>
      <c r="R349" s="491"/>
      <c r="S349" s="474"/>
      <c r="T349" s="344"/>
      <c r="U349" s="475"/>
    </row>
    <row r="350" spans="2:21" ht="26.4" x14ac:dyDescent="0.25">
      <c r="B350" s="375"/>
      <c r="C350" s="351"/>
      <c r="D350" s="71" t="s">
        <v>188</v>
      </c>
      <c r="E350" s="134" t="str">
        <f>HLOOKUP(Deckblatt!$C$12,Language!$C$1:$D$730,435,FALSE)</f>
        <v xml:space="preserve">Quartiersbezogenes Wertstofferfassungssystem
</v>
      </c>
      <c r="F350" s="363"/>
      <c r="G350" s="69"/>
      <c r="H350" s="18">
        <v>7</v>
      </c>
      <c r="I350" s="379"/>
      <c r="J350" s="340"/>
      <c r="K350" s="341"/>
      <c r="L350" s="341"/>
      <c r="M350" s="341"/>
      <c r="N350" s="342"/>
      <c r="P350" s="18">
        <f t="shared" si="4"/>
        <v>0</v>
      </c>
      <c r="Q350" s="338"/>
      <c r="R350" s="491"/>
      <c r="S350" s="474"/>
      <c r="T350" s="344"/>
      <c r="U350" s="475"/>
    </row>
    <row r="351" spans="2:21" ht="26.4" x14ac:dyDescent="0.25">
      <c r="B351" s="375"/>
      <c r="C351" s="351"/>
      <c r="D351" s="71" t="s">
        <v>377</v>
      </c>
      <c r="E351" s="134" t="str">
        <f>HLOOKUP(Deckblatt!$C$12,Language!$C$1:$D$730,437,FALSE)</f>
        <v xml:space="preserve">Abfallvermeidung für Mieter/Gewerbetreibende
</v>
      </c>
      <c r="F351" s="363"/>
      <c r="G351" s="69"/>
      <c r="H351" s="18">
        <v>5</v>
      </c>
      <c r="I351" s="379"/>
      <c r="J351" s="340"/>
      <c r="K351" s="341"/>
      <c r="L351" s="341"/>
      <c r="M351" s="341"/>
      <c r="N351" s="342"/>
      <c r="P351" s="18">
        <f t="shared" si="4"/>
        <v>0</v>
      </c>
      <c r="Q351" s="338"/>
      <c r="R351" s="491"/>
      <c r="S351" s="474"/>
      <c r="T351" s="344"/>
      <c r="U351" s="475"/>
    </row>
    <row r="352" spans="2:21" ht="26.4" x14ac:dyDescent="0.25">
      <c r="B352" s="375"/>
      <c r="C352" s="351"/>
      <c r="D352" s="71" t="s">
        <v>190</v>
      </c>
      <c r="E352" s="134" t="str">
        <f>HLOOKUP(Deckblatt!$C$12,Language!$C$1:$D$730,439,FALSE)</f>
        <v xml:space="preserve">Schulung der Mitarbeiter
</v>
      </c>
      <c r="F352" s="363"/>
      <c r="G352" s="69"/>
      <c r="H352" s="18">
        <v>5</v>
      </c>
      <c r="I352" s="379"/>
      <c r="J352" s="340"/>
      <c r="K352" s="341"/>
      <c r="L352" s="341"/>
      <c r="M352" s="341"/>
      <c r="N352" s="342"/>
      <c r="P352" s="18">
        <f t="shared" si="4"/>
        <v>0</v>
      </c>
      <c r="Q352" s="338"/>
      <c r="R352" s="491"/>
      <c r="S352" s="474"/>
      <c r="T352" s="344"/>
      <c r="U352" s="475"/>
    </row>
    <row r="353" spans="2:21" ht="13.2" customHeight="1" x14ac:dyDescent="0.25">
      <c r="B353" s="375"/>
      <c r="C353" s="351" t="s">
        <v>67</v>
      </c>
      <c r="D353" s="352" t="str">
        <f>HLOOKUP(Deckblatt!$C$12,Language!$C$1:$D$730,441,FALSE)</f>
        <v>Wiederverwendung</v>
      </c>
      <c r="E353" s="353"/>
      <c r="F353" s="363"/>
      <c r="G353" s="113"/>
      <c r="H353" s="21">
        <v>13</v>
      </c>
      <c r="I353" s="379"/>
      <c r="J353" s="340"/>
      <c r="K353" s="341"/>
      <c r="L353" s="341"/>
      <c r="M353" s="341"/>
      <c r="N353" s="342"/>
      <c r="P353" s="18">
        <f t="shared" ref="P353:P419" si="7">IF(G353&gt;H353,H353,G353)</f>
        <v>0</v>
      </c>
      <c r="Q353" s="338"/>
      <c r="R353" s="491"/>
      <c r="S353" s="474"/>
      <c r="T353" s="344"/>
      <c r="U353" s="475"/>
    </row>
    <row r="354" spans="2:21" ht="44.4" customHeight="1" x14ac:dyDescent="0.25">
      <c r="B354" s="375"/>
      <c r="C354" s="351"/>
      <c r="D354" s="71" t="s">
        <v>69</v>
      </c>
      <c r="E354" s="134" t="str">
        <f>HLOOKUP(Deckblatt!$C$12,Language!$C$1:$D$730,442,FALSE)</f>
        <v xml:space="preserve">Wiederverwendungs- und Reparaturservices
Einrichtung von Wiederverwendungs- und Reparaturservices
</v>
      </c>
      <c r="F354" s="363"/>
      <c r="G354" s="69"/>
      <c r="H354" s="18">
        <v>3</v>
      </c>
      <c r="I354" s="379"/>
      <c r="J354" s="340"/>
      <c r="K354" s="341"/>
      <c r="L354" s="341"/>
      <c r="M354" s="341"/>
      <c r="N354" s="342"/>
      <c r="P354" s="18">
        <f t="shared" si="7"/>
        <v>0</v>
      </c>
      <c r="Q354" s="338"/>
      <c r="R354" s="491"/>
      <c r="S354" s="474"/>
      <c r="T354" s="344"/>
      <c r="U354" s="475"/>
    </row>
    <row r="355" spans="2:21" ht="80.400000000000006" customHeight="1" x14ac:dyDescent="0.25">
      <c r="B355" s="375"/>
      <c r="C355" s="351"/>
      <c r="D355" s="71" t="s">
        <v>78</v>
      </c>
      <c r="E355"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5" s="363"/>
      <c r="G355" s="69"/>
      <c r="H355" s="18">
        <v>10</v>
      </c>
      <c r="I355" s="379"/>
      <c r="J355" s="340"/>
      <c r="K355" s="341"/>
      <c r="L355" s="341"/>
      <c r="M355" s="341"/>
      <c r="N355" s="342"/>
      <c r="P355" s="18">
        <f t="shared" si="7"/>
        <v>0</v>
      </c>
      <c r="Q355" s="338"/>
      <c r="R355" s="491"/>
      <c r="S355" s="474"/>
      <c r="T355" s="344"/>
      <c r="U355" s="475"/>
    </row>
    <row r="356" spans="2:21" ht="13.2" customHeight="1" x14ac:dyDescent="0.25">
      <c r="B356" s="375"/>
      <c r="C356" s="351" t="s">
        <v>154</v>
      </c>
      <c r="D356" s="352" t="str">
        <f>HLOOKUP(Deckblatt!$C$12,Language!$C$1:$D$730,444,FALSE)</f>
        <v>Wertstoffrecycling</v>
      </c>
      <c r="E356" s="353"/>
      <c r="F356" s="363"/>
      <c r="G356" s="113"/>
      <c r="H356" s="21">
        <v>22</v>
      </c>
      <c r="I356" s="379"/>
      <c r="J356" s="340"/>
      <c r="K356" s="341"/>
      <c r="L356" s="341"/>
      <c r="M356" s="341"/>
      <c r="N356" s="342"/>
      <c r="P356" s="18">
        <f t="shared" si="7"/>
        <v>0</v>
      </c>
      <c r="Q356" s="338"/>
      <c r="R356" s="491"/>
      <c r="S356" s="474"/>
      <c r="T356" s="344"/>
      <c r="U356" s="475"/>
    </row>
    <row r="357" spans="2:21" x14ac:dyDescent="0.25">
      <c r="B357" s="375"/>
      <c r="C357" s="351"/>
      <c r="D357" s="71" t="s">
        <v>156</v>
      </c>
      <c r="E357" s="134" t="str">
        <f>HLOOKUP(Deckblatt!$C$12,Language!$C$1:$D$730,445,FALSE)</f>
        <v>Abfallrecyclingsystem</v>
      </c>
      <c r="F357" s="363"/>
      <c r="G357" s="69"/>
      <c r="H357" s="18">
        <v>15</v>
      </c>
      <c r="I357" s="379"/>
      <c r="J357" s="340"/>
      <c r="K357" s="341"/>
      <c r="L357" s="341"/>
      <c r="M357" s="341"/>
      <c r="N357" s="342"/>
      <c r="P357" s="18">
        <f t="shared" si="7"/>
        <v>0</v>
      </c>
      <c r="Q357" s="338"/>
      <c r="R357" s="491"/>
      <c r="S357" s="474"/>
      <c r="T357" s="344"/>
      <c r="U357" s="475"/>
    </row>
    <row r="358" spans="2:21" ht="19.2" customHeight="1" x14ac:dyDescent="0.25">
      <c r="B358" s="375"/>
      <c r="C358" s="351"/>
      <c r="D358" s="361" t="s">
        <v>218</v>
      </c>
      <c r="E358" s="68" t="str">
        <f>HLOOKUP(Deckblatt!$C$12,Language!$C$1:$D$730,446,FALSE)</f>
        <v>CIRCULAR ECONOMY BONUS – URBAN MINING</v>
      </c>
      <c r="F358" s="363"/>
      <c r="G358" s="113"/>
      <c r="H358" s="21">
        <v>10</v>
      </c>
      <c r="I358" s="379"/>
      <c r="J358" s="340"/>
      <c r="K358" s="341"/>
      <c r="L358" s="341"/>
      <c r="M358" s="341"/>
      <c r="N358" s="342"/>
      <c r="P358" s="18">
        <f t="shared" si="7"/>
        <v>0</v>
      </c>
      <c r="Q358" s="338"/>
      <c r="R358" s="491"/>
      <c r="S358" s="474"/>
      <c r="T358" s="344"/>
      <c r="U358" s="475"/>
    </row>
    <row r="359" spans="2:21" ht="22.2" customHeight="1" x14ac:dyDescent="0.25">
      <c r="B359" s="375"/>
      <c r="C359" s="351"/>
      <c r="D359" s="361"/>
      <c r="E359" s="134" t="str">
        <f>HLOOKUP(Deckblatt!$C$12,Language!$C$1:$D$730,447,FALSE)</f>
        <v xml:space="preserve">Es gibt ein Urban Mining Konzept für das Quartier
</v>
      </c>
      <c r="F359" s="363"/>
      <c r="G359" s="69"/>
      <c r="H359" s="18">
        <v>5</v>
      </c>
      <c r="I359" s="379"/>
      <c r="J359" s="340"/>
      <c r="K359" s="341"/>
      <c r="L359" s="341"/>
      <c r="M359" s="341"/>
      <c r="N359" s="342"/>
      <c r="P359" s="18">
        <f t="shared" si="7"/>
        <v>0</v>
      </c>
      <c r="Q359" s="338"/>
      <c r="R359" s="491"/>
      <c r="S359" s="474"/>
      <c r="T359" s="344"/>
      <c r="U359" s="475"/>
    </row>
    <row r="360" spans="2:21" ht="51" customHeight="1" x14ac:dyDescent="0.25">
      <c r="B360" s="375"/>
      <c r="C360" s="351"/>
      <c r="D360" s="361"/>
      <c r="E360" s="134" t="str">
        <f>HLOOKUP(Deckblatt!$C$12,Language!$C$1:$D$730,448,FALSE)</f>
        <v xml:space="preserve">Es gibt ein Urban Mining Kataster/BIM Model in dem einige der verbauten Rohstoffe im Quartier erfasst sind (Teile der Gebäudemassen und der Freiräume)
</v>
      </c>
      <c r="F360" s="363"/>
      <c r="G360" s="69"/>
      <c r="H360" s="18">
        <v>5</v>
      </c>
      <c r="I360" s="379"/>
      <c r="J360" s="340"/>
      <c r="K360" s="341"/>
      <c r="L360" s="341"/>
      <c r="M360" s="341"/>
      <c r="N360" s="342"/>
      <c r="P360" s="18">
        <f t="shared" si="7"/>
        <v>0</v>
      </c>
      <c r="Q360" s="338"/>
      <c r="R360" s="491"/>
      <c r="S360" s="474"/>
      <c r="T360" s="344"/>
      <c r="U360" s="475"/>
    </row>
    <row r="361" spans="2:21" ht="52.8" x14ac:dyDescent="0.25">
      <c r="B361" s="375"/>
      <c r="C361" s="351"/>
      <c r="D361" s="71" t="s">
        <v>679</v>
      </c>
      <c r="E361" s="134" t="str">
        <f>HLOOKUP(Deckblatt!$C$12,Language!$C$1:$D$730,452,FALSE)</f>
        <v xml:space="preserve">Kompostierung
Einrichten von Anlagen zur Kompostierung des im Quartier (oder im Umfeld) anfallenden kompostierfähigen Abfalls.
</v>
      </c>
      <c r="F361" s="363"/>
      <c r="G361" s="69"/>
      <c r="H361" s="18">
        <v>10</v>
      </c>
      <c r="I361" s="379"/>
      <c r="J361" s="340"/>
      <c r="K361" s="341"/>
      <c r="L361" s="341"/>
      <c r="M361" s="341"/>
      <c r="N361" s="342"/>
      <c r="P361" s="18">
        <f t="shared" si="7"/>
        <v>0</v>
      </c>
      <c r="Q361" s="338"/>
      <c r="R361" s="491"/>
      <c r="S361" s="474"/>
      <c r="T361" s="344"/>
      <c r="U361" s="475"/>
    </row>
    <row r="362" spans="2:21" ht="67.2" customHeight="1" x14ac:dyDescent="0.25">
      <c r="B362" s="375"/>
      <c r="C362" s="125"/>
      <c r="D362" s="71" t="s">
        <v>825</v>
      </c>
      <c r="E362" s="134" t="str">
        <f>HLOOKUP(Deckblatt!$C$12,Language!$C$1:$D$730,453,FALSE)</f>
        <v xml:space="preserve">Nutzung anfallender Wertstoffe
</v>
      </c>
      <c r="F362" s="363"/>
      <c r="G362" s="69"/>
      <c r="H362" s="18">
        <v>7</v>
      </c>
      <c r="I362" s="379"/>
      <c r="J362" s="340"/>
      <c r="K362" s="341"/>
      <c r="L362" s="341"/>
      <c r="M362" s="341"/>
      <c r="N362" s="342"/>
      <c r="P362" s="18">
        <f t="shared" ref="P362" si="8">IF(G362&gt;H362,H362,G362)</f>
        <v>0</v>
      </c>
      <c r="Q362" s="338"/>
      <c r="R362" s="491"/>
      <c r="S362" s="474"/>
      <c r="T362" s="344"/>
      <c r="U362" s="475"/>
    </row>
    <row r="363" spans="2:21" ht="13.2" customHeight="1" x14ac:dyDescent="0.25">
      <c r="B363" s="375"/>
      <c r="C363" s="351" t="s">
        <v>157</v>
      </c>
      <c r="D363" s="352" t="str">
        <f>HLOOKUP(Deckblatt!$C$12,Language!$C$1:$D$730,454,FALSE)</f>
        <v>Technik und Logistik</v>
      </c>
      <c r="E363" s="353"/>
      <c r="F363" s="363"/>
      <c r="G363" s="113"/>
      <c r="H363" s="21">
        <v>20</v>
      </c>
      <c r="I363" s="379"/>
      <c r="J363" s="340"/>
      <c r="K363" s="341"/>
      <c r="L363" s="341"/>
      <c r="M363" s="341"/>
      <c r="N363" s="342"/>
      <c r="P363" s="18">
        <f t="shared" si="7"/>
        <v>0</v>
      </c>
      <c r="Q363" s="338"/>
      <c r="R363" s="491"/>
      <c r="S363" s="474"/>
      <c r="T363" s="344"/>
      <c r="U363" s="475"/>
    </row>
    <row r="364" spans="2:21" ht="66" x14ac:dyDescent="0.25">
      <c r="B364" s="375"/>
      <c r="C364" s="351"/>
      <c r="D364" s="71" t="s">
        <v>159</v>
      </c>
      <c r="E364" s="134" t="str">
        <f>HLOOKUP(Deckblatt!$C$12,Language!$C$1:$D$730,455,FALSE)</f>
        <v xml:space="preserve">Abfalllogistik
Innovative Abfalllogistikkonzepte im Quartier
- Es ist ein Abfalllogistikkonzept erstellt worden (5 Punkte)
- Das Abfalllogistikkonzept wurde umgesetzt (5 Punkte)
</v>
      </c>
      <c r="F364" s="363"/>
      <c r="G364" s="69"/>
      <c r="H364" s="18">
        <v>10</v>
      </c>
      <c r="I364" s="379"/>
      <c r="J364" s="340"/>
      <c r="K364" s="341"/>
      <c r="L364" s="341"/>
      <c r="M364" s="341"/>
      <c r="N364" s="342"/>
      <c r="P364" s="18">
        <f t="shared" si="7"/>
        <v>0</v>
      </c>
      <c r="Q364" s="338"/>
      <c r="R364" s="491"/>
      <c r="S364" s="474"/>
      <c r="T364" s="344"/>
      <c r="U364" s="475"/>
    </row>
    <row r="365" spans="2:21" ht="78.599999999999994" customHeight="1" x14ac:dyDescent="0.25">
      <c r="B365" s="375"/>
      <c r="C365" s="351"/>
      <c r="D365" s="71" t="s">
        <v>160</v>
      </c>
      <c r="E365"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5" s="363"/>
      <c r="G365" s="69"/>
      <c r="H365" s="18">
        <v>10</v>
      </c>
      <c r="I365" s="379"/>
      <c r="J365" s="340"/>
      <c r="K365" s="341"/>
      <c r="L365" s="341"/>
      <c r="M365" s="341"/>
      <c r="N365" s="342"/>
      <c r="P365" s="18">
        <f t="shared" si="7"/>
        <v>0</v>
      </c>
      <c r="Q365" s="339"/>
      <c r="R365" s="492"/>
      <c r="S365" s="474"/>
      <c r="T365" s="344"/>
      <c r="U365" s="475"/>
    </row>
    <row r="366" spans="2:21" x14ac:dyDescent="0.25">
      <c r="B366" s="55" t="s">
        <v>411</v>
      </c>
      <c r="C366" s="354" t="str">
        <f>HLOOKUP(Deckblatt!$C$12,Language!$C$1:$D$730,457,FALSE)</f>
        <v>Smart Infrastructure</v>
      </c>
      <c r="D366" s="354"/>
      <c r="E366" s="355"/>
      <c r="F366" s="66">
        <f>Q366</f>
        <v>0</v>
      </c>
      <c r="G366" s="372"/>
      <c r="H366" s="21">
        <v>100</v>
      </c>
      <c r="I366" s="176">
        <v>3</v>
      </c>
      <c r="J366" s="340"/>
      <c r="K366" s="341"/>
      <c r="L366" s="341"/>
      <c r="M366" s="341"/>
      <c r="N366" s="342"/>
      <c r="P366" s="18">
        <f t="shared" si="7"/>
        <v>0</v>
      </c>
      <c r="Q366" s="337">
        <f>SUM(P368,IF(SUM(P371:P373)&gt;30,30,SUM(P371:P373)),P375,P377,P378)</f>
        <v>0</v>
      </c>
      <c r="R366" s="343">
        <f>Q366/100</f>
        <v>0</v>
      </c>
      <c r="S366" s="474"/>
      <c r="T366" s="344"/>
      <c r="U366" s="475"/>
    </row>
    <row r="367" spans="2:21" ht="13.2" customHeight="1" x14ac:dyDescent="0.25">
      <c r="B367" s="345"/>
      <c r="C367" s="351" t="s">
        <v>54</v>
      </c>
      <c r="D367" s="352" t="str">
        <f>HLOOKUP(Deckblatt!$C$12,Language!$C$1:$D$730,458,FALSE)</f>
        <v>Integration des Themas Digitalisierung in die Quartiersplanung</v>
      </c>
      <c r="E367" s="353"/>
      <c r="F367" s="347"/>
      <c r="G367" s="374"/>
      <c r="H367" s="21">
        <v>30</v>
      </c>
      <c r="I367" s="349"/>
      <c r="J367" s="340"/>
      <c r="K367" s="341"/>
      <c r="L367" s="341"/>
      <c r="M367" s="341"/>
      <c r="N367" s="342"/>
      <c r="P367" s="18">
        <f t="shared" si="7"/>
        <v>0</v>
      </c>
      <c r="Q367" s="338"/>
      <c r="R367" s="344"/>
      <c r="S367" s="474"/>
      <c r="T367" s="344"/>
      <c r="U367" s="475"/>
    </row>
    <row r="368" spans="2:21" ht="52.8" x14ac:dyDescent="0.25">
      <c r="B368" s="346"/>
      <c r="C368" s="351"/>
      <c r="D368" s="57" t="s">
        <v>58</v>
      </c>
      <c r="E368" s="134" t="str">
        <f>HLOOKUP(Deckblatt!$C$12,Language!$C$1:$D$730,459,FALSE)</f>
        <v xml:space="preserve">Integration der Digitalisierung in die Quartiersplanung
- Pro adressiertem Handlungsfeld in der Digital Agenda / Digitalstrategie / Analyse können 6 Punkte angerechnet werden
</v>
      </c>
      <c r="F368" s="348"/>
      <c r="G368" s="69"/>
      <c r="H368" s="18">
        <v>30</v>
      </c>
      <c r="I368" s="350"/>
      <c r="J368" s="340"/>
      <c r="K368" s="341"/>
      <c r="L368" s="341"/>
      <c r="M368" s="341"/>
      <c r="N368" s="342"/>
      <c r="P368" s="18">
        <f t="shared" si="7"/>
        <v>0</v>
      </c>
      <c r="Q368" s="338"/>
      <c r="R368" s="344"/>
      <c r="S368" s="474"/>
      <c r="T368" s="344"/>
      <c r="U368" s="475"/>
    </row>
    <row r="369" spans="2:21" ht="13.2" customHeight="1" x14ac:dyDescent="0.25">
      <c r="B369" s="346"/>
      <c r="C369" s="351" t="s">
        <v>61</v>
      </c>
      <c r="D369" s="352" t="str">
        <f>HLOOKUP(Deckblatt!$C$12,Language!$C$1:$D$730,460,FALSE)</f>
        <v>Telekommunikationsinfrastruktur</v>
      </c>
      <c r="E369" s="353"/>
      <c r="F369" s="348"/>
      <c r="G369" s="488"/>
      <c r="H369" s="21">
        <v>30</v>
      </c>
      <c r="I369" s="350"/>
      <c r="J369" s="340"/>
      <c r="K369" s="341"/>
      <c r="L369" s="341"/>
      <c r="M369" s="341"/>
      <c r="N369" s="342"/>
      <c r="P369" s="18">
        <f t="shared" si="7"/>
        <v>0</v>
      </c>
      <c r="Q369" s="338"/>
      <c r="R369" s="344"/>
      <c r="S369" s="474"/>
      <c r="T369" s="344"/>
      <c r="U369" s="475"/>
    </row>
    <row r="370" spans="2:21" x14ac:dyDescent="0.25">
      <c r="B370" s="346"/>
      <c r="C370" s="351"/>
      <c r="D370" s="361" t="s">
        <v>63</v>
      </c>
      <c r="E370" s="134" t="str">
        <f>HLOOKUP(Deckblatt!$C$12,Language!$C$1:$D$730,461,FALSE)</f>
        <v>Breitband-Internetzugang</v>
      </c>
      <c r="F370" s="348"/>
      <c r="G370" s="489"/>
      <c r="H370" s="21">
        <v>25</v>
      </c>
      <c r="I370" s="350"/>
      <c r="J370" s="340"/>
      <c r="K370" s="341"/>
      <c r="L370" s="341"/>
      <c r="M370" s="341"/>
      <c r="N370" s="342"/>
      <c r="P370" s="18">
        <f t="shared" si="7"/>
        <v>0</v>
      </c>
      <c r="Q370" s="338"/>
      <c r="R370" s="344"/>
      <c r="S370" s="474"/>
      <c r="T370" s="344"/>
      <c r="U370" s="475"/>
    </row>
    <row r="371" spans="2:21" ht="79.2" x14ac:dyDescent="0.25">
      <c r="B371" s="346"/>
      <c r="C371" s="351"/>
      <c r="D371" s="361"/>
      <c r="E371" s="134" t="str">
        <f>HLOOKUP(Deckblatt!$C$12,Language!$C$1:$D$730,462,FALSE)</f>
        <v xml:space="preserve">Es gibt ein leistungsfähiges Breitbandnetz mit einer Downloadgeschwindigkeit von:
  &gt; 50 Mbit/s
  &gt; 100 Mbit/s
  &gt; 300 Mbit/s
</v>
      </c>
      <c r="F371" s="348"/>
      <c r="G371" s="69"/>
      <c r="H371" s="18">
        <v>25</v>
      </c>
      <c r="I371" s="350"/>
      <c r="J371" s="340"/>
      <c r="K371" s="341"/>
      <c r="L371" s="341"/>
      <c r="M371" s="341"/>
      <c r="N371" s="342"/>
      <c r="P371" s="18">
        <f t="shared" si="7"/>
        <v>0</v>
      </c>
      <c r="Q371" s="338"/>
      <c r="R371" s="344"/>
      <c r="S371" s="474"/>
      <c r="T371" s="344"/>
      <c r="U371" s="475"/>
    </row>
    <row r="372" spans="2:21" ht="66" x14ac:dyDescent="0.25">
      <c r="B372" s="346"/>
      <c r="C372" s="351"/>
      <c r="D372" s="71" t="s">
        <v>186</v>
      </c>
      <c r="E372"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2" s="348"/>
      <c r="G372" s="69"/>
      <c r="H372" s="18">
        <f>IF(G371=25,0,10)</f>
        <v>10</v>
      </c>
      <c r="I372" s="350"/>
      <c r="J372" s="340"/>
      <c r="K372" s="341"/>
      <c r="L372" s="341"/>
      <c r="M372" s="341"/>
      <c r="N372" s="342"/>
      <c r="P372" s="18">
        <f t="shared" si="7"/>
        <v>0</v>
      </c>
      <c r="Q372" s="338"/>
      <c r="R372" s="344"/>
      <c r="S372" s="474"/>
      <c r="T372" s="344"/>
      <c r="U372" s="475"/>
    </row>
    <row r="373" spans="2:21" ht="26.4" x14ac:dyDescent="0.25">
      <c r="B373" s="346"/>
      <c r="C373" s="351"/>
      <c r="D373" s="71" t="s">
        <v>255</v>
      </c>
      <c r="E373" s="134" t="str">
        <f>HLOOKUP(Deckblatt!$C$12,Language!$C$1:$D$730,464,FALSE)</f>
        <v xml:space="preserve">Freies WLAN im öffentlichen Raum
</v>
      </c>
      <c r="F373" s="348"/>
      <c r="G373" s="69"/>
      <c r="H373" s="18">
        <v>5</v>
      </c>
      <c r="I373" s="350"/>
      <c r="J373" s="340"/>
      <c r="K373" s="341"/>
      <c r="L373" s="341"/>
      <c r="M373" s="341"/>
      <c r="N373" s="342"/>
      <c r="P373" s="18">
        <f t="shared" si="7"/>
        <v>0</v>
      </c>
      <c r="Q373" s="338"/>
      <c r="R373" s="344"/>
      <c r="S373" s="474"/>
      <c r="T373" s="344"/>
      <c r="U373" s="475"/>
    </row>
    <row r="374" spans="2:21" ht="13.2" customHeight="1" x14ac:dyDescent="0.25">
      <c r="B374" s="346"/>
      <c r="C374" s="351" t="s">
        <v>64</v>
      </c>
      <c r="D374" s="352" t="str">
        <f>HLOOKUP(Deckblatt!$C$12,Language!$C$1:$D$730,465,FALSE)</f>
        <v>Datenauswertung</v>
      </c>
      <c r="E374" s="353"/>
      <c r="F374" s="348"/>
      <c r="G374" s="113"/>
      <c r="H374" s="21">
        <v>30</v>
      </c>
      <c r="I374" s="350"/>
      <c r="J374" s="340"/>
      <c r="K374" s="341"/>
      <c r="L374" s="341"/>
      <c r="M374" s="341"/>
      <c r="N374" s="342"/>
      <c r="P374" s="18">
        <f t="shared" si="7"/>
        <v>0</v>
      </c>
      <c r="Q374" s="338"/>
      <c r="R374" s="344"/>
      <c r="S374" s="474"/>
      <c r="T374" s="344"/>
      <c r="U374" s="475"/>
    </row>
    <row r="375" spans="2:21" ht="92.4" x14ac:dyDescent="0.25">
      <c r="B375" s="346"/>
      <c r="C375" s="351"/>
      <c r="D375" s="71" t="s">
        <v>66</v>
      </c>
      <c r="E375"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5" s="348"/>
      <c r="G375" s="69"/>
      <c r="H375" s="18">
        <v>30</v>
      </c>
      <c r="I375" s="350"/>
      <c r="J375" s="340"/>
      <c r="K375" s="341"/>
      <c r="L375" s="341"/>
      <c r="M375" s="341"/>
      <c r="N375" s="342"/>
      <c r="P375" s="18">
        <f t="shared" si="7"/>
        <v>0</v>
      </c>
      <c r="Q375" s="338"/>
      <c r="R375" s="344"/>
      <c r="S375" s="474"/>
      <c r="T375" s="344"/>
      <c r="U375" s="475"/>
    </row>
    <row r="376" spans="2:21" ht="13.2" customHeight="1" x14ac:dyDescent="0.25">
      <c r="B376" s="346"/>
      <c r="C376" s="351" t="s">
        <v>67</v>
      </c>
      <c r="D376" s="352" t="str">
        <f>HLOOKUP(Deckblatt!$C$12,Language!$C$1:$D$730,467,FALSE)</f>
        <v>Quartiersbezogene digitale Angebote</v>
      </c>
      <c r="E376" s="353"/>
      <c r="F376" s="348"/>
      <c r="G376" s="113"/>
      <c r="H376" s="21">
        <v>10</v>
      </c>
      <c r="I376" s="350"/>
      <c r="J376" s="340"/>
      <c r="K376" s="341"/>
      <c r="L376" s="341"/>
      <c r="M376" s="341"/>
      <c r="N376" s="342"/>
      <c r="P376" s="18">
        <f t="shared" si="7"/>
        <v>0</v>
      </c>
      <c r="Q376" s="338"/>
      <c r="R376" s="344"/>
      <c r="S376" s="474"/>
      <c r="T376" s="344"/>
      <c r="U376" s="475"/>
    </row>
    <row r="377" spans="2:21" ht="52.8" x14ac:dyDescent="0.25">
      <c r="B377" s="346"/>
      <c r="C377" s="351"/>
      <c r="D377" s="71" t="s">
        <v>69</v>
      </c>
      <c r="E377" s="134" t="str">
        <f>HLOOKUP(Deckblatt!$C$12,Language!$C$1:$D$730,468,FALSE)</f>
        <v xml:space="preserve">Information zu quartiersbezogenen digitalen Angeboten
Bei Einzug und bei Änderungen des Angebotes werden die Bewohner/Nutzer des Quartiers über die digitalen Angebote informiert 
</v>
      </c>
      <c r="F377" s="348"/>
      <c r="G377" s="69"/>
      <c r="H377" s="18">
        <v>2</v>
      </c>
      <c r="I377" s="350"/>
      <c r="J377" s="340"/>
      <c r="K377" s="341"/>
      <c r="L377" s="341"/>
      <c r="M377" s="341"/>
      <c r="N377" s="342"/>
      <c r="P377" s="18">
        <f t="shared" si="7"/>
        <v>0</v>
      </c>
      <c r="Q377" s="338"/>
      <c r="R377" s="344"/>
      <c r="S377" s="474"/>
      <c r="T377" s="344"/>
      <c r="U377" s="475"/>
    </row>
    <row r="378" spans="2:21" ht="79.2" x14ac:dyDescent="0.25">
      <c r="B378" s="346"/>
      <c r="C378" s="351"/>
      <c r="D378" s="71" t="s">
        <v>78</v>
      </c>
      <c r="E378"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78" s="348"/>
      <c r="G378" s="69"/>
      <c r="H378" s="18">
        <v>8</v>
      </c>
      <c r="I378" s="350"/>
      <c r="J378" s="340"/>
      <c r="K378" s="341"/>
      <c r="L378" s="341"/>
      <c r="M378" s="341"/>
      <c r="N378" s="342"/>
      <c r="P378" s="18">
        <f t="shared" si="7"/>
        <v>0</v>
      </c>
      <c r="Q378" s="338"/>
      <c r="R378" s="344"/>
      <c r="S378" s="474"/>
      <c r="T378" s="344"/>
      <c r="U378" s="475"/>
    </row>
    <row r="379" spans="2:21" x14ac:dyDescent="0.25">
      <c r="B379" s="55" t="s">
        <v>421</v>
      </c>
      <c r="C379" s="354" t="str">
        <f>HLOOKUP(Deckblatt!$C$12,Language!$C$1:$D$730,470,FALSE)</f>
        <v>Mobilitätsinfrastruktur– Motorisierter Verkehr</v>
      </c>
      <c r="D379" s="354"/>
      <c r="E379" s="355"/>
      <c r="F379" s="66">
        <f>Q379</f>
        <v>0</v>
      </c>
      <c r="G379" s="364"/>
      <c r="H379" s="21">
        <v>120</v>
      </c>
      <c r="I379" s="176">
        <v>4</v>
      </c>
      <c r="J379" s="340"/>
      <c r="K379" s="341"/>
      <c r="L379" s="341"/>
      <c r="M379" s="341"/>
      <c r="N379" s="342"/>
      <c r="P379" s="18">
        <f t="shared" si="7"/>
        <v>0</v>
      </c>
      <c r="Q379" s="337">
        <f>IF(SUM(P381,IF(P383+P384&gt;20,20,P383+P384),P387,P390,IF(SUM(P392:P393)&gt;9,9,SUM(P392:P393)),P395,P397,P399,P401:P402,P404)&gt;100,100+P388+P405,SUM(P381,IF(P383+P384&gt;20,20,P383+P384),P387,P390,IF(SUM(P392:P393)&gt;9,9,SUM(P392:P393)),P395,P397,P399,P401:P402,P404)+P388+P405)</f>
        <v>0</v>
      </c>
      <c r="R379" s="343">
        <f>Q379/100</f>
        <v>0</v>
      </c>
      <c r="S379" s="474"/>
      <c r="T379" s="344"/>
      <c r="U379" s="475"/>
    </row>
    <row r="380" spans="2:21" ht="13.2" customHeight="1" x14ac:dyDescent="0.25">
      <c r="B380" s="375"/>
      <c r="C380" s="351" t="s">
        <v>54</v>
      </c>
      <c r="D380" s="352" t="str">
        <f>HLOOKUP(Deckblatt!$C$12,Language!$C$1:$D$730,471,FALSE)</f>
        <v>Verkehrsmodell</v>
      </c>
      <c r="E380" s="353"/>
      <c r="F380" s="363"/>
      <c r="G380" s="364"/>
      <c r="H380" s="21">
        <v>5</v>
      </c>
      <c r="I380" s="379"/>
      <c r="J380" s="340"/>
      <c r="K380" s="341"/>
      <c r="L380" s="341"/>
      <c r="M380" s="341"/>
      <c r="N380" s="342"/>
      <c r="P380" s="18">
        <f t="shared" si="7"/>
        <v>0</v>
      </c>
      <c r="Q380" s="338"/>
      <c r="R380" s="344"/>
      <c r="S380" s="474"/>
      <c r="T380" s="344"/>
      <c r="U380" s="475"/>
    </row>
    <row r="381" spans="2:21" ht="26.4" x14ac:dyDescent="0.25">
      <c r="B381" s="375"/>
      <c r="C381" s="351"/>
      <c r="D381" s="71" t="s">
        <v>58</v>
      </c>
      <c r="E381" s="134" t="str">
        <f>HLOOKUP(Deckblatt!$C$12,Language!$C$1:$D$730,472,FALSE)</f>
        <v xml:space="preserve">Aktualität Verkehrsmodell
</v>
      </c>
      <c r="F381" s="363"/>
      <c r="G381" s="69"/>
      <c r="H381" s="18">
        <v>5</v>
      </c>
      <c r="I381" s="379"/>
      <c r="J381" s="340"/>
      <c r="K381" s="341"/>
      <c r="L381" s="341"/>
      <c r="M381" s="341"/>
      <c r="N381" s="342"/>
      <c r="P381" s="18">
        <f t="shared" si="7"/>
        <v>0</v>
      </c>
      <c r="Q381" s="338"/>
      <c r="R381" s="344"/>
      <c r="S381" s="474"/>
      <c r="T381" s="344"/>
      <c r="U381" s="475"/>
    </row>
    <row r="382" spans="2:21" ht="13.2" customHeight="1" x14ac:dyDescent="0.25">
      <c r="B382" s="375"/>
      <c r="C382" s="351" t="s">
        <v>61</v>
      </c>
      <c r="D382" s="352" t="str">
        <f>HLOOKUP(Deckblatt!$C$12,Language!$C$1:$D$730,473,FALSE)</f>
        <v>Modal Split</v>
      </c>
      <c r="E382" s="353"/>
      <c r="F382" s="363"/>
      <c r="G382" s="113"/>
      <c r="H382" s="21">
        <v>20</v>
      </c>
      <c r="I382" s="379"/>
      <c r="J382" s="340"/>
      <c r="K382" s="341"/>
      <c r="L382" s="341"/>
      <c r="M382" s="341"/>
      <c r="N382" s="342"/>
      <c r="P382" s="18">
        <f t="shared" si="7"/>
        <v>0</v>
      </c>
      <c r="Q382" s="338"/>
      <c r="R382" s="344"/>
      <c r="S382" s="474"/>
      <c r="T382" s="344"/>
      <c r="U382" s="475"/>
    </row>
    <row r="383" spans="2:21" ht="39.6" x14ac:dyDescent="0.25">
      <c r="B383" s="375"/>
      <c r="C383" s="351"/>
      <c r="D383" s="71" t="s">
        <v>63</v>
      </c>
      <c r="E383" s="134" t="str">
        <f>HLOOKUP(Deckblatt!$C$12,Language!$C$1:$D$730,474,FALSE)</f>
        <v xml:space="preserve">Umweltverbund
Anteil am Umweltverbund 
</v>
      </c>
      <c r="F383" s="363"/>
      <c r="G383" s="69"/>
      <c r="H383" s="18">
        <v>20</v>
      </c>
      <c r="I383" s="379"/>
      <c r="J383" s="340"/>
      <c r="K383" s="341"/>
      <c r="L383" s="341"/>
      <c r="M383" s="341"/>
      <c r="N383" s="342"/>
      <c r="P383" s="18">
        <f t="shared" si="7"/>
        <v>0</v>
      </c>
      <c r="Q383" s="338"/>
      <c r="R383" s="344"/>
      <c r="S383" s="474"/>
      <c r="T383" s="344"/>
      <c r="U383" s="475"/>
    </row>
    <row r="384" spans="2:21" ht="158.4" x14ac:dyDescent="0.25">
      <c r="B384" s="375"/>
      <c r="C384" s="351"/>
      <c r="D384" s="71" t="s">
        <v>437</v>
      </c>
      <c r="E384"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4" s="363"/>
      <c r="G384" s="69"/>
      <c r="H384" s="18">
        <v>10</v>
      </c>
      <c r="I384" s="379"/>
      <c r="J384" s="340"/>
      <c r="K384" s="341"/>
      <c r="L384" s="341"/>
      <c r="M384" s="341"/>
      <c r="N384" s="342"/>
      <c r="P384" s="18">
        <f t="shared" si="7"/>
        <v>0</v>
      </c>
      <c r="Q384" s="338"/>
      <c r="R384" s="344"/>
      <c r="S384" s="474"/>
      <c r="T384" s="344"/>
      <c r="U384" s="475"/>
    </row>
    <row r="385" spans="2:21" ht="13.2" customHeight="1" x14ac:dyDescent="0.25">
      <c r="B385" s="375"/>
      <c r="C385" s="351" t="s">
        <v>64</v>
      </c>
      <c r="D385" s="352" t="str">
        <f>HLOOKUP(Deckblatt!$C$12,Language!$C$1:$D$730,476,FALSE)</f>
        <v>Infrastruktur für alternative Antriebstechnologien</v>
      </c>
      <c r="E385" s="353"/>
      <c r="F385" s="363"/>
      <c r="G385" s="356"/>
      <c r="H385" s="21">
        <v>30</v>
      </c>
      <c r="I385" s="379"/>
      <c r="J385" s="340"/>
      <c r="K385" s="341"/>
      <c r="L385" s="341"/>
      <c r="M385" s="341"/>
      <c r="N385" s="342"/>
      <c r="P385" s="18">
        <f t="shared" si="7"/>
        <v>0</v>
      </c>
      <c r="Q385" s="338"/>
      <c r="R385" s="344"/>
      <c r="S385" s="474"/>
      <c r="T385" s="344"/>
      <c r="U385" s="475"/>
    </row>
    <row r="386" spans="2:21" x14ac:dyDescent="0.25">
      <c r="B386" s="375"/>
      <c r="C386" s="351"/>
      <c r="D386" s="361" t="s">
        <v>66</v>
      </c>
      <c r="E386" s="134" t="str">
        <f>HLOOKUP(Deckblatt!$C$12,Language!$C$1:$D$730,477,FALSE)</f>
        <v>Motorisierter Individualverkehr (MIV)</v>
      </c>
      <c r="F386" s="363"/>
      <c r="G386" s="356"/>
      <c r="H386" s="21">
        <v>20</v>
      </c>
      <c r="I386" s="379"/>
      <c r="J386" s="340"/>
      <c r="K386" s="341"/>
      <c r="L386" s="341"/>
      <c r="M386" s="341"/>
      <c r="N386" s="342"/>
      <c r="P386" s="18">
        <f t="shared" si="7"/>
        <v>0</v>
      </c>
      <c r="Q386" s="338"/>
      <c r="R386" s="344"/>
      <c r="S386" s="474"/>
      <c r="T386" s="344"/>
      <c r="U386" s="475"/>
    </row>
    <row r="387" spans="2:21" ht="52.8" x14ac:dyDescent="0.25">
      <c r="B387" s="375"/>
      <c r="C387" s="351"/>
      <c r="D387" s="361"/>
      <c r="E387" s="134" t="str">
        <f>HLOOKUP(Deckblatt!$C$12,Language!$C$1:$D$730,478,FALSE)</f>
        <v xml:space="preserve">Mobilitätsmanagement-Strategie – Ladeinfrastruktur (Variante A) 
Mobilitätsmanagement-Strategie – Keine Pkw-Stellplätze (Variante B) 
</v>
      </c>
      <c r="F387" s="363"/>
      <c r="G387" s="69"/>
      <c r="H387" s="18">
        <v>20</v>
      </c>
      <c r="I387" s="379"/>
      <c r="J387" s="340"/>
      <c r="K387" s="341"/>
      <c r="L387" s="341"/>
      <c r="M387" s="341"/>
      <c r="N387" s="342"/>
      <c r="P387" s="18">
        <f t="shared" si="7"/>
        <v>0</v>
      </c>
      <c r="Q387" s="338"/>
      <c r="R387" s="344"/>
      <c r="S387" s="474"/>
      <c r="T387" s="344"/>
      <c r="U387" s="475"/>
    </row>
    <row r="388" spans="2:21" ht="66" x14ac:dyDescent="0.25">
      <c r="B388" s="375"/>
      <c r="C388" s="351"/>
      <c r="D388" s="71" t="s">
        <v>188</v>
      </c>
      <c r="E388" s="54" t="str">
        <f>HLOOKUP(Deckblatt!$C$12,Language!$C$1:$D$730,479,FALSE)</f>
        <v xml:space="preserve">AGENDA 2030 BONUS – KLIMASCHUTZZIELE
Keine PKW-Stellplätze 
Eine Mobilitätsmanagement-Strategie nach Variante B wurde vollständig umgesetzt.
</v>
      </c>
      <c r="F388" s="363"/>
      <c r="G388" s="69"/>
      <c r="H388" s="18">
        <v>10</v>
      </c>
      <c r="I388" s="379"/>
      <c r="J388" s="340"/>
      <c r="K388" s="341"/>
      <c r="L388" s="341"/>
      <c r="M388" s="341"/>
      <c r="N388" s="342"/>
      <c r="P388" s="18">
        <f t="shared" si="7"/>
        <v>0</v>
      </c>
      <c r="Q388" s="338"/>
      <c r="R388" s="344"/>
      <c r="S388" s="474"/>
      <c r="T388" s="344"/>
      <c r="U388" s="475"/>
    </row>
    <row r="389" spans="2:21" ht="13.2" customHeight="1" x14ac:dyDescent="0.25">
      <c r="B389" s="375"/>
      <c r="C389" s="351" t="s">
        <v>67</v>
      </c>
      <c r="D389" s="352" t="str">
        <f>HLOOKUP(Deckblatt!$C$12,Language!$C$1:$D$730,480,FALSE)</f>
        <v>Fahrzeugsharing</v>
      </c>
      <c r="E389" s="353"/>
      <c r="F389" s="363"/>
      <c r="G389" s="113"/>
      <c r="H389" s="21">
        <v>10</v>
      </c>
      <c r="I389" s="379"/>
      <c r="J389" s="340"/>
      <c r="K389" s="341"/>
      <c r="L389" s="341"/>
      <c r="M389" s="341"/>
      <c r="N389" s="342"/>
      <c r="P389" s="18">
        <f t="shared" si="7"/>
        <v>0</v>
      </c>
      <c r="Q389" s="338"/>
      <c r="R389" s="344"/>
      <c r="S389" s="474"/>
      <c r="T389" s="344"/>
      <c r="U389" s="475"/>
    </row>
    <row r="390" spans="2:21" ht="67.95" customHeight="1" x14ac:dyDescent="0.25">
      <c r="B390" s="375"/>
      <c r="C390" s="351"/>
      <c r="D390" s="71" t="s">
        <v>69</v>
      </c>
      <c r="E390" s="134" t="str">
        <f>HLOOKUP(Deckblatt!$C$12,Language!$C$1:$D$730,481,FALSE)</f>
        <v xml:space="preserve">Fahrzeugsharing Angebote
Es gibt ein Sharing-Angebot für motorisierte Fahrzeuge (Kommerzielles/Privates Sharing, Werksfahrzeuge, etc.) im Quartier/am Standort oder im direkten Umfeld (max. 5 Gehminuten). 
</v>
      </c>
      <c r="F390" s="363"/>
      <c r="G390" s="69"/>
      <c r="H390" s="18">
        <v>10</v>
      </c>
      <c r="I390" s="379"/>
      <c r="J390" s="340"/>
      <c r="K390" s="341"/>
      <c r="L390" s="341"/>
      <c r="M390" s="341"/>
      <c r="N390" s="342"/>
      <c r="P390" s="18">
        <f t="shared" si="7"/>
        <v>0</v>
      </c>
      <c r="Q390" s="338"/>
      <c r="R390" s="344"/>
      <c r="S390" s="474"/>
      <c r="T390" s="344"/>
      <c r="U390" s="475"/>
    </row>
    <row r="391" spans="2:21" ht="13.2" customHeight="1" x14ac:dyDescent="0.25">
      <c r="B391" s="375"/>
      <c r="C391" s="351" t="s">
        <v>154</v>
      </c>
      <c r="D391" s="352" t="str">
        <f>HLOOKUP(Deckblatt!$C$12,Language!$C$1:$D$730,482,FALSE)</f>
        <v>ÖPNV-Erschließungsqualität</v>
      </c>
      <c r="E391" s="353"/>
      <c r="F391" s="363"/>
      <c r="G391" s="113"/>
      <c r="H391" s="21">
        <v>9</v>
      </c>
      <c r="I391" s="379"/>
      <c r="J391" s="340"/>
      <c r="K391" s="341"/>
      <c r="L391" s="341"/>
      <c r="M391" s="341"/>
      <c r="N391" s="342"/>
      <c r="P391" s="18">
        <f t="shared" si="7"/>
        <v>0</v>
      </c>
      <c r="Q391" s="338"/>
      <c r="R391" s="344"/>
      <c r="S391" s="474"/>
      <c r="T391" s="344"/>
      <c r="U391" s="475"/>
    </row>
    <row r="392" spans="2:21" ht="66" x14ac:dyDescent="0.25">
      <c r="B392" s="375"/>
      <c r="C392" s="351"/>
      <c r="D392" s="71" t="s">
        <v>156</v>
      </c>
      <c r="E392" s="134" t="str">
        <f>HLOOKUP(Deckblatt!$C$12,Language!$C$1:$D$730,483,FALSE)</f>
        <v xml:space="preserve">ÖPNV-Erschließungsqualität
Prozentualer Anteil der Gebäude (Gemessen an BGF) die innerhalb von 350 m Luftlinie eine ÖPNV-Haltestelle erreichen können (Bus, S-Bahn, Tram)
</v>
      </c>
      <c r="F392" s="363"/>
      <c r="G392" s="69"/>
      <c r="H392" s="18">
        <v>9</v>
      </c>
      <c r="I392" s="379"/>
      <c r="J392" s="340"/>
      <c r="K392" s="341"/>
      <c r="L392" s="341"/>
      <c r="M392" s="341"/>
      <c r="N392" s="342"/>
      <c r="P392" s="18">
        <f t="shared" si="7"/>
        <v>0</v>
      </c>
      <c r="Q392" s="338"/>
      <c r="R392" s="344"/>
      <c r="S392" s="474"/>
      <c r="T392" s="344"/>
      <c r="U392" s="475"/>
    </row>
    <row r="393" spans="2:21" ht="26.4" x14ac:dyDescent="0.25">
      <c r="B393" s="375"/>
      <c r="C393" s="351"/>
      <c r="D393" s="71" t="s">
        <v>218</v>
      </c>
      <c r="E393" s="134" t="str">
        <f>HLOOKUP(Deckblatt!$C$12,Language!$C$1:$D$730,484,FALSE)</f>
        <v xml:space="preserve">Alternative zu 5.1: Angebot Bus- und Bahnlinien
</v>
      </c>
      <c r="F393" s="363"/>
      <c r="G393" s="69"/>
      <c r="H393" s="18">
        <v>9</v>
      </c>
      <c r="I393" s="379"/>
      <c r="J393" s="340"/>
      <c r="K393" s="341"/>
      <c r="L393" s="341"/>
      <c r="M393" s="341"/>
      <c r="N393" s="342"/>
      <c r="P393" s="18">
        <f t="shared" si="7"/>
        <v>0</v>
      </c>
      <c r="Q393" s="338"/>
      <c r="R393" s="344"/>
      <c r="S393" s="474"/>
      <c r="T393" s="344"/>
      <c r="U393" s="475"/>
    </row>
    <row r="394" spans="2:21" ht="13.2" customHeight="1" x14ac:dyDescent="0.25">
      <c r="B394" s="375"/>
      <c r="C394" s="351" t="s">
        <v>157</v>
      </c>
      <c r="D394" s="352" t="str">
        <f>HLOOKUP(Deckblatt!$C$12,Language!$C$1:$D$730,485,FALSE)</f>
        <v>Intermodale Plattformen</v>
      </c>
      <c r="E394" s="353"/>
      <c r="F394" s="363"/>
      <c r="G394" s="113"/>
      <c r="H394" s="21">
        <v>10</v>
      </c>
      <c r="I394" s="379"/>
      <c r="J394" s="340"/>
      <c r="K394" s="341"/>
      <c r="L394" s="341"/>
      <c r="M394" s="341"/>
      <c r="N394" s="342"/>
      <c r="P394" s="18">
        <f t="shared" si="7"/>
        <v>0</v>
      </c>
      <c r="Q394" s="338"/>
      <c r="R394" s="344"/>
      <c r="S394" s="474"/>
      <c r="T394" s="344"/>
      <c r="U394" s="475"/>
    </row>
    <row r="395" spans="2:21" ht="79.2" x14ac:dyDescent="0.25">
      <c r="B395" s="375"/>
      <c r="C395" s="351"/>
      <c r="D395" s="71" t="s">
        <v>159</v>
      </c>
      <c r="E395"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5" s="363"/>
      <c r="G395" s="69"/>
      <c r="H395" s="18">
        <v>10</v>
      </c>
      <c r="I395" s="379"/>
      <c r="J395" s="340"/>
      <c r="K395" s="341"/>
      <c r="L395" s="341"/>
      <c r="M395" s="341"/>
      <c r="N395" s="342"/>
      <c r="P395" s="18">
        <f t="shared" si="7"/>
        <v>0</v>
      </c>
      <c r="Q395" s="338"/>
      <c r="R395" s="344"/>
      <c r="S395" s="474"/>
      <c r="T395" s="344"/>
      <c r="U395" s="475"/>
    </row>
    <row r="396" spans="2:21" ht="13.2" customHeight="1" x14ac:dyDescent="0.25">
      <c r="B396" s="375"/>
      <c r="C396" s="351" t="s">
        <v>282</v>
      </c>
      <c r="D396" s="352" t="str">
        <f>HLOOKUP(Deckblatt!$C$12,Language!$C$1:$D$730,487,FALSE)</f>
        <v>Zugang zum nächstgelegenen Bahnhof</v>
      </c>
      <c r="E396" s="353"/>
      <c r="F396" s="363"/>
      <c r="G396" s="113"/>
      <c r="H396" s="21">
        <v>5</v>
      </c>
      <c r="I396" s="379"/>
      <c r="J396" s="340"/>
      <c r="K396" s="341"/>
      <c r="L396" s="341"/>
      <c r="M396" s="341"/>
      <c r="N396" s="342"/>
      <c r="P396" s="18">
        <f t="shared" si="7"/>
        <v>0</v>
      </c>
      <c r="Q396" s="338"/>
      <c r="R396" s="344"/>
      <c r="S396" s="474"/>
      <c r="T396" s="344"/>
      <c r="U396" s="475"/>
    </row>
    <row r="397" spans="2:21" ht="66" x14ac:dyDescent="0.25">
      <c r="B397" s="375"/>
      <c r="C397" s="351"/>
      <c r="D397" s="71" t="s">
        <v>284</v>
      </c>
      <c r="E397" s="134" t="str">
        <f>HLOOKUP(Deckblatt!$C$12,Language!$C$1:$D$730,488,FALSE)</f>
        <v xml:space="preserve">Öffentliche Verkehrsmittel
Zugang zum nächstgelegenen Bahnhof (S-Bahn, Regional-und/oder Fernverkehr) mit öffentlichen Verkehrsmitteln, mit dem Fahrrad oder zu Fuß.
</v>
      </c>
      <c r="F397" s="363"/>
      <c r="G397" s="69"/>
      <c r="H397" s="18">
        <v>5</v>
      </c>
      <c r="I397" s="379"/>
      <c r="J397" s="340"/>
      <c r="K397" s="341"/>
      <c r="L397" s="341"/>
      <c r="M397" s="341"/>
      <c r="N397" s="342"/>
      <c r="P397" s="18">
        <f t="shared" si="7"/>
        <v>0</v>
      </c>
      <c r="Q397" s="338"/>
      <c r="R397" s="344"/>
      <c r="S397" s="474"/>
      <c r="T397" s="344"/>
      <c r="U397" s="475"/>
    </row>
    <row r="398" spans="2:21" ht="13.2" customHeight="1" x14ac:dyDescent="0.25">
      <c r="B398" s="375"/>
      <c r="C398" s="351" t="s">
        <v>285</v>
      </c>
      <c r="D398" s="352" t="str">
        <f>HLOOKUP(Deckblatt!$C$12,Language!$C$1:$D$730,489,FALSE)</f>
        <v>Takt des ÖPNV</v>
      </c>
      <c r="E398" s="353"/>
      <c r="F398" s="363"/>
      <c r="G398" s="113"/>
      <c r="H398" s="21">
        <v>5</v>
      </c>
      <c r="I398" s="379"/>
      <c r="J398" s="340"/>
      <c r="K398" s="341"/>
      <c r="L398" s="341"/>
      <c r="M398" s="341"/>
      <c r="N398" s="342"/>
      <c r="P398" s="18">
        <f t="shared" si="7"/>
        <v>0</v>
      </c>
      <c r="Q398" s="338"/>
      <c r="R398" s="344"/>
      <c r="S398" s="474"/>
      <c r="T398" s="344"/>
      <c r="U398" s="475"/>
    </row>
    <row r="399" spans="2:21" ht="66" x14ac:dyDescent="0.25">
      <c r="B399" s="375"/>
      <c r="C399" s="351"/>
      <c r="D399" s="71" t="s">
        <v>287</v>
      </c>
      <c r="E399" s="134" t="str">
        <f>HLOOKUP(Deckblatt!$C$12,Language!$C$1:$D$730,490,FALSE)</f>
        <v xml:space="preserve">Takt ÖPNV
Durchschnittlicher Takt aller ÖPNV-Linien werktags zwischen 6 und 19 Uhr. Beziehungsweise an die Schichtwechsel angepasste ÖPNV Taktung.
</v>
      </c>
      <c r="F399" s="363"/>
      <c r="G399" s="69"/>
      <c r="H399" s="18">
        <v>5</v>
      </c>
      <c r="I399" s="379"/>
      <c r="J399" s="340"/>
      <c r="K399" s="341"/>
      <c r="L399" s="341"/>
      <c r="M399" s="341"/>
      <c r="N399" s="342"/>
      <c r="P399" s="18">
        <f t="shared" si="7"/>
        <v>0</v>
      </c>
      <c r="Q399" s="338"/>
      <c r="R399" s="344"/>
      <c r="S399" s="474"/>
      <c r="T399" s="344"/>
      <c r="U399" s="475"/>
    </row>
    <row r="400" spans="2:21" ht="13.2" customHeight="1" x14ac:dyDescent="0.25">
      <c r="B400" s="375"/>
      <c r="C400" s="351" t="s">
        <v>292</v>
      </c>
      <c r="D400" s="352" t="str">
        <f>HLOOKUP(Deckblatt!$C$12,Language!$C$1:$D$730,491,FALSE)</f>
        <v>Besondere Maßnahmen zur Förderung des ÖPNV</v>
      </c>
      <c r="E400" s="353"/>
      <c r="F400" s="363"/>
      <c r="G400" s="113"/>
      <c r="H400" s="21">
        <v>16</v>
      </c>
      <c r="I400" s="379"/>
      <c r="J400" s="340"/>
      <c r="K400" s="341"/>
      <c r="L400" s="341"/>
      <c r="M400" s="341"/>
      <c r="N400" s="342"/>
      <c r="P400" s="18">
        <f t="shared" si="7"/>
        <v>0</v>
      </c>
      <c r="Q400" s="338"/>
      <c r="R400" s="344"/>
      <c r="S400" s="474"/>
      <c r="T400" s="344"/>
      <c r="U400" s="475"/>
    </row>
    <row r="401" spans="2:21" ht="26.4" x14ac:dyDescent="0.25">
      <c r="B401" s="375"/>
      <c r="C401" s="351"/>
      <c r="D401" s="71" t="s">
        <v>293</v>
      </c>
      <c r="E401" s="134" t="str">
        <f>HLOOKUP(Deckblatt!$C$12,Language!$C$1:$D$730,492,FALSE)</f>
        <v xml:space="preserve">Bauliche oder Betriebliche Maßnahmen
</v>
      </c>
      <c r="F401" s="363"/>
      <c r="G401" s="69"/>
      <c r="H401" s="18">
        <v>8</v>
      </c>
      <c r="I401" s="379"/>
      <c r="J401" s="340"/>
      <c r="K401" s="341"/>
      <c r="L401" s="341"/>
      <c r="M401" s="341"/>
      <c r="N401" s="342"/>
      <c r="P401" s="18">
        <f t="shared" si="7"/>
        <v>0</v>
      </c>
      <c r="Q401" s="338"/>
      <c r="R401" s="344"/>
      <c r="S401" s="474"/>
      <c r="T401" s="344"/>
      <c r="U401" s="475"/>
    </row>
    <row r="402" spans="2:21" ht="92.4" x14ac:dyDescent="0.25">
      <c r="B402" s="375"/>
      <c r="C402" s="351"/>
      <c r="D402" s="19" t="s">
        <v>460</v>
      </c>
      <c r="E402"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2" s="363"/>
      <c r="G402" s="69"/>
      <c r="H402" s="18">
        <v>8</v>
      </c>
      <c r="I402" s="379"/>
      <c r="J402" s="340"/>
      <c r="K402" s="341"/>
      <c r="L402" s="341"/>
      <c r="M402" s="341"/>
      <c r="N402" s="342"/>
      <c r="P402" s="18">
        <f t="shared" si="7"/>
        <v>0</v>
      </c>
      <c r="Q402" s="338"/>
      <c r="R402" s="344"/>
      <c r="S402" s="474"/>
      <c r="T402" s="344"/>
      <c r="U402" s="475"/>
    </row>
    <row r="403" spans="2:21" ht="13.2" customHeight="1" x14ac:dyDescent="0.25">
      <c r="B403" s="375"/>
      <c r="C403" s="351" t="s">
        <v>448</v>
      </c>
      <c r="D403" s="352" t="str">
        <f>HLOOKUP(Deckblatt!$C$12,Language!$C$1:$D$730,494,FALSE)</f>
        <v>Konzept Wirtschaftsverkehr</v>
      </c>
      <c r="E403" s="353"/>
      <c r="F403" s="363"/>
      <c r="G403" s="113"/>
      <c r="H403" s="21">
        <v>20</v>
      </c>
      <c r="I403" s="379"/>
      <c r="J403" s="340"/>
      <c r="K403" s="341"/>
      <c r="L403" s="341"/>
      <c r="M403" s="341"/>
      <c r="N403" s="342"/>
      <c r="P403" s="18">
        <f t="shared" si="7"/>
        <v>0</v>
      </c>
      <c r="Q403" s="338"/>
      <c r="R403" s="344"/>
      <c r="S403" s="474"/>
      <c r="T403" s="344"/>
      <c r="U403" s="475"/>
    </row>
    <row r="404" spans="2:21" ht="26.4" x14ac:dyDescent="0.25">
      <c r="B404" s="375"/>
      <c r="C404" s="351"/>
      <c r="D404" s="19" t="s">
        <v>459</v>
      </c>
      <c r="E404" s="134" t="str">
        <f>HLOOKUP(Deckblatt!$C$12,Language!$C$1:$D$730,495,FALSE)</f>
        <v xml:space="preserve">Konzept Wirtschaftsverkehr
</v>
      </c>
      <c r="F404" s="363"/>
      <c r="G404" s="69"/>
      <c r="H404" s="18">
        <v>20</v>
      </c>
      <c r="I404" s="379"/>
      <c r="J404" s="340"/>
      <c r="K404" s="341"/>
      <c r="L404" s="341"/>
      <c r="M404" s="341"/>
      <c r="N404" s="342"/>
      <c r="P404" s="18">
        <f t="shared" si="7"/>
        <v>0</v>
      </c>
      <c r="Q404" s="338"/>
      <c r="R404" s="344"/>
      <c r="S404" s="474"/>
      <c r="T404" s="344"/>
      <c r="U404" s="475"/>
    </row>
    <row r="405" spans="2:21" ht="52.8" x14ac:dyDescent="0.25">
      <c r="B405" s="375"/>
      <c r="C405" s="351"/>
      <c r="D405" s="71" t="s">
        <v>458</v>
      </c>
      <c r="E405" s="54" t="str">
        <f>HLOOKUP(Deckblatt!$C$12,Language!$C$1:$D$730,496,FALSE)</f>
        <v xml:space="preserve">AGENDA 2030 BONUS – KLIMASCHUTZZIELE
Ambition zum Erreichen klimaneutraler  Logistik
</v>
      </c>
      <c r="F405" s="363"/>
      <c r="G405" s="69"/>
      <c r="H405" s="18">
        <v>10</v>
      </c>
      <c r="I405" s="379"/>
      <c r="J405" s="340"/>
      <c r="K405" s="341"/>
      <c r="L405" s="341"/>
      <c r="M405" s="341"/>
      <c r="N405" s="342"/>
      <c r="P405" s="18">
        <f t="shared" si="7"/>
        <v>0</v>
      </c>
      <c r="Q405" s="338"/>
      <c r="R405" s="344"/>
      <c r="S405" s="474"/>
      <c r="T405" s="344"/>
      <c r="U405" s="475"/>
    </row>
    <row r="406" spans="2:21" x14ac:dyDescent="0.25">
      <c r="B406" s="55" t="s">
        <v>454</v>
      </c>
      <c r="C406" s="354" t="str">
        <f>HLOOKUP(Deckblatt!$C$12,Language!$C$1:$D$730,497,FALSE)</f>
        <v>Mobilitätsinfrastruktur– Nicht Motorisierter Verkehr</v>
      </c>
      <c r="D406" s="354"/>
      <c r="E406" s="355"/>
      <c r="F406" s="66">
        <f>Q406</f>
        <v>0</v>
      </c>
      <c r="G406" s="364"/>
      <c r="H406" s="21">
        <v>100</v>
      </c>
      <c r="I406" s="176">
        <v>4</v>
      </c>
      <c r="J406" s="340"/>
      <c r="K406" s="341"/>
      <c r="L406" s="341"/>
      <c r="M406" s="341"/>
      <c r="N406" s="342"/>
      <c r="P406" s="18">
        <f t="shared" si="7"/>
        <v>0</v>
      </c>
      <c r="Q406" s="337">
        <f>IF(SUM(P408:P424)&gt;100,100,SUM(P408:P424))</f>
        <v>0</v>
      </c>
      <c r="R406" s="343">
        <f>Q406/100</f>
        <v>0</v>
      </c>
      <c r="S406" s="474"/>
      <c r="T406" s="344"/>
      <c r="U406" s="475"/>
    </row>
    <row r="407" spans="2:21" ht="13.2" customHeight="1" x14ac:dyDescent="0.25">
      <c r="B407" s="375"/>
      <c r="C407" s="351" t="s">
        <v>54</v>
      </c>
      <c r="D407" s="352" t="str">
        <f>HLOOKUP(Deckblatt!$C$12,Language!$C$1:$D$730,498,FALSE)</f>
        <v>Mobilitätselemente für Rad- und Fußgänger/innen</v>
      </c>
      <c r="E407" s="353"/>
      <c r="F407" s="363"/>
      <c r="G407" s="364"/>
      <c r="H407" s="21">
        <v>30</v>
      </c>
      <c r="I407" s="379"/>
      <c r="J407" s="340"/>
      <c r="K407" s="341"/>
      <c r="L407" s="341"/>
      <c r="M407" s="341"/>
      <c r="N407" s="342"/>
      <c r="P407" s="18">
        <f t="shared" si="7"/>
        <v>0</v>
      </c>
      <c r="Q407" s="338"/>
      <c r="R407" s="344"/>
      <c r="S407" s="474"/>
      <c r="T407" s="344"/>
      <c r="U407" s="475"/>
    </row>
    <row r="408" spans="2:21" ht="52.8" x14ac:dyDescent="0.25">
      <c r="B408" s="375"/>
      <c r="C408" s="351"/>
      <c r="D408" s="71" t="s">
        <v>58</v>
      </c>
      <c r="E408" s="134" t="str">
        <f>HLOOKUP(Deckblatt!$C$12,Language!$C$1:$D$730,499,FALSE)</f>
        <v xml:space="preserve">Rad-/Fußgängerverkehr fördernde Mobilitätselemente
Pro (innovativem) Mobilitätselement können 10 Punkte angerechnet werden. Beispiele sind unter Methode Indikator 1 aufgeführt.
</v>
      </c>
      <c r="F408" s="363"/>
      <c r="G408" s="69"/>
      <c r="H408" s="18">
        <v>30</v>
      </c>
      <c r="I408" s="379"/>
      <c r="J408" s="340"/>
      <c r="K408" s="341"/>
      <c r="L408" s="341"/>
      <c r="M408" s="341"/>
      <c r="N408" s="342"/>
      <c r="P408" s="18">
        <f t="shared" si="7"/>
        <v>0</v>
      </c>
      <c r="Q408" s="338"/>
      <c r="R408" s="344"/>
      <c r="S408" s="474"/>
      <c r="T408" s="344"/>
      <c r="U408" s="475"/>
    </row>
    <row r="409" spans="2:21" ht="13.2" customHeight="1" x14ac:dyDescent="0.25">
      <c r="B409" s="375"/>
      <c r="C409" s="359" t="s">
        <v>61</v>
      </c>
      <c r="D409" s="352" t="str">
        <f>HLOOKUP(Deckblatt!$C$12,Language!$C$1:$D$730,500,FALSE)</f>
        <v>Mobilitätsinfrastruktur für den Radverkehr</v>
      </c>
      <c r="E409" s="353"/>
      <c r="F409" s="363"/>
      <c r="G409" s="113"/>
      <c r="H409" s="21">
        <v>19</v>
      </c>
      <c r="I409" s="379"/>
      <c r="J409" s="340"/>
      <c r="K409" s="341"/>
      <c r="L409" s="341"/>
      <c r="M409" s="341"/>
      <c r="N409" s="342"/>
      <c r="P409" s="18">
        <f t="shared" si="7"/>
        <v>0</v>
      </c>
      <c r="Q409" s="338"/>
      <c r="R409" s="344"/>
      <c r="S409" s="474"/>
      <c r="T409" s="344"/>
      <c r="U409" s="475"/>
    </row>
    <row r="410" spans="2:21" ht="26.4" x14ac:dyDescent="0.25">
      <c r="B410" s="375"/>
      <c r="C410" s="390"/>
      <c r="D410" s="71" t="s">
        <v>63</v>
      </c>
      <c r="E410" s="229" t="str">
        <f>HLOOKUP(Deckblatt!$C$12,Language!$C$1:$D$730,501,FALSE)</f>
        <v xml:space="preserve">Priorisierung des Radverkehrs im Quartier 
</v>
      </c>
      <c r="F410" s="363"/>
      <c r="G410" s="69"/>
      <c r="H410" s="18">
        <v>6</v>
      </c>
      <c r="I410" s="379"/>
      <c r="J410" s="340"/>
      <c r="K410" s="341"/>
      <c r="L410" s="341"/>
      <c r="M410" s="341"/>
      <c r="N410" s="342"/>
      <c r="P410" s="18">
        <f t="shared" si="7"/>
        <v>0</v>
      </c>
      <c r="Q410" s="338"/>
      <c r="R410" s="344"/>
      <c r="S410" s="474"/>
      <c r="T410" s="344"/>
      <c r="U410" s="475"/>
    </row>
    <row r="411" spans="2:21" ht="26.4" x14ac:dyDescent="0.25">
      <c r="B411" s="375"/>
      <c r="C411" s="390"/>
      <c r="D411" s="71" t="s">
        <v>186</v>
      </c>
      <c r="E411" s="229" t="str">
        <f>HLOOKUP(Deckblatt!$C$12,Language!$C$1:$D$730,502,FALSE)</f>
        <v xml:space="preserve">Priorisierung des Radverkehrs am Standort
</v>
      </c>
      <c r="F411" s="363"/>
      <c r="G411" s="69"/>
      <c r="H411" s="18">
        <v>7</v>
      </c>
      <c r="I411" s="379"/>
      <c r="J411" s="340"/>
      <c r="K411" s="341"/>
      <c r="L411" s="341"/>
      <c r="M411" s="341"/>
      <c r="N411" s="342"/>
      <c r="P411" s="18">
        <f t="shared" ref="P411:P412" si="9">IF(G411&gt;H411,H411,G411)</f>
        <v>0</v>
      </c>
      <c r="Q411" s="338"/>
      <c r="R411" s="344"/>
      <c r="S411" s="474"/>
      <c r="T411" s="344"/>
      <c r="U411" s="475"/>
    </row>
    <row r="412" spans="2:21" ht="26.4" x14ac:dyDescent="0.25">
      <c r="B412" s="375"/>
      <c r="C412" s="360"/>
      <c r="D412" s="71" t="s">
        <v>255</v>
      </c>
      <c r="E412" s="229" t="str">
        <f>HLOOKUP(Deckblatt!$C$12,Language!$C$1:$D$730,503,FALSE)</f>
        <v xml:space="preserve">Erfüllungsgrad der Quantitativen Anforderungen
</v>
      </c>
      <c r="F412" s="363"/>
      <c r="G412" s="69"/>
      <c r="H412" s="18">
        <v>6</v>
      </c>
      <c r="I412" s="379"/>
      <c r="J412" s="340"/>
      <c r="K412" s="341"/>
      <c r="L412" s="341"/>
      <c r="M412" s="341"/>
      <c r="N412" s="342"/>
      <c r="P412" s="18">
        <f t="shared" si="9"/>
        <v>0</v>
      </c>
      <c r="Q412" s="338"/>
      <c r="R412" s="344"/>
      <c r="S412" s="474"/>
      <c r="T412" s="344"/>
      <c r="U412" s="475"/>
    </row>
    <row r="413" spans="2:21" ht="13.2" customHeight="1" x14ac:dyDescent="0.25">
      <c r="B413" s="375"/>
      <c r="C413" s="351" t="s">
        <v>64</v>
      </c>
      <c r="D413" s="352" t="str">
        <f>HLOOKUP(Deckblatt!$C$12,Language!$C$1:$D$730,504,FALSE)</f>
        <v>Qualität der Abstellanlagen für Fahrräder</v>
      </c>
      <c r="E413" s="353"/>
      <c r="F413" s="363"/>
      <c r="G413" s="113"/>
      <c r="H413" s="21">
        <v>20</v>
      </c>
      <c r="I413" s="379"/>
      <c r="J413" s="340"/>
      <c r="K413" s="341"/>
      <c r="L413" s="341"/>
      <c r="M413" s="341"/>
      <c r="N413" s="342"/>
      <c r="P413" s="18">
        <f t="shared" si="7"/>
        <v>0</v>
      </c>
      <c r="Q413" s="338"/>
      <c r="R413" s="344"/>
      <c r="S413" s="474"/>
      <c r="T413" s="344"/>
      <c r="U413" s="475"/>
    </row>
    <row r="414" spans="2:21" ht="26.4" x14ac:dyDescent="0.25">
      <c r="B414" s="375"/>
      <c r="C414" s="351"/>
      <c r="D414" s="71" t="s">
        <v>66</v>
      </c>
      <c r="E414" s="229" t="str">
        <f>HLOOKUP(Deckblatt!$C$12,Language!$C$1:$D$730,505,FALSE)</f>
        <v xml:space="preserve">Qualität der Abstellanlagen
</v>
      </c>
      <c r="F414" s="363"/>
      <c r="G414" s="69"/>
      <c r="H414" s="18">
        <v>20</v>
      </c>
      <c r="I414" s="379"/>
      <c r="J414" s="340"/>
      <c r="K414" s="341"/>
      <c r="L414" s="341"/>
      <c r="M414" s="341"/>
      <c r="N414" s="342"/>
      <c r="P414" s="18">
        <f t="shared" si="7"/>
        <v>0</v>
      </c>
      <c r="Q414" s="338"/>
      <c r="R414" s="344"/>
      <c r="S414" s="474"/>
      <c r="T414" s="344"/>
      <c r="U414" s="475"/>
    </row>
    <row r="415" spans="2:21" ht="13.2" customHeight="1" x14ac:dyDescent="0.25">
      <c r="B415" s="375"/>
      <c r="C415" s="351" t="s">
        <v>67</v>
      </c>
      <c r="D415" s="352" t="str">
        <f>HLOOKUP(Deckblatt!$C$12,Language!$C$1:$D$730,506,FALSE)</f>
        <v>Wegweisungssysteme für Radverkehr</v>
      </c>
      <c r="E415" s="353"/>
      <c r="F415" s="363"/>
      <c r="G415" s="113"/>
      <c r="H415" s="21">
        <v>10</v>
      </c>
      <c r="I415" s="379"/>
      <c r="J415" s="340"/>
      <c r="K415" s="341"/>
      <c r="L415" s="341"/>
      <c r="M415" s="341"/>
      <c r="N415" s="342"/>
      <c r="P415" s="18">
        <f t="shared" si="7"/>
        <v>0</v>
      </c>
      <c r="Q415" s="338"/>
      <c r="R415" s="344"/>
      <c r="S415" s="474"/>
      <c r="T415" s="344"/>
      <c r="U415" s="475"/>
    </row>
    <row r="416" spans="2:21" ht="26.4" x14ac:dyDescent="0.25">
      <c r="B416" s="375"/>
      <c r="C416" s="351"/>
      <c r="D416" s="71" t="s">
        <v>69</v>
      </c>
      <c r="E416" s="229" t="str">
        <f>HLOOKUP(Deckblatt!$C$12,Language!$C$1:$D$730,507,FALSE)</f>
        <v xml:space="preserve">Wegweisungssysteme
</v>
      </c>
      <c r="F416" s="363"/>
      <c r="G416" s="69"/>
      <c r="H416" s="18">
        <v>10</v>
      </c>
      <c r="I416" s="379"/>
      <c r="J416" s="340"/>
      <c r="K416" s="341"/>
      <c r="L416" s="341"/>
      <c r="M416" s="341"/>
      <c r="N416" s="342"/>
      <c r="P416" s="18">
        <f t="shared" si="7"/>
        <v>0</v>
      </c>
      <c r="Q416" s="338"/>
      <c r="R416" s="344"/>
      <c r="S416" s="474"/>
      <c r="T416" s="344"/>
      <c r="U416" s="475"/>
    </row>
    <row r="417" spans="2:21" ht="13.2" customHeight="1" x14ac:dyDescent="0.25">
      <c r="B417" s="375"/>
      <c r="C417" s="351" t="s">
        <v>154</v>
      </c>
      <c r="D417" s="352" t="str">
        <f>HLOOKUP(Deckblatt!$C$12,Language!$C$1:$D$730,508,FALSE)</f>
        <v>Fußwegenetz</v>
      </c>
      <c r="E417" s="353"/>
      <c r="F417" s="363"/>
      <c r="G417" s="113"/>
      <c r="H417" s="21">
        <v>15</v>
      </c>
      <c r="I417" s="379"/>
      <c r="J417" s="340"/>
      <c r="K417" s="341"/>
      <c r="L417" s="341"/>
      <c r="M417" s="341"/>
      <c r="N417" s="342"/>
      <c r="P417" s="18">
        <f t="shared" si="7"/>
        <v>0</v>
      </c>
      <c r="Q417" s="338"/>
      <c r="R417" s="344"/>
      <c r="S417" s="474"/>
      <c r="T417" s="344"/>
      <c r="U417" s="475"/>
    </row>
    <row r="418" spans="2:21" ht="26.4" x14ac:dyDescent="0.25">
      <c r="B418" s="375"/>
      <c r="C418" s="351"/>
      <c r="D418" s="71" t="s">
        <v>156</v>
      </c>
      <c r="E418" s="229" t="str">
        <f>HLOOKUP(Deckblatt!$C$12,Language!$C$1:$D$730,509,FALSE)</f>
        <v xml:space="preserve">Fußgängerinfrastruktur
</v>
      </c>
      <c r="F418" s="363"/>
      <c r="G418" s="69"/>
      <c r="H418" s="18">
        <v>15</v>
      </c>
      <c r="I418" s="379"/>
      <c r="J418" s="340"/>
      <c r="K418" s="341"/>
      <c r="L418" s="341"/>
      <c r="M418" s="341"/>
      <c r="N418" s="342"/>
      <c r="P418" s="18">
        <f t="shared" si="7"/>
        <v>0</v>
      </c>
      <c r="Q418" s="338"/>
      <c r="R418" s="344"/>
      <c r="S418" s="474"/>
      <c r="T418" s="344"/>
      <c r="U418" s="475"/>
    </row>
    <row r="419" spans="2:21" ht="13.2" customHeight="1" x14ac:dyDescent="0.25">
      <c r="B419" s="375"/>
      <c r="C419" s="392" t="s">
        <v>157</v>
      </c>
      <c r="D419" s="352" t="str">
        <f>HLOOKUP(Deckblatt!$C$12,Language!$C$1:$D$730,510,FALSE)</f>
        <v>Lage der Querungsmöglichkeiten für Fußgänger/-innen</v>
      </c>
      <c r="E419" s="353"/>
      <c r="F419" s="363"/>
      <c r="G419" s="113"/>
      <c r="H419" s="21">
        <v>15</v>
      </c>
      <c r="I419" s="379"/>
      <c r="J419" s="340"/>
      <c r="K419" s="341"/>
      <c r="L419" s="341"/>
      <c r="M419" s="341"/>
      <c r="N419" s="342"/>
      <c r="P419" s="18">
        <f t="shared" si="7"/>
        <v>0</v>
      </c>
      <c r="Q419" s="338"/>
      <c r="R419" s="344"/>
      <c r="S419" s="474"/>
      <c r="T419" s="344"/>
      <c r="U419" s="475"/>
    </row>
    <row r="420" spans="2:21" ht="26.4" x14ac:dyDescent="0.25">
      <c r="B420" s="375"/>
      <c r="C420" s="351"/>
      <c r="D420" s="71" t="s">
        <v>159</v>
      </c>
      <c r="E420" s="229" t="str">
        <f>HLOOKUP(Deckblatt!$C$12,Language!$C$1:$D$730,511,FALSE)</f>
        <v xml:space="preserve">Kreuzen der Wege
</v>
      </c>
      <c r="F420" s="363"/>
      <c r="G420" s="69"/>
      <c r="H420" s="18">
        <v>15</v>
      </c>
      <c r="I420" s="379"/>
      <c r="J420" s="340"/>
      <c r="K420" s="341"/>
      <c r="L420" s="341"/>
      <c r="M420" s="341"/>
      <c r="N420" s="342"/>
      <c r="P420" s="18">
        <f t="shared" ref="P420:P484" si="10">IF(G420&gt;H420,H420,G420)</f>
        <v>0</v>
      </c>
      <c r="Q420" s="338"/>
      <c r="R420" s="344"/>
      <c r="S420" s="474"/>
      <c r="T420" s="344"/>
      <c r="U420" s="475"/>
    </row>
    <row r="421" spans="2:21" ht="13.2" customHeight="1" x14ac:dyDescent="0.25">
      <c r="B421" s="375"/>
      <c r="C421" s="351" t="s">
        <v>282</v>
      </c>
      <c r="D421" s="352" t="str">
        <f>HLOOKUP(Deckblatt!$C$12,Language!$C$1:$D$730,512,FALSE)</f>
        <v>Wegweisungssysteme für Fußgänger/-innen</v>
      </c>
      <c r="E421" s="353"/>
      <c r="F421" s="363"/>
      <c r="G421" s="356"/>
      <c r="H421" s="21">
        <v>10</v>
      </c>
      <c r="I421" s="379"/>
      <c r="J421" s="340"/>
      <c r="K421" s="341"/>
      <c r="L421" s="341"/>
      <c r="M421" s="341"/>
      <c r="N421" s="342"/>
      <c r="P421" s="18">
        <f t="shared" si="10"/>
        <v>0</v>
      </c>
      <c r="Q421" s="338"/>
      <c r="R421" s="344"/>
      <c r="S421" s="474"/>
      <c r="T421" s="344"/>
      <c r="U421" s="475"/>
    </row>
    <row r="422" spans="2:21" x14ac:dyDescent="0.25">
      <c r="B422" s="375"/>
      <c r="C422" s="351"/>
      <c r="D422" s="361" t="s">
        <v>284</v>
      </c>
      <c r="E422" s="229" t="str">
        <f>HLOOKUP(Deckblatt!$C$12,Language!$C$1:$D$730,513,FALSE)</f>
        <v>Wegweisungssysteme</v>
      </c>
      <c r="F422" s="363"/>
      <c r="G422" s="356"/>
      <c r="H422" s="21">
        <v>10</v>
      </c>
      <c r="I422" s="379"/>
      <c r="J422" s="340"/>
      <c r="K422" s="341"/>
      <c r="L422" s="341"/>
      <c r="M422" s="341"/>
      <c r="N422" s="342"/>
      <c r="P422" s="18">
        <f t="shared" si="10"/>
        <v>0</v>
      </c>
      <c r="Q422" s="338"/>
      <c r="R422" s="344"/>
      <c r="S422" s="474"/>
      <c r="T422" s="344"/>
      <c r="U422" s="475"/>
    </row>
    <row r="423" spans="2:21" ht="52.8" x14ac:dyDescent="0.25">
      <c r="B423" s="375"/>
      <c r="C423" s="351"/>
      <c r="D423" s="361"/>
      <c r="E423" s="134" t="str">
        <f>HLOOKUP(Deckblatt!$C$12,Language!$C$1:$D$730,514,FALSE)</f>
        <v xml:space="preserve">Flächendeckende Beschilderung (Ziele, Entfernungen, ggf. Gehminuten) ist vorhanden, die wichtigsten Ziele sind ausgeschildert.≤ 30 Minuten
</v>
      </c>
      <c r="F423" s="363"/>
      <c r="G423" s="69"/>
      <c r="H423" s="18">
        <v>5</v>
      </c>
      <c r="I423" s="379"/>
      <c r="J423" s="340"/>
      <c r="K423" s="341"/>
      <c r="L423" s="341"/>
      <c r="M423" s="341"/>
      <c r="N423" s="342"/>
      <c r="P423" s="18">
        <f t="shared" si="10"/>
        <v>0</v>
      </c>
      <c r="Q423" s="338"/>
      <c r="R423" s="344"/>
      <c r="S423" s="474"/>
      <c r="T423" s="344"/>
      <c r="U423" s="475"/>
    </row>
    <row r="424" spans="2:21" ht="40.200000000000003" thickBot="1" x14ac:dyDescent="0.3">
      <c r="B424" s="377"/>
      <c r="C424" s="351"/>
      <c r="D424" s="361"/>
      <c r="E424" s="134" t="str">
        <f>HLOOKUP(Deckblatt!$C$12,Language!$C$1:$D$730,515,FALSE)</f>
        <v xml:space="preserve">Flächendeckende Orientierungspläne (z. B. an zentralen Einrichtungen, Plätzen etc.) unterstützen die Orientierung und erhöhen die Sicherheit.
</v>
      </c>
      <c r="F424" s="378"/>
      <c r="G424" s="70"/>
      <c r="H424" s="59">
        <v>5</v>
      </c>
      <c r="I424" s="380"/>
      <c r="J424" s="340"/>
      <c r="K424" s="341"/>
      <c r="L424" s="341"/>
      <c r="M424" s="341"/>
      <c r="N424" s="342"/>
      <c r="P424" s="18">
        <f t="shared" si="10"/>
        <v>0</v>
      </c>
      <c r="Q424" s="339"/>
      <c r="R424" s="365"/>
      <c r="S424" s="474"/>
      <c r="T424" s="365"/>
      <c r="U424" s="475"/>
    </row>
    <row r="425" spans="2:21" x14ac:dyDescent="0.25">
      <c r="B425" s="49" t="s">
        <v>474</v>
      </c>
      <c r="C425" s="354" t="str">
        <f>HLOOKUP(Deckblatt!$C$12,Language!$C$1:$D$730,516,FALSE)</f>
        <v>Integrale Planung</v>
      </c>
      <c r="D425" s="354"/>
      <c r="E425" s="355"/>
      <c r="F425" s="62">
        <f>Q425</f>
        <v>0</v>
      </c>
      <c r="G425" s="391"/>
      <c r="H425" s="51">
        <v>100</v>
      </c>
      <c r="I425" s="178">
        <v>2</v>
      </c>
      <c r="J425" s="340"/>
      <c r="K425" s="341"/>
      <c r="L425" s="341"/>
      <c r="M425" s="341"/>
      <c r="N425" s="342"/>
      <c r="P425" s="18">
        <f t="shared" si="10"/>
        <v>0</v>
      </c>
      <c r="Q425" s="337">
        <f>SUM(P428:P444)</f>
        <v>0</v>
      </c>
      <c r="R425" s="343">
        <f>Q425/100</f>
        <v>0</v>
      </c>
      <c r="S425" s="474">
        <v>0.2</v>
      </c>
      <c r="T425" s="343">
        <f>IF((R425*I425+R445*I445+R472*I472+R495*I495+R508*I508+R523*I523)/(I425+I445+I472+I495+I508+I523)&gt;1,1,(R425*I425+R445*I445+R472*I472+R495*I495+R508*I508+R523*I523)/(I425+I445+I472+I495+I508+I523))</f>
        <v>0</v>
      </c>
      <c r="U425" s="475"/>
    </row>
    <row r="426" spans="2:21" ht="13.2" customHeight="1" x14ac:dyDescent="0.25">
      <c r="B426" s="375"/>
      <c r="C426" s="351" t="s">
        <v>54</v>
      </c>
      <c r="D426" s="352" t="str">
        <f>HLOOKUP(Deckblatt!$C$12,Language!$C$1:$D$730,517,FALSE)</f>
        <v>Integrales Planungsteam</v>
      </c>
      <c r="E426" s="353"/>
      <c r="F426" s="363"/>
      <c r="G426" s="364"/>
      <c r="H426" s="137">
        <v>36</v>
      </c>
      <c r="I426" s="379"/>
      <c r="J426" s="340"/>
      <c r="K426" s="341"/>
      <c r="L426" s="341"/>
      <c r="M426" s="341"/>
      <c r="N426" s="342"/>
      <c r="P426" s="18">
        <f t="shared" si="10"/>
        <v>0</v>
      </c>
      <c r="Q426" s="338"/>
      <c r="R426" s="344"/>
      <c r="S426" s="474"/>
      <c r="T426" s="344"/>
      <c r="U426" s="475"/>
    </row>
    <row r="427" spans="2:21" x14ac:dyDescent="0.25">
      <c r="B427" s="375"/>
      <c r="C427" s="351"/>
      <c r="D427" s="361" t="s">
        <v>58</v>
      </c>
      <c r="E427" s="229" t="str">
        <f>HLOOKUP(Deckblatt!$C$12,Language!$C$1:$D$730,518,FALSE)</f>
        <v>Kernplanungsteam</v>
      </c>
      <c r="F427" s="363"/>
      <c r="G427" s="364"/>
      <c r="H427" s="137">
        <v>36</v>
      </c>
      <c r="I427" s="379"/>
      <c r="J427" s="340"/>
      <c r="K427" s="341"/>
      <c r="L427" s="341"/>
      <c r="M427" s="341"/>
      <c r="N427" s="342"/>
      <c r="P427" s="18">
        <f t="shared" si="10"/>
        <v>0</v>
      </c>
      <c r="Q427" s="338"/>
      <c r="R427" s="344"/>
      <c r="S427" s="474"/>
      <c r="T427" s="344"/>
      <c r="U427" s="475"/>
    </row>
    <row r="428" spans="2:21" ht="26.4" x14ac:dyDescent="0.25">
      <c r="B428" s="375"/>
      <c r="C428" s="351"/>
      <c r="D428" s="361"/>
      <c r="E428" s="134" t="str">
        <f>HLOOKUP(Deckblatt!$C$12,Language!$C$1:$D$730,519,FALSE)</f>
        <v xml:space="preserve">Für jede Disziplin des Kern- Planungsteams (max. 4 Disziplinen / max. 24 PUNKTE) </v>
      </c>
      <c r="F428" s="363"/>
      <c r="G428" s="69"/>
      <c r="H428" s="138">
        <v>24</v>
      </c>
      <c r="I428" s="379"/>
      <c r="J428" s="340"/>
      <c r="K428" s="341"/>
      <c r="L428" s="341"/>
      <c r="M428" s="341"/>
      <c r="N428" s="342"/>
      <c r="P428" s="18">
        <f t="shared" si="10"/>
        <v>0</v>
      </c>
      <c r="Q428" s="338"/>
      <c r="R428" s="344"/>
      <c r="S428" s="474"/>
      <c r="T428" s="344"/>
      <c r="U428" s="475"/>
    </row>
    <row r="429" spans="2:21" ht="39.6" x14ac:dyDescent="0.25">
      <c r="B429" s="375"/>
      <c r="C429" s="351"/>
      <c r="D429" s="361"/>
      <c r="E429" s="134" t="str">
        <f>HLOOKUP(Deckblatt!$C$12,Language!$C$1:$D$730,520,FALSE)</f>
        <v xml:space="preserve">Für jede Disziplin der zusätzlich wünschenswerten Disziplinen (max. 4 Disziplinen / max. 12 PUNKTE) 
</v>
      </c>
      <c r="F429" s="363"/>
      <c r="G429" s="69"/>
      <c r="H429" s="138">
        <v>12</v>
      </c>
      <c r="I429" s="379"/>
      <c r="J429" s="340"/>
      <c r="K429" s="341"/>
      <c r="L429" s="341"/>
      <c r="M429" s="341"/>
      <c r="N429" s="342"/>
      <c r="P429" s="18">
        <f t="shared" si="10"/>
        <v>0</v>
      </c>
      <c r="Q429" s="338"/>
      <c r="R429" s="344"/>
      <c r="S429" s="474"/>
      <c r="T429" s="344"/>
      <c r="U429" s="475"/>
    </row>
    <row r="430" spans="2:21" ht="13.2" customHeight="1" x14ac:dyDescent="0.25">
      <c r="B430" s="375"/>
      <c r="C430" s="351" t="s">
        <v>61</v>
      </c>
      <c r="D430" s="352" t="str">
        <f>HLOOKUP(Deckblatt!$C$12,Language!$C$1:$D$730,521,FALSE)</f>
        <v>Integraler Planungsprozess</v>
      </c>
      <c r="E430" s="353"/>
      <c r="F430" s="363"/>
      <c r="G430" s="113"/>
      <c r="H430" s="137">
        <v>34</v>
      </c>
      <c r="I430" s="379"/>
      <c r="J430" s="340"/>
      <c r="K430" s="341"/>
      <c r="L430" s="341"/>
      <c r="M430" s="341"/>
      <c r="N430" s="342"/>
      <c r="P430" s="18">
        <f t="shared" si="10"/>
        <v>0</v>
      </c>
      <c r="Q430" s="338"/>
      <c r="R430" s="344"/>
      <c r="S430" s="474"/>
      <c r="T430" s="344"/>
      <c r="U430" s="475"/>
    </row>
    <row r="431" spans="2:21" ht="39.6" x14ac:dyDescent="0.25">
      <c r="B431" s="375"/>
      <c r="C431" s="351"/>
      <c r="D431" s="71" t="s">
        <v>63</v>
      </c>
      <c r="E431" s="229" t="str">
        <f>HLOOKUP(Deckblatt!$C$12,Language!$C$1:$D$730,522,FALSE)</f>
        <v xml:space="preserve">Zeitpunkt der Integration von DGNB Zertifizierungskriterien in den Planungsprozess
</v>
      </c>
      <c r="F431" s="363"/>
      <c r="G431" s="69"/>
      <c r="H431" s="138">
        <v>14</v>
      </c>
      <c r="I431" s="379"/>
      <c r="J431" s="340"/>
      <c r="K431" s="341"/>
      <c r="L431" s="341"/>
      <c r="M431" s="341"/>
      <c r="N431" s="342"/>
      <c r="P431" s="18">
        <f t="shared" si="10"/>
        <v>0</v>
      </c>
      <c r="Q431" s="338"/>
      <c r="R431" s="344"/>
      <c r="S431" s="474"/>
      <c r="T431" s="344"/>
      <c r="U431" s="475"/>
    </row>
    <row r="432" spans="2:21" ht="26.4" x14ac:dyDescent="0.25">
      <c r="B432" s="375"/>
      <c r="C432" s="351"/>
      <c r="D432" s="71" t="s">
        <v>186</v>
      </c>
      <c r="E432" s="229" t="str">
        <f>HLOOKUP(Deckblatt!$C$12,Language!$C$1:$D$730,523,FALSE)</f>
        <v xml:space="preserve">Zusammenarbeit des Planungsteam
</v>
      </c>
      <c r="F432" s="363"/>
      <c r="G432" s="69"/>
      <c r="H432" s="138">
        <v>11</v>
      </c>
      <c r="I432" s="379"/>
      <c r="J432" s="340"/>
      <c r="K432" s="341"/>
      <c r="L432" s="341"/>
      <c r="M432" s="341"/>
      <c r="N432" s="342"/>
      <c r="P432" s="18">
        <f t="shared" si="10"/>
        <v>0</v>
      </c>
      <c r="Q432" s="338"/>
      <c r="R432" s="344"/>
      <c r="S432" s="474"/>
      <c r="T432" s="344"/>
      <c r="U432" s="475"/>
    </row>
    <row r="433" spans="2:21" x14ac:dyDescent="0.25">
      <c r="B433" s="375"/>
      <c r="C433" s="351"/>
      <c r="D433" s="361" t="s">
        <v>255</v>
      </c>
      <c r="E433" s="229" t="str">
        <f>HLOOKUP(Deckblatt!$C$12,Language!$C$1:$D$730,524,FALSE)</f>
        <v>Bausteine des integralen Planungsprozesses</v>
      </c>
      <c r="F433" s="363"/>
      <c r="G433" s="113"/>
      <c r="H433" s="137">
        <v>9</v>
      </c>
      <c r="I433" s="379"/>
      <c r="J433" s="340"/>
      <c r="K433" s="341"/>
      <c r="L433" s="341"/>
      <c r="M433" s="341"/>
      <c r="N433" s="342"/>
      <c r="P433" s="18">
        <f t="shared" si="10"/>
        <v>0</v>
      </c>
      <c r="Q433" s="338"/>
      <c r="R433" s="344"/>
      <c r="S433" s="474"/>
      <c r="T433" s="344"/>
      <c r="U433" s="475"/>
    </row>
    <row r="434" spans="2:21" ht="66" x14ac:dyDescent="0.25">
      <c r="B434" s="375"/>
      <c r="C434" s="351"/>
      <c r="D434" s="361"/>
      <c r="E434"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4" s="363"/>
      <c r="G434" s="69"/>
      <c r="H434" s="138">
        <v>3</v>
      </c>
      <c r="I434" s="379"/>
      <c r="J434" s="340"/>
      <c r="K434" s="341"/>
      <c r="L434" s="341"/>
      <c r="M434" s="341"/>
      <c r="N434" s="342"/>
      <c r="P434" s="18">
        <f t="shared" si="10"/>
        <v>0</v>
      </c>
      <c r="Q434" s="338"/>
      <c r="R434" s="344"/>
      <c r="S434" s="474"/>
      <c r="T434" s="344"/>
      <c r="U434" s="475"/>
    </row>
    <row r="435" spans="2:21" ht="66" x14ac:dyDescent="0.25">
      <c r="B435" s="375"/>
      <c r="C435" s="351"/>
      <c r="D435" s="361"/>
      <c r="E435"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5" s="363"/>
      <c r="G435" s="69"/>
      <c r="H435" s="138">
        <v>3</v>
      </c>
      <c r="I435" s="379"/>
      <c r="J435" s="340"/>
      <c r="K435" s="341"/>
      <c r="L435" s="341"/>
      <c r="M435" s="341"/>
      <c r="N435" s="342"/>
      <c r="P435" s="18">
        <f t="shared" si="10"/>
        <v>0</v>
      </c>
      <c r="Q435" s="338"/>
      <c r="R435" s="344"/>
      <c r="S435" s="474"/>
      <c r="T435" s="344"/>
      <c r="U435" s="475"/>
    </row>
    <row r="436" spans="2:21" ht="39.6" x14ac:dyDescent="0.25">
      <c r="B436" s="375"/>
      <c r="C436" s="351"/>
      <c r="D436" s="361"/>
      <c r="E436" s="134" t="str">
        <f>HLOOKUP(Deckblatt!$C$12,Language!$C$1:$D$730,527,FALSE)</f>
        <v xml:space="preserve">3-D-Datenmodell: Zusammenarbeit des Planungsteams mit einem 3-D-Datenmodell (GIS, CIM, BIM)
</v>
      </c>
      <c r="F436" s="363"/>
      <c r="G436" s="69"/>
      <c r="H436" s="138">
        <v>3</v>
      </c>
      <c r="I436" s="379"/>
      <c r="J436" s="340"/>
      <c r="K436" s="341"/>
      <c r="L436" s="341"/>
      <c r="M436" s="341"/>
      <c r="N436" s="342"/>
      <c r="P436" s="18">
        <f t="shared" si="10"/>
        <v>0</v>
      </c>
      <c r="Q436" s="338"/>
      <c r="R436" s="344"/>
      <c r="S436" s="474"/>
      <c r="T436" s="344"/>
      <c r="U436" s="475"/>
    </row>
    <row r="437" spans="2:21" ht="13.2" customHeight="1" x14ac:dyDescent="0.25">
      <c r="B437" s="375"/>
      <c r="C437" s="351" t="s">
        <v>64</v>
      </c>
      <c r="D437" s="352" t="str">
        <f>HLOOKUP(Deckblatt!$C$12,Language!$C$1:$D$730,528,FALSE)</f>
        <v>Planungsszenarien und -varianten</v>
      </c>
      <c r="E437" s="353"/>
      <c r="F437" s="363"/>
      <c r="G437" s="113"/>
      <c r="H437" s="137">
        <v>30</v>
      </c>
      <c r="I437" s="379"/>
      <c r="J437" s="340"/>
      <c r="K437" s="341"/>
      <c r="L437" s="341"/>
      <c r="M437" s="341"/>
      <c r="N437" s="342"/>
      <c r="P437" s="18">
        <f t="shared" si="10"/>
        <v>0</v>
      </c>
      <c r="Q437" s="338"/>
      <c r="R437" s="344"/>
      <c r="S437" s="474"/>
      <c r="T437" s="344"/>
      <c r="U437" s="475"/>
    </row>
    <row r="438" spans="2:21" ht="26.4" x14ac:dyDescent="0.25">
      <c r="B438" s="375"/>
      <c r="C438" s="351"/>
      <c r="D438" s="71" t="s">
        <v>66</v>
      </c>
      <c r="E438" s="229" t="str">
        <f>HLOOKUP(Deckblatt!$C$12,Language!$C$1:$D$730,529,FALSE)</f>
        <v xml:space="preserve">Planungsszenarien
</v>
      </c>
      <c r="F438" s="363"/>
      <c r="G438" s="69"/>
      <c r="H438" s="138">
        <v>6</v>
      </c>
      <c r="I438" s="379"/>
      <c r="J438" s="340"/>
      <c r="K438" s="341"/>
      <c r="L438" s="341"/>
      <c r="M438" s="341"/>
      <c r="N438" s="342"/>
      <c r="P438" s="18">
        <f t="shared" si="10"/>
        <v>0</v>
      </c>
      <c r="Q438" s="338"/>
      <c r="R438" s="344"/>
      <c r="S438" s="474"/>
      <c r="T438" s="344"/>
      <c r="U438" s="475"/>
    </row>
    <row r="439" spans="2:21" ht="26.4" x14ac:dyDescent="0.25">
      <c r="B439" s="375"/>
      <c r="C439" s="351"/>
      <c r="D439" s="71" t="s">
        <v>188</v>
      </c>
      <c r="E439" s="229" t="str">
        <f>HLOOKUP(Deckblatt!$C$12,Language!$C$1:$D$730,530,FALSE)</f>
        <v xml:space="preserve">Planungsvarianten 
</v>
      </c>
      <c r="F439" s="363"/>
      <c r="G439" s="69"/>
      <c r="H439" s="138">
        <v>6</v>
      </c>
      <c r="I439" s="379"/>
      <c r="J439" s="340"/>
      <c r="K439" s="341"/>
      <c r="L439" s="341"/>
      <c r="M439" s="341"/>
      <c r="N439" s="342"/>
      <c r="P439" s="18">
        <f t="shared" si="10"/>
        <v>0</v>
      </c>
      <c r="Q439" s="338"/>
      <c r="R439" s="344"/>
      <c r="S439" s="474"/>
      <c r="T439" s="344"/>
      <c r="U439" s="475"/>
    </row>
    <row r="440" spans="2:21" x14ac:dyDescent="0.25">
      <c r="B440" s="375"/>
      <c r="C440" s="351"/>
      <c r="D440" s="361" t="s">
        <v>150</v>
      </c>
      <c r="E440" s="229" t="str">
        <f>HLOOKUP(Deckblatt!$C$12,Language!$C$1:$D$730,531,FALSE)</f>
        <v>Verfahren zur gestalterischen und funktionalen Konzeptfindung</v>
      </c>
      <c r="F440" s="363"/>
      <c r="G440" s="113"/>
      <c r="H440" s="137">
        <v>18</v>
      </c>
      <c r="I440" s="379"/>
      <c r="J440" s="340"/>
      <c r="K440" s="341"/>
      <c r="L440" s="341"/>
      <c r="M440" s="341"/>
      <c r="N440" s="342"/>
      <c r="P440" s="18">
        <f t="shared" si="10"/>
        <v>0</v>
      </c>
      <c r="Q440" s="338"/>
      <c r="R440" s="344"/>
      <c r="S440" s="474"/>
      <c r="T440" s="344"/>
      <c r="U440" s="475"/>
    </row>
    <row r="441" spans="2:21" ht="39.6" x14ac:dyDescent="0.25">
      <c r="B441" s="375"/>
      <c r="C441" s="351"/>
      <c r="D441" s="361"/>
      <c r="E441" s="134" t="str">
        <f>HLOOKUP(Deckblatt!$C$12,Language!$C$1:$D$730,533,FALSE)</f>
        <v xml:space="preserve">Verfahren zur Konzeptfindung: Es wurden konkurrierende und/oder kooperative Verfahren für den städtebaulichen Entwurf durchgeführt 
</v>
      </c>
      <c r="F441" s="363"/>
      <c r="G441" s="69"/>
      <c r="H441" s="138">
        <v>9</v>
      </c>
      <c r="I441" s="379"/>
      <c r="J441" s="340"/>
      <c r="K441" s="341"/>
      <c r="L441" s="341"/>
      <c r="M441" s="341"/>
      <c r="N441" s="342"/>
      <c r="P441" s="18">
        <f t="shared" si="10"/>
        <v>0</v>
      </c>
      <c r="Q441" s="338"/>
      <c r="R441" s="344"/>
      <c r="S441" s="474"/>
      <c r="T441" s="344"/>
      <c r="U441" s="475"/>
    </row>
    <row r="442" spans="2:21" ht="52.8" x14ac:dyDescent="0.25">
      <c r="B442" s="375"/>
      <c r="C442" s="351"/>
      <c r="D442" s="361"/>
      <c r="E442" s="134" t="str">
        <f>HLOOKUP(Deckblatt!$C$12,Language!$C$1:$D$730,534,FALSE)</f>
        <v xml:space="preserve">Beteiligung von Nutzern, Anliegern oder Interessenvertretern: An der Entscheidungsfindung wurden Repräsentanten der Nutzer, Anlieger oder Interessenvertreter beteiligt
</v>
      </c>
      <c r="F442" s="363"/>
      <c r="G442" s="69"/>
      <c r="H442" s="138">
        <v>3</v>
      </c>
      <c r="I442" s="379"/>
      <c r="J442" s="340"/>
      <c r="K442" s="341"/>
      <c r="L442" s="341"/>
      <c r="M442" s="341"/>
      <c r="N442" s="342"/>
      <c r="P442" s="18">
        <f t="shared" si="10"/>
        <v>0</v>
      </c>
      <c r="Q442" s="338"/>
      <c r="R442" s="344"/>
      <c r="S442" s="474"/>
      <c r="T442" s="344"/>
      <c r="U442" s="475"/>
    </row>
    <row r="443" spans="2:21" ht="39.6" x14ac:dyDescent="0.25">
      <c r="B443" s="375"/>
      <c r="C443" s="351"/>
      <c r="D443" s="361"/>
      <c r="E443" s="134" t="str">
        <f>HLOOKUP(Deckblatt!$C$12,Language!$C$1:$D$730,535,FALSE)</f>
        <v xml:space="preserve">Vorprüfung nach DGNB-Kriterien: Die Vorprüfung des städtebaulichen und landschaftsplanerischen Wettbewerbs erfolgt nach DGNB-Kriterien
</v>
      </c>
      <c r="F443" s="363"/>
      <c r="G443" s="69"/>
      <c r="H443" s="138">
        <v>3</v>
      </c>
      <c r="I443" s="379"/>
      <c r="J443" s="340"/>
      <c r="K443" s="341"/>
      <c r="L443" s="341"/>
      <c r="M443" s="341"/>
      <c r="N443" s="342"/>
      <c r="P443" s="18">
        <f t="shared" si="10"/>
        <v>0</v>
      </c>
      <c r="Q443" s="338"/>
      <c r="R443" s="344"/>
      <c r="S443" s="474"/>
      <c r="T443" s="344"/>
      <c r="U443" s="475"/>
    </row>
    <row r="444" spans="2:21" ht="79.2" x14ac:dyDescent="0.25">
      <c r="B444" s="375"/>
      <c r="C444" s="351"/>
      <c r="D444" s="361"/>
      <c r="E444"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4" s="363"/>
      <c r="G444" s="69"/>
      <c r="H444" s="138">
        <v>3</v>
      </c>
      <c r="I444" s="379"/>
      <c r="J444" s="340"/>
      <c r="K444" s="341"/>
      <c r="L444" s="341"/>
      <c r="M444" s="341"/>
      <c r="N444" s="342"/>
      <c r="P444" s="18">
        <f t="shared" si="10"/>
        <v>0</v>
      </c>
      <c r="Q444" s="339"/>
      <c r="R444" s="365"/>
      <c r="S444" s="474"/>
      <c r="T444" s="344"/>
      <c r="U444" s="475"/>
    </row>
    <row r="445" spans="2:21" x14ac:dyDescent="0.25">
      <c r="B445" s="55" t="s">
        <v>495</v>
      </c>
      <c r="C445" s="354" t="str">
        <f>HLOOKUP(Deckblatt!$C$12,Language!$C$1:$D$730,538,FALSE)</f>
        <v>Partizipation</v>
      </c>
      <c r="D445" s="354"/>
      <c r="E445" s="355"/>
      <c r="F445" s="66">
        <f>Q445</f>
        <v>0</v>
      </c>
      <c r="G445" s="364"/>
      <c r="H445" s="21">
        <v>100</v>
      </c>
      <c r="I445" s="176">
        <v>3</v>
      </c>
      <c r="J445" s="340"/>
      <c r="K445" s="341"/>
      <c r="L445" s="341"/>
      <c r="M445" s="341"/>
      <c r="N445" s="342"/>
      <c r="P445" s="18">
        <f t="shared" si="10"/>
        <v>0</v>
      </c>
      <c r="Q445" s="337">
        <f>SUM(MAX(P447:P450),MAX(P452:P455),MAX(P457:P460),MAX(P462:P465),P467:P469,P471)</f>
        <v>0</v>
      </c>
      <c r="R445" s="343">
        <f>Q445/100</f>
        <v>0</v>
      </c>
      <c r="S445" s="474"/>
      <c r="T445" s="344"/>
      <c r="U445" s="475"/>
    </row>
    <row r="446" spans="2:21" ht="55.2" customHeight="1" x14ac:dyDescent="0.25">
      <c r="B446" s="375"/>
      <c r="C446" s="351" t="s">
        <v>54</v>
      </c>
      <c r="D446" s="367"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6" s="368"/>
      <c r="F446" s="363"/>
      <c r="G446" s="364"/>
      <c r="H446" s="21">
        <v>10</v>
      </c>
      <c r="I446" s="379"/>
      <c r="J446" s="340"/>
      <c r="K446" s="341"/>
      <c r="L446" s="341"/>
      <c r="M446" s="341"/>
      <c r="N446" s="342"/>
      <c r="P446" s="18">
        <f t="shared" si="10"/>
        <v>0</v>
      </c>
      <c r="Q446" s="338"/>
      <c r="R446" s="344"/>
      <c r="S446" s="474"/>
      <c r="T446" s="344"/>
      <c r="U446" s="475"/>
    </row>
    <row r="447" spans="2:21" ht="26.4" x14ac:dyDescent="0.25">
      <c r="B447" s="375"/>
      <c r="C447" s="351"/>
      <c r="D447" s="71" t="s">
        <v>58</v>
      </c>
      <c r="E447" s="134" t="str">
        <f>HLOOKUP(Deckblatt!$C$12,Language!$C$1:$D$730,540,FALSE)</f>
        <v xml:space="preserve">Information
</v>
      </c>
      <c r="F447" s="363"/>
      <c r="G447" s="69"/>
      <c r="H447" s="18">
        <v>2</v>
      </c>
      <c r="I447" s="379"/>
      <c r="J447" s="340"/>
      <c r="K447" s="341"/>
      <c r="L447" s="341"/>
      <c r="M447" s="341"/>
      <c r="N447" s="342"/>
      <c r="P447" s="18">
        <f t="shared" si="10"/>
        <v>0</v>
      </c>
      <c r="Q447" s="338"/>
      <c r="R447" s="344"/>
      <c r="S447" s="474"/>
      <c r="T447" s="344"/>
      <c r="U447" s="475"/>
    </row>
    <row r="448" spans="2:21" ht="39.6" x14ac:dyDescent="0.25">
      <c r="B448" s="375"/>
      <c r="C448" s="351"/>
      <c r="D448" s="71" t="s">
        <v>181</v>
      </c>
      <c r="E448" s="134" t="str">
        <f>HLOOKUP(Deckblatt!$C$12,Language!$C$1:$D$730,541,FALSE)</f>
        <v xml:space="preserve">Konsultative Nutzerbeteiligung / Beratung
</v>
      </c>
      <c r="F448" s="363"/>
      <c r="G448" s="69"/>
      <c r="H448" s="18">
        <v>5</v>
      </c>
      <c r="I448" s="379"/>
      <c r="J448" s="340"/>
      <c r="K448" s="341"/>
      <c r="L448" s="341"/>
      <c r="M448" s="341"/>
      <c r="N448" s="342"/>
      <c r="P448" s="18">
        <f t="shared" si="10"/>
        <v>0</v>
      </c>
      <c r="Q448" s="338"/>
      <c r="R448" s="344"/>
      <c r="S448" s="474"/>
      <c r="T448" s="344"/>
      <c r="U448" s="475"/>
    </row>
    <row r="449" spans="2:21" ht="26.4" x14ac:dyDescent="0.25">
      <c r="B449" s="375"/>
      <c r="C449" s="351"/>
      <c r="D449" s="71" t="s">
        <v>246</v>
      </c>
      <c r="E449" s="134" t="str">
        <f>HLOOKUP(Deckblatt!$C$12,Language!$C$1:$D$730,542,FALSE)</f>
        <v xml:space="preserve">Mitbestimmung
</v>
      </c>
      <c r="F449" s="363"/>
      <c r="G449" s="69"/>
      <c r="H449" s="18">
        <v>7</v>
      </c>
      <c r="I449" s="379"/>
      <c r="J449" s="340"/>
      <c r="K449" s="341"/>
      <c r="L449" s="341"/>
      <c r="M449" s="341"/>
      <c r="N449" s="342"/>
      <c r="P449" s="18">
        <f t="shared" si="10"/>
        <v>0</v>
      </c>
      <c r="Q449" s="338"/>
      <c r="R449" s="344"/>
      <c r="S449" s="474"/>
      <c r="T449" s="344"/>
      <c r="U449" s="475"/>
    </row>
    <row r="450" spans="2:21" ht="26.4" x14ac:dyDescent="0.25">
      <c r="B450" s="375"/>
      <c r="C450" s="351"/>
      <c r="D450" s="71" t="s">
        <v>250</v>
      </c>
      <c r="E450" s="134" t="str">
        <f>HLOOKUP(Deckblatt!$C$12,Language!$C$1:$D$730,543,FALSE)</f>
        <v xml:space="preserve">Konzeptuelle Integration
</v>
      </c>
      <c r="F450" s="363"/>
      <c r="G450" s="69"/>
      <c r="H450" s="18">
        <v>10</v>
      </c>
      <c r="I450" s="379"/>
      <c r="J450" s="340"/>
      <c r="K450" s="341"/>
      <c r="L450" s="341"/>
      <c r="M450" s="341"/>
      <c r="N450" s="342"/>
      <c r="P450" s="18">
        <f t="shared" si="10"/>
        <v>0</v>
      </c>
      <c r="Q450" s="338"/>
      <c r="R450" s="344"/>
      <c r="S450" s="474"/>
      <c r="T450" s="344"/>
      <c r="U450" s="475"/>
    </row>
    <row r="451" spans="2:21" ht="54.6" customHeight="1" x14ac:dyDescent="0.25">
      <c r="B451" s="375"/>
      <c r="C451" s="351" t="s">
        <v>61</v>
      </c>
      <c r="D451" s="367"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1" s="368"/>
      <c r="F451" s="363"/>
      <c r="G451" s="113"/>
      <c r="H451" s="21">
        <v>10</v>
      </c>
      <c r="I451" s="379"/>
      <c r="J451" s="340"/>
      <c r="K451" s="341"/>
      <c r="L451" s="341"/>
      <c r="M451" s="341"/>
      <c r="N451" s="342"/>
      <c r="P451" s="18">
        <f t="shared" si="10"/>
        <v>0</v>
      </c>
      <c r="Q451" s="338"/>
      <c r="R451" s="344"/>
      <c r="S451" s="474"/>
      <c r="T451" s="344"/>
      <c r="U451" s="475"/>
    </row>
    <row r="452" spans="2:21" ht="26.4" x14ac:dyDescent="0.25">
      <c r="B452" s="375"/>
      <c r="C452" s="351"/>
      <c r="D452" s="71" t="s">
        <v>63</v>
      </c>
      <c r="E452" s="134" t="str">
        <f>HLOOKUP(Deckblatt!$C$12,Language!$C$1:$D$730,545,FALSE)</f>
        <v xml:space="preserve">Information
</v>
      </c>
      <c r="F452" s="363"/>
      <c r="G452" s="69"/>
      <c r="H452" s="18">
        <v>2</v>
      </c>
      <c r="I452" s="379"/>
      <c r="J452" s="340"/>
      <c r="K452" s="341"/>
      <c r="L452" s="341"/>
      <c r="M452" s="341"/>
      <c r="N452" s="342"/>
      <c r="P452" s="18">
        <f t="shared" si="10"/>
        <v>0</v>
      </c>
      <c r="Q452" s="338"/>
      <c r="R452" s="344"/>
      <c r="S452" s="474"/>
      <c r="T452" s="344"/>
      <c r="U452" s="475"/>
    </row>
    <row r="453" spans="2:21" ht="39.6" x14ac:dyDescent="0.25">
      <c r="B453" s="375"/>
      <c r="C453" s="351"/>
      <c r="D453" s="71" t="s">
        <v>186</v>
      </c>
      <c r="E453" s="134" t="str">
        <f>HLOOKUP(Deckblatt!$C$12,Language!$C$1:$D$730,546,FALSE)</f>
        <v xml:space="preserve">Konsultative Nutzerbeteiligung
</v>
      </c>
      <c r="F453" s="363"/>
      <c r="G453" s="69"/>
      <c r="H453" s="18">
        <v>5</v>
      </c>
      <c r="I453" s="379"/>
      <c r="J453" s="340"/>
      <c r="K453" s="341"/>
      <c r="L453" s="341"/>
      <c r="M453" s="341"/>
      <c r="N453" s="342"/>
      <c r="P453" s="18">
        <f t="shared" si="10"/>
        <v>0</v>
      </c>
      <c r="Q453" s="338"/>
      <c r="R453" s="344"/>
      <c r="S453" s="474"/>
      <c r="T453" s="344"/>
      <c r="U453" s="475"/>
    </row>
    <row r="454" spans="2:21" ht="39.6" x14ac:dyDescent="0.25">
      <c r="B454" s="375"/>
      <c r="C454" s="351"/>
      <c r="D454" s="71" t="s">
        <v>255</v>
      </c>
      <c r="E454" s="134" t="str">
        <f>HLOOKUP(Deckblatt!$C$12,Language!$C$1:$D$730,547,FALSE)</f>
        <v xml:space="preserve">Mitbestimmung
</v>
      </c>
      <c r="F454" s="363"/>
      <c r="G454" s="69"/>
      <c r="H454" s="18">
        <v>7</v>
      </c>
      <c r="I454" s="379"/>
      <c r="J454" s="340"/>
      <c r="K454" s="341"/>
      <c r="L454" s="341"/>
      <c r="M454" s="341"/>
      <c r="N454" s="342"/>
      <c r="P454" s="18">
        <f t="shared" si="10"/>
        <v>0</v>
      </c>
      <c r="Q454" s="338"/>
      <c r="R454" s="344"/>
      <c r="S454" s="474"/>
      <c r="T454" s="344"/>
      <c r="U454" s="475"/>
    </row>
    <row r="455" spans="2:21" ht="39.6" x14ac:dyDescent="0.25">
      <c r="B455" s="375"/>
      <c r="C455" s="351"/>
      <c r="D455" s="71" t="s">
        <v>256</v>
      </c>
      <c r="E455" s="134" t="str">
        <f>HLOOKUP(Deckblatt!$C$12,Language!$C$1:$D$730,548,FALSE)</f>
        <v xml:space="preserve">Konzeptuelle Integration
</v>
      </c>
      <c r="F455" s="363"/>
      <c r="G455" s="69"/>
      <c r="H455" s="18">
        <v>10</v>
      </c>
      <c r="I455" s="379"/>
      <c r="J455" s="340"/>
      <c r="K455" s="341"/>
      <c r="L455" s="341"/>
      <c r="M455" s="341"/>
      <c r="N455" s="342"/>
      <c r="P455" s="18">
        <f t="shared" si="10"/>
        <v>0</v>
      </c>
      <c r="Q455" s="338"/>
      <c r="R455" s="344"/>
      <c r="S455" s="474"/>
      <c r="T455" s="344"/>
      <c r="U455" s="475"/>
    </row>
    <row r="456" spans="2:21" ht="44.4" customHeight="1" x14ac:dyDescent="0.25">
      <c r="B456" s="375"/>
      <c r="C456" s="351" t="s">
        <v>64</v>
      </c>
      <c r="D456" s="367"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6" s="368"/>
      <c r="F456" s="363"/>
      <c r="G456" s="113"/>
      <c r="H456" s="21">
        <v>10</v>
      </c>
      <c r="I456" s="379"/>
      <c r="J456" s="340"/>
      <c r="K456" s="341"/>
      <c r="L456" s="341"/>
      <c r="M456" s="341"/>
      <c r="N456" s="342"/>
      <c r="P456" s="18">
        <f t="shared" si="10"/>
        <v>0</v>
      </c>
      <c r="Q456" s="338"/>
      <c r="R456" s="344"/>
      <c r="S456" s="474"/>
      <c r="T456" s="344"/>
      <c r="U456" s="475"/>
    </row>
    <row r="457" spans="2:21" ht="39.6" x14ac:dyDescent="0.25">
      <c r="B457" s="375"/>
      <c r="C457" s="351"/>
      <c r="D457" s="71" t="s">
        <v>66</v>
      </c>
      <c r="E457" s="134" t="str">
        <f>HLOOKUP(Deckblatt!$C$12,Language!$C$1:$D$730,550,FALSE)</f>
        <v xml:space="preserve">Information
</v>
      </c>
      <c r="F457" s="363"/>
      <c r="G457" s="69"/>
      <c r="H457" s="18">
        <v>2</v>
      </c>
      <c r="I457" s="379"/>
      <c r="J457" s="340"/>
      <c r="K457" s="341"/>
      <c r="L457" s="341"/>
      <c r="M457" s="341"/>
      <c r="N457" s="342"/>
      <c r="P457" s="18">
        <f t="shared" si="10"/>
        <v>0</v>
      </c>
      <c r="Q457" s="338"/>
      <c r="R457" s="344"/>
      <c r="S457" s="474"/>
      <c r="T457" s="344"/>
      <c r="U457" s="475"/>
    </row>
    <row r="458" spans="2:21" ht="39.6" x14ac:dyDescent="0.25">
      <c r="B458" s="375"/>
      <c r="C458" s="351"/>
      <c r="D458" s="71" t="s">
        <v>188</v>
      </c>
      <c r="E458" s="134" t="str">
        <f>HLOOKUP(Deckblatt!$C$12,Language!$C$1:$D$730,551,FALSE)</f>
        <v xml:space="preserve">Konsultative Nutzerbeteiligung
</v>
      </c>
      <c r="F458" s="363"/>
      <c r="G458" s="69"/>
      <c r="H458" s="18">
        <v>5</v>
      </c>
      <c r="I458" s="379"/>
      <c r="J458" s="340"/>
      <c r="K458" s="341"/>
      <c r="L458" s="341"/>
      <c r="M458" s="341"/>
      <c r="N458" s="342"/>
      <c r="P458" s="18">
        <f t="shared" si="10"/>
        <v>0</v>
      </c>
      <c r="Q458" s="338"/>
      <c r="R458" s="344"/>
      <c r="S458" s="474"/>
      <c r="T458" s="344"/>
      <c r="U458" s="475"/>
    </row>
    <row r="459" spans="2:21" ht="26.4" x14ac:dyDescent="0.25">
      <c r="B459" s="375"/>
      <c r="C459" s="351"/>
      <c r="D459" s="71" t="s">
        <v>150</v>
      </c>
      <c r="E459" s="134" t="str">
        <f>HLOOKUP(Deckblatt!$C$12,Language!$C$1:$D$730,552,FALSE)</f>
        <v xml:space="preserve">Mitbestimmung
</v>
      </c>
      <c r="F459" s="363"/>
      <c r="G459" s="69"/>
      <c r="H459" s="18">
        <v>7</v>
      </c>
      <c r="I459" s="379"/>
      <c r="J459" s="340"/>
      <c r="K459" s="341"/>
      <c r="L459" s="341"/>
      <c r="M459" s="341"/>
      <c r="N459" s="342"/>
      <c r="P459" s="18">
        <f t="shared" si="10"/>
        <v>0</v>
      </c>
      <c r="Q459" s="338"/>
      <c r="R459" s="344"/>
      <c r="S459" s="474"/>
      <c r="T459" s="344"/>
      <c r="U459" s="475"/>
    </row>
    <row r="460" spans="2:21" ht="26.4" x14ac:dyDescent="0.25">
      <c r="B460" s="375"/>
      <c r="C460" s="351"/>
      <c r="D460" s="71" t="s">
        <v>377</v>
      </c>
      <c r="E460" s="134" t="str">
        <f>HLOOKUP(Deckblatt!$C$12,Language!$C$1:$D$730,553,FALSE)</f>
        <v xml:space="preserve">Konzeptuelle Integration
</v>
      </c>
      <c r="F460" s="363"/>
      <c r="G460" s="69"/>
      <c r="H460" s="18">
        <v>10</v>
      </c>
      <c r="I460" s="379"/>
      <c r="J460" s="340"/>
      <c r="K460" s="341"/>
      <c r="L460" s="341"/>
      <c r="M460" s="341"/>
      <c r="N460" s="342"/>
      <c r="P460" s="18">
        <f t="shared" si="10"/>
        <v>0</v>
      </c>
      <c r="Q460" s="338"/>
      <c r="R460" s="344"/>
      <c r="S460" s="474"/>
      <c r="T460" s="344"/>
      <c r="U460" s="475"/>
    </row>
    <row r="461" spans="2:21" ht="32.4" customHeight="1" x14ac:dyDescent="0.25">
      <c r="B461" s="375"/>
      <c r="C461" s="351" t="s">
        <v>67</v>
      </c>
      <c r="D461" s="367"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1" s="368"/>
      <c r="F461" s="363"/>
      <c r="G461" s="113"/>
      <c r="H461" s="21">
        <v>10</v>
      </c>
      <c r="I461" s="379"/>
      <c r="J461" s="340"/>
      <c r="K461" s="341"/>
      <c r="L461" s="341"/>
      <c r="M461" s="341"/>
      <c r="N461" s="342"/>
      <c r="P461" s="18">
        <f t="shared" si="10"/>
        <v>0</v>
      </c>
      <c r="Q461" s="338"/>
      <c r="R461" s="344"/>
      <c r="S461" s="474"/>
      <c r="T461" s="344"/>
      <c r="U461" s="475"/>
    </row>
    <row r="462" spans="2:21" ht="26.4" x14ac:dyDescent="0.25">
      <c r="B462" s="375"/>
      <c r="C462" s="351"/>
      <c r="D462" s="71" t="s">
        <v>69</v>
      </c>
      <c r="E462" s="134" t="str">
        <f>HLOOKUP(Deckblatt!$C$12,Language!$C$1:$D$730,555,FALSE)</f>
        <v xml:space="preserve">Information
</v>
      </c>
      <c r="F462" s="363"/>
      <c r="G462" s="69"/>
      <c r="H462" s="18">
        <v>2</v>
      </c>
      <c r="I462" s="379"/>
      <c r="J462" s="340"/>
      <c r="K462" s="341"/>
      <c r="L462" s="341"/>
      <c r="M462" s="341"/>
      <c r="N462" s="342"/>
      <c r="P462" s="18">
        <f t="shared" si="10"/>
        <v>0</v>
      </c>
      <c r="Q462" s="338"/>
      <c r="R462" s="344"/>
      <c r="S462" s="474"/>
      <c r="T462" s="344"/>
      <c r="U462" s="475"/>
    </row>
    <row r="463" spans="2:21" ht="26.4" x14ac:dyDescent="0.25">
      <c r="B463" s="375"/>
      <c r="C463" s="351"/>
      <c r="D463" s="71" t="s">
        <v>78</v>
      </c>
      <c r="E463" s="134" t="str">
        <f>HLOOKUP(Deckblatt!$C$12,Language!$C$1:$D$730,560,FALSE)</f>
        <v xml:space="preserve">Konsultative Nutzerbeteiligung
</v>
      </c>
      <c r="F463" s="363"/>
      <c r="G463" s="69"/>
      <c r="H463" s="18">
        <v>5</v>
      </c>
      <c r="I463" s="379"/>
      <c r="J463" s="340"/>
      <c r="K463" s="341"/>
      <c r="L463" s="341"/>
      <c r="M463" s="341"/>
      <c r="N463" s="342"/>
      <c r="P463" s="18">
        <f t="shared" si="10"/>
        <v>0</v>
      </c>
      <c r="Q463" s="338"/>
      <c r="R463" s="344"/>
      <c r="S463" s="474"/>
      <c r="T463" s="344"/>
      <c r="U463" s="475"/>
    </row>
    <row r="464" spans="2:21" ht="26.4" x14ac:dyDescent="0.25">
      <c r="B464" s="375"/>
      <c r="C464" s="351"/>
      <c r="D464" s="71" t="s">
        <v>214</v>
      </c>
      <c r="E464" s="134" t="str">
        <f>HLOOKUP(Deckblatt!$C$12,Language!$C$1:$D$730,561,FALSE)</f>
        <v xml:space="preserve">Mitbestimmung
</v>
      </c>
      <c r="F464" s="363"/>
      <c r="G464" s="69"/>
      <c r="H464" s="18">
        <v>7</v>
      </c>
      <c r="I464" s="379"/>
      <c r="J464" s="340"/>
      <c r="K464" s="341"/>
      <c r="L464" s="341"/>
      <c r="M464" s="341"/>
      <c r="N464" s="342"/>
      <c r="P464" s="18">
        <f t="shared" si="10"/>
        <v>0</v>
      </c>
      <c r="Q464" s="338"/>
      <c r="R464" s="344"/>
      <c r="S464" s="474"/>
      <c r="T464" s="344"/>
      <c r="U464" s="475"/>
    </row>
    <row r="465" spans="2:21" ht="26.4" x14ac:dyDescent="0.25">
      <c r="B465" s="375"/>
      <c r="C465" s="351"/>
      <c r="D465" s="71" t="s">
        <v>215</v>
      </c>
      <c r="E465" s="134" t="str">
        <f>HLOOKUP(Deckblatt!$C$12,Language!$C$1:$D$730,562,FALSE)</f>
        <v xml:space="preserve">Konzeptuelle Integration
</v>
      </c>
      <c r="F465" s="363"/>
      <c r="G465" s="69"/>
      <c r="H465" s="18">
        <v>10</v>
      </c>
      <c r="I465" s="379"/>
      <c r="J465" s="340"/>
      <c r="K465" s="341"/>
      <c r="L465" s="341"/>
      <c r="M465" s="341"/>
      <c r="N465" s="342"/>
      <c r="P465" s="18">
        <f t="shared" si="10"/>
        <v>0</v>
      </c>
      <c r="Q465" s="338"/>
      <c r="R465" s="344"/>
      <c r="S465" s="474"/>
      <c r="T465" s="344"/>
      <c r="U465" s="475"/>
    </row>
    <row r="466" spans="2:21" ht="13.2" customHeight="1" x14ac:dyDescent="0.25">
      <c r="B466" s="375"/>
      <c r="C466" s="351" t="s">
        <v>154</v>
      </c>
      <c r="D466" s="352" t="str">
        <f>HLOOKUP(Deckblatt!$C$12,Language!$C$1:$D$730,563,FALSE)</f>
        <v>Auswirkung partizipativer Prozesse auf Gesamtkonzept</v>
      </c>
      <c r="E466" s="353"/>
      <c r="F466" s="363"/>
      <c r="G466" s="113"/>
      <c r="H466" s="21">
        <v>30</v>
      </c>
      <c r="I466" s="379"/>
      <c r="J466" s="340"/>
      <c r="K466" s="341"/>
      <c r="L466" s="341"/>
      <c r="M466" s="341"/>
      <c r="N466" s="342"/>
      <c r="P466" s="18">
        <f t="shared" si="10"/>
        <v>0</v>
      </c>
      <c r="Q466" s="338"/>
      <c r="R466" s="344"/>
      <c r="S466" s="474"/>
      <c r="T466" s="344"/>
      <c r="U466" s="475"/>
    </row>
    <row r="467" spans="2:21" ht="39.6" x14ac:dyDescent="0.25">
      <c r="B467" s="375"/>
      <c r="C467" s="351"/>
      <c r="D467" s="71" t="s">
        <v>156</v>
      </c>
      <c r="E467" s="134" t="str">
        <f>HLOOKUP(Deckblatt!$C$12,Language!$C$1:$D$730,564,FALSE)</f>
        <v xml:space="preserve">Rahmenplanung und städtebauliche Konzeption
</v>
      </c>
      <c r="F467" s="363"/>
      <c r="G467" s="69"/>
      <c r="H467" s="18">
        <v>16</v>
      </c>
      <c r="I467" s="379"/>
      <c r="J467" s="340"/>
      <c r="K467" s="341"/>
      <c r="L467" s="341"/>
      <c r="M467" s="341"/>
      <c r="N467" s="342"/>
      <c r="P467" s="18">
        <f t="shared" si="10"/>
        <v>0</v>
      </c>
      <c r="Q467" s="338"/>
      <c r="R467" s="344"/>
      <c r="S467" s="474"/>
      <c r="T467" s="344"/>
      <c r="U467" s="475"/>
    </row>
    <row r="468" spans="2:21" ht="26.4" x14ac:dyDescent="0.25">
      <c r="B468" s="375"/>
      <c r="C468" s="351"/>
      <c r="D468" s="71" t="s">
        <v>218</v>
      </c>
      <c r="E468" s="134" t="str">
        <f>HLOOKUP(Deckblatt!$C$12,Language!$C$1:$D$730,565,FALSE)</f>
        <v xml:space="preserve">Planung und Realisierung öffentlicher Räume
</v>
      </c>
      <c r="F468" s="363"/>
      <c r="G468" s="69"/>
      <c r="H468" s="18">
        <v>7</v>
      </c>
      <c r="I468" s="379"/>
      <c r="J468" s="340"/>
      <c r="K468" s="341"/>
      <c r="L468" s="341"/>
      <c r="M468" s="341"/>
      <c r="N468" s="342"/>
      <c r="P468" s="18">
        <f t="shared" si="10"/>
        <v>0</v>
      </c>
      <c r="Q468" s="338"/>
      <c r="R468" s="344"/>
      <c r="S468" s="474"/>
      <c r="T468" s="344"/>
      <c r="U468" s="475"/>
    </row>
    <row r="469" spans="2:21" ht="26.4" x14ac:dyDescent="0.25">
      <c r="B469" s="375"/>
      <c r="C469" s="351"/>
      <c r="D469" s="71" t="s">
        <v>219</v>
      </c>
      <c r="E469" s="134" t="str">
        <f>HLOOKUP(Deckblatt!$C$12,Language!$C$1:$D$730,566,FALSE)</f>
        <v xml:space="preserve">Planung und Realisierung Architektur und Nutzung
</v>
      </c>
      <c r="F469" s="363"/>
      <c r="G469" s="69"/>
      <c r="H469" s="18">
        <v>7</v>
      </c>
      <c r="I469" s="379"/>
      <c r="J469" s="340"/>
      <c r="K469" s="341"/>
      <c r="L469" s="341"/>
      <c r="M469" s="341"/>
      <c r="N469" s="342"/>
      <c r="P469" s="18">
        <f t="shared" si="10"/>
        <v>0</v>
      </c>
      <c r="Q469" s="338"/>
      <c r="R469" s="344"/>
      <c r="S469" s="474"/>
      <c r="T469" s="344"/>
      <c r="U469" s="475"/>
    </row>
    <row r="470" spans="2:21" ht="13.2" customHeight="1" x14ac:dyDescent="0.25">
      <c r="B470" s="375"/>
      <c r="C470" s="351" t="s">
        <v>157</v>
      </c>
      <c r="D470" s="352" t="str">
        <f>HLOOKUP(Deckblatt!$C$12,Language!$C$1:$D$730,566,FALSE)</f>
        <v xml:space="preserve">Planung und Realisierung Architektur und Nutzung
</v>
      </c>
      <c r="E470" s="353"/>
      <c r="F470" s="363"/>
      <c r="G470" s="113"/>
      <c r="H470" s="21">
        <v>30</v>
      </c>
      <c r="I470" s="379"/>
      <c r="J470" s="340"/>
      <c r="K470" s="341"/>
      <c r="L470" s="341"/>
      <c r="M470" s="341"/>
      <c r="N470" s="342"/>
      <c r="P470" s="18">
        <f t="shared" si="10"/>
        <v>0</v>
      </c>
      <c r="Q470" s="338"/>
      <c r="R470" s="344"/>
      <c r="S470" s="474"/>
      <c r="T470" s="344"/>
      <c r="U470" s="475"/>
    </row>
    <row r="471" spans="2:21" ht="118.8" x14ac:dyDescent="0.25">
      <c r="B471" s="375"/>
      <c r="C471" s="351"/>
      <c r="D471" s="71" t="s">
        <v>159</v>
      </c>
      <c r="E471"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1" s="363"/>
      <c r="G471" s="69"/>
      <c r="H471" s="18">
        <v>30</v>
      </c>
      <c r="I471" s="379"/>
      <c r="J471" s="340"/>
      <c r="K471" s="341"/>
      <c r="L471" s="341"/>
      <c r="M471" s="341"/>
      <c r="N471" s="342"/>
      <c r="P471" s="18">
        <f t="shared" si="10"/>
        <v>0</v>
      </c>
      <c r="Q471" s="339"/>
      <c r="R471" s="365"/>
      <c r="S471" s="474"/>
      <c r="T471" s="344"/>
      <c r="U471" s="475"/>
    </row>
    <row r="472" spans="2:21" x14ac:dyDescent="0.25">
      <c r="B472" s="55" t="s">
        <v>497</v>
      </c>
      <c r="C472" s="354" t="str">
        <f>HLOOKUP(Deckblatt!$C$12,Language!$C$1:$D$730,569,FALSE)</f>
        <v>Projektmanagement</v>
      </c>
      <c r="D472" s="354"/>
      <c r="E472" s="355"/>
      <c r="F472" s="66">
        <f>Q472</f>
        <v>0</v>
      </c>
      <c r="G472" s="364"/>
      <c r="H472" s="21">
        <v>100</v>
      </c>
      <c r="I472" s="176">
        <v>2</v>
      </c>
      <c r="J472" s="340"/>
      <c r="K472" s="341"/>
      <c r="L472" s="341"/>
      <c r="M472" s="341"/>
      <c r="N472" s="342"/>
      <c r="P472" s="18">
        <f t="shared" si="10"/>
        <v>0</v>
      </c>
      <c r="Q472" s="337">
        <f>SUM(P474:P494)</f>
        <v>0</v>
      </c>
      <c r="R472" s="343">
        <f>Q472/100</f>
        <v>0</v>
      </c>
      <c r="S472" s="474"/>
      <c r="T472" s="344"/>
      <c r="U472" s="475"/>
    </row>
    <row r="473" spans="2:21" ht="13.2" customHeight="1" x14ac:dyDescent="0.25">
      <c r="B473" s="375"/>
      <c r="C473" s="351" t="s">
        <v>54</v>
      </c>
      <c r="D473" s="352" t="str">
        <f>HLOOKUP(Deckblatt!$C$12,Language!$C$1:$D$730,570,FALSE)</f>
        <v>Projektsteuerung</v>
      </c>
      <c r="E473" s="353"/>
      <c r="F473" s="363"/>
      <c r="G473" s="364"/>
      <c r="H473" s="21">
        <v>15</v>
      </c>
      <c r="I473" s="379"/>
      <c r="J473" s="340"/>
      <c r="K473" s="341"/>
      <c r="L473" s="341"/>
      <c r="M473" s="341"/>
      <c r="N473" s="342"/>
      <c r="P473" s="18">
        <f t="shared" si="10"/>
        <v>0</v>
      </c>
      <c r="Q473" s="338"/>
      <c r="R473" s="344"/>
      <c r="S473" s="474"/>
      <c r="T473" s="344"/>
      <c r="U473" s="475"/>
    </row>
    <row r="474" spans="2:21" ht="26.4" x14ac:dyDescent="0.25">
      <c r="B474" s="375"/>
      <c r="C474" s="351"/>
      <c r="D474" s="160" t="s">
        <v>58</v>
      </c>
      <c r="E474" s="134" t="str">
        <f>HLOOKUP(Deckblatt!$C$12,Language!$C$1:$D$730,571,FALSE)</f>
        <v xml:space="preserve">Durchführung einer Projektsteuerung
</v>
      </c>
      <c r="F474" s="363"/>
      <c r="G474" s="69"/>
      <c r="H474" s="18">
        <v>15</v>
      </c>
      <c r="I474" s="379"/>
      <c r="J474" s="340"/>
      <c r="K474" s="341"/>
      <c r="L474" s="341"/>
      <c r="M474" s="341"/>
      <c r="N474" s="342"/>
      <c r="P474" s="18">
        <f t="shared" si="10"/>
        <v>0</v>
      </c>
      <c r="Q474" s="338"/>
      <c r="R474" s="344"/>
      <c r="S474" s="474"/>
      <c r="T474" s="344"/>
      <c r="U474" s="475"/>
    </row>
    <row r="475" spans="2:21" ht="13.2" customHeight="1" x14ac:dyDescent="0.25">
      <c r="B475" s="375"/>
      <c r="C475" s="359" t="s">
        <v>61</v>
      </c>
      <c r="D475" s="352" t="str">
        <f>HLOOKUP(Deckblatt!$C$12,Language!$C$1:$D$730,572,FALSE)</f>
        <v>Risikomanagement</v>
      </c>
      <c r="E475" s="353"/>
      <c r="F475" s="363"/>
      <c r="G475" s="356"/>
      <c r="H475" s="21">
        <v>25</v>
      </c>
      <c r="I475" s="379"/>
      <c r="J475" s="340"/>
      <c r="K475" s="341"/>
      <c r="L475" s="341"/>
      <c r="M475" s="341"/>
      <c r="N475" s="342"/>
      <c r="P475" s="18">
        <f t="shared" si="10"/>
        <v>0</v>
      </c>
      <c r="Q475" s="338"/>
      <c r="R475" s="344"/>
      <c r="S475" s="474"/>
      <c r="T475" s="344"/>
      <c r="U475" s="475"/>
    </row>
    <row r="476" spans="2:21" x14ac:dyDescent="0.25">
      <c r="B476" s="375"/>
      <c r="C476" s="390"/>
      <c r="D476" s="502" t="s">
        <v>63</v>
      </c>
      <c r="E476" s="134" t="str">
        <f>HLOOKUP(Deckblatt!$C$12,Language!$C$1:$D$730,573,FALSE)</f>
        <v>Risiko-Controlling</v>
      </c>
      <c r="F476" s="363"/>
      <c r="G476" s="356"/>
      <c r="H476" s="21">
        <v>25</v>
      </c>
      <c r="I476" s="379"/>
      <c r="J476" s="340"/>
      <c r="K476" s="341"/>
      <c r="L476" s="341"/>
      <c r="M476" s="341"/>
      <c r="N476" s="342"/>
      <c r="P476" s="18">
        <f t="shared" si="10"/>
        <v>0</v>
      </c>
      <c r="Q476" s="338"/>
      <c r="R476" s="344"/>
      <c r="S476" s="474"/>
      <c r="T476" s="344"/>
      <c r="U476" s="475"/>
    </row>
    <row r="477" spans="2:21" ht="26.4" x14ac:dyDescent="0.25">
      <c r="B477" s="375"/>
      <c r="C477" s="390"/>
      <c r="D477" s="503"/>
      <c r="E477" s="134" t="str">
        <f>HLOOKUP(Deckblatt!$C$12,Language!$C$1:$D$730,574,FALSE)</f>
        <v xml:space="preserve">Ein vorbeugendes Risikomanagement wurde durchgeführt.
</v>
      </c>
      <c r="F477" s="363"/>
      <c r="G477" s="69"/>
      <c r="H477" s="18">
        <v>10</v>
      </c>
      <c r="I477" s="379"/>
      <c r="J477" s="340"/>
      <c r="K477" s="341"/>
      <c r="L477" s="341"/>
      <c r="M477" s="341"/>
      <c r="N477" s="342"/>
      <c r="P477" s="18">
        <f t="shared" si="10"/>
        <v>0</v>
      </c>
      <c r="Q477" s="338"/>
      <c r="R477" s="344"/>
      <c r="S477" s="474"/>
      <c r="T477" s="344"/>
      <c r="U477" s="475"/>
    </row>
    <row r="478" spans="2:21" ht="39.6" x14ac:dyDescent="0.25">
      <c r="B478" s="375"/>
      <c r="C478" s="390"/>
      <c r="D478" s="503"/>
      <c r="E478" s="134" t="str">
        <f>HLOOKUP(Deckblatt!$C$12,Language!$C$1:$D$730,575,FALSE)</f>
        <v xml:space="preserve">Die Risikoidentifizierung wurde mithilfe von Stakeholder- und/oder Projektbeteiligtenworkshops durchgeführt.
</v>
      </c>
      <c r="F478" s="363"/>
      <c r="G478" s="69"/>
      <c r="H478" s="18">
        <v>5</v>
      </c>
      <c r="I478" s="379"/>
      <c r="J478" s="340"/>
      <c r="K478" s="341"/>
      <c r="L478" s="341"/>
      <c r="M478" s="341"/>
      <c r="N478" s="342"/>
      <c r="P478" s="18">
        <f t="shared" si="10"/>
        <v>0</v>
      </c>
      <c r="Q478" s="338"/>
      <c r="R478" s="344"/>
      <c r="S478" s="474"/>
      <c r="T478" s="344"/>
      <c r="U478" s="475"/>
    </row>
    <row r="479" spans="2:21" ht="26.4" x14ac:dyDescent="0.25">
      <c r="B479" s="375"/>
      <c r="C479" s="360"/>
      <c r="D479" s="504"/>
      <c r="E479" s="134" t="str">
        <f>HLOOKUP(Deckblatt!$C$12,Language!$C$1:$D$730,576,FALSE)</f>
        <v>Zusätzlich wurde projektbegleitend ein regelmäßiges Risiko-Controlling
durchgeführt.</v>
      </c>
      <c r="F479" s="363"/>
      <c r="G479" s="69"/>
      <c r="H479" s="18">
        <v>10</v>
      </c>
      <c r="I479" s="379"/>
      <c r="J479" s="340"/>
      <c r="K479" s="341"/>
      <c r="L479" s="341"/>
      <c r="M479" s="341"/>
      <c r="N479" s="342"/>
      <c r="P479" s="18">
        <f t="shared" si="10"/>
        <v>0</v>
      </c>
      <c r="Q479" s="338"/>
      <c r="R479" s="344"/>
      <c r="S479" s="474"/>
      <c r="T479" s="344"/>
      <c r="U479" s="475"/>
    </row>
    <row r="480" spans="2:21" ht="13.2" customHeight="1" x14ac:dyDescent="0.25">
      <c r="B480" s="375"/>
      <c r="C480" s="351" t="s">
        <v>64</v>
      </c>
      <c r="D480" s="352" t="str">
        <f>HLOOKUP(Deckblatt!$C$12,Language!$C$1:$D$730,577,FALSE)</f>
        <v>Qualitätssicherheit</v>
      </c>
      <c r="E480" s="353"/>
      <c r="F480" s="363"/>
      <c r="G480" s="356"/>
      <c r="H480" s="21">
        <v>25</v>
      </c>
      <c r="I480" s="379"/>
      <c r="J480" s="340"/>
      <c r="K480" s="341"/>
      <c r="L480" s="341"/>
      <c r="M480" s="341"/>
      <c r="N480" s="342"/>
      <c r="P480" s="18">
        <f t="shared" si="10"/>
        <v>0</v>
      </c>
      <c r="Q480" s="338"/>
      <c r="R480" s="344"/>
      <c r="S480" s="474"/>
      <c r="T480" s="344"/>
      <c r="U480" s="475"/>
    </row>
    <row r="481" spans="2:21" x14ac:dyDescent="0.25">
      <c r="B481" s="375"/>
      <c r="C481" s="351"/>
      <c r="D481" s="376" t="s">
        <v>66</v>
      </c>
      <c r="E481" s="134" t="str">
        <f>HLOOKUP(Deckblatt!$C$12,Language!$C$1:$D$730,578,FALSE)</f>
        <v>Projektziele, Dokumentation, Durchführung Qualitätsüberprüfung</v>
      </c>
      <c r="F481" s="363"/>
      <c r="G481" s="356"/>
      <c r="H481" s="21">
        <v>25</v>
      </c>
      <c r="I481" s="379"/>
      <c r="J481" s="340"/>
      <c r="K481" s="341"/>
      <c r="L481" s="341"/>
      <c r="M481" s="341"/>
      <c r="N481" s="342"/>
      <c r="P481" s="18">
        <f t="shared" si="10"/>
        <v>0</v>
      </c>
      <c r="Q481" s="338"/>
      <c r="R481" s="344"/>
      <c r="S481" s="474"/>
      <c r="T481" s="344"/>
      <c r="U481" s="475"/>
    </row>
    <row r="482" spans="2:21" ht="52.8" x14ac:dyDescent="0.25">
      <c r="B482" s="375"/>
      <c r="C482" s="351"/>
      <c r="D482" s="376"/>
      <c r="E482" s="134" t="str">
        <f>HLOOKUP(Deckblatt!$C$12,Language!$C$1:$D$730,579,FALSE)</f>
        <v xml:space="preserve">Definition konkreter ökologischer, ökonomischer und soziokultureller Projektziele (inkl. Gestaltung) vor Beginn der Vergabe von Bauleistungen
</v>
      </c>
      <c r="F482" s="363"/>
      <c r="G482" s="69"/>
      <c r="H482" s="18">
        <v>5</v>
      </c>
      <c r="I482" s="379"/>
      <c r="J482" s="340"/>
      <c r="K482" s="341"/>
      <c r="L482" s="341"/>
      <c r="M482" s="341"/>
      <c r="N482" s="342"/>
      <c r="P482" s="18">
        <f t="shared" si="10"/>
        <v>0</v>
      </c>
      <c r="Q482" s="338"/>
      <c r="R482" s="344"/>
      <c r="S482" s="474"/>
      <c r="T482" s="344"/>
      <c r="U482" s="475"/>
    </row>
    <row r="483" spans="2:21" ht="52.8" x14ac:dyDescent="0.25">
      <c r="B483" s="375"/>
      <c r="C483" s="351"/>
      <c r="D483" s="376"/>
      <c r="E483" s="134" t="str">
        <f>HLOOKUP(Deckblatt!$C$12,Language!$C$1:$D$730,580,FALSE)</f>
        <v xml:space="preserve">Dokumentation der vertraglichen Vereinbarung (verbindlich) der konkreten ökologischen, ökonomischen und soziokulturellen Projektzielen (Gestaltungshandbuch, Verträge, Qualitätsstandards)
</v>
      </c>
      <c r="F483" s="363"/>
      <c r="G483" s="69"/>
      <c r="H483" s="18">
        <v>5</v>
      </c>
      <c r="I483" s="379"/>
      <c r="J483" s="340"/>
      <c r="K483" s="341"/>
      <c r="L483" s="341"/>
      <c r="M483" s="341"/>
      <c r="N483" s="342"/>
      <c r="P483" s="18">
        <f t="shared" si="10"/>
        <v>0</v>
      </c>
      <c r="Q483" s="338"/>
      <c r="R483" s="344"/>
      <c r="S483" s="474"/>
      <c r="T483" s="344"/>
      <c r="U483" s="475"/>
    </row>
    <row r="484" spans="2:21" ht="39.6" x14ac:dyDescent="0.25">
      <c r="B484" s="375"/>
      <c r="C484" s="351"/>
      <c r="D484" s="376"/>
      <c r="E484" s="134" t="str">
        <f>HLOOKUP(Deckblatt!$C$12,Language!$C$1:$D$730,581,FALSE)</f>
        <v xml:space="preserve">Die Projektziele werden allen Planungsbeteiligten (inkl. Auftragnehmer) klar kommuniziert und bei Änderungen aktualisiert.
</v>
      </c>
      <c r="F484" s="363"/>
      <c r="G484" s="69"/>
      <c r="H484" s="18">
        <v>5</v>
      </c>
      <c r="I484" s="379"/>
      <c r="J484" s="340"/>
      <c r="K484" s="341"/>
      <c r="L484" s="341"/>
      <c r="M484" s="341"/>
      <c r="N484" s="342"/>
      <c r="P484" s="18">
        <f t="shared" si="10"/>
        <v>0</v>
      </c>
      <c r="Q484" s="338"/>
      <c r="R484" s="344"/>
      <c r="S484" s="474"/>
      <c r="T484" s="344"/>
      <c r="U484" s="475"/>
    </row>
    <row r="485" spans="2:21" ht="39.6" x14ac:dyDescent="0.25">
      <c r="B485" s="375"/>
      <c r="C485" s="351"/>
      <c r="D485" s="376"/>
      <c r="E485" s="134" t="str">
        <f>HLOOKUP(Deckblatt!$C$12,Language!$C$1:$D$730,582,FALSE)</f>
        <v xml:space="preserve">Es wird eine regelmäßige Qualitätsüberprüfung durchgeführt und dokumentiert.
</v>
      </c>
      <c r="F485" s="363"/>
      <c r="G485" s="69"/>
      <c r="H485" s="18">
        <v>5</v>
      </c>
      <c r="I485" s="379"/>
      <c r="J485" s="340"/>
      <c r="K485" s="341"/>
      <c r="L485" s="341"/>
      <c r="M485" s="341"/>
      <c r="N485" s="342"/>
      <c r="P485" s="18">
        <f t="shared" ref="P485:P539" si="11">IF(G485&gt;H485,H485,G485)</f>
        <v>0</v>
      </c>
      <c r="Q485" s="338"/>
      <c r="R485" s="344"/>
      <c r="S485" s="474"/>
      <c r="T485" s="344"/>
      <c r="U485" s="475"/>
    </row>
    <row r="486" spans="2:21" ht="39.6" x14ac:dyDescent="0.25">
      <c r="B486" s="375"/>
      <c r="C486" s="351"/>
      <c r="D486" s="376"/>
      <c r="E486" s="134" t="str">
        <f>HLOOKUP(Deckblatt!$C$12,Language!$C$1:$D$730,583,FALSE)</f>
        <v xml:space="preserve">Es wird nach Projektabschluss eine Qualitätsüberprüfung durchgeführt, die die Projektziele und das Ergebnis vergleichend betrachtet.
</v>
      </c>
      <c r="F486" s="363"/>
      <c r="G486" s="69"/>
      <c r="H486" s="18">
        <v>5</v>
      </c>
      <c r="I486" s="379"/>
      <c r="J486" s="340"/>
      <c r="K486" s="341"/>
      <c r="L486" s="341"/>
      <c r="M486" s="341"/>
      <c r="N486" s="342"/>
      <c r="P486" s="18">
        <f t="shared" si="11"/>
        <v>0</v>
      </c>
      <c r="Q486" s="338"/>
      <c r="R486" s="344"/>
      <c r="S486" s="474"/>
      <c r="T486" s="344"/>
      <c r="U486" s="475"/>
    </row>
    <row r="487" spans="2:21" ht="13.2" customHeight="1" x14ac:dyDescent="0.25">
      <c r="B487" s="375"/>
      <c r="C487" s="351" t="s">
        <v>67</v>
      </c>
      <c r="D487" s="352" t="str">
        <f>HLOOKUP(Deckblatt!$C$12,Language!$C$1:$D$730,584,FALSE)</f>
        <v>Terminplanung</v>
      </c>
      <c r="E487" s="353"/>
      <c r="F487" s="363"/>
      <c r="G487" s="113"/>
      <c r="H487" s="21">
        <v>10</v>
      </c>
      <c r="I487" s="379"/>
      <c r="J487" s="340"/>
      <c r="K487" s="341"/>
      <c r="L487" s="341"/>
      <c r="M487" s="341"/>
      <c r="N487" s="342"/>
      <c r="P487" s="18">
        <f t="shared" si="11"/>
        <v>0</v>
      </c>
      <c r="Q487" s="338"/>
      <c r="R487" s="344"/>
      <c r="S487" s="474"/>
      <c r="T487" s="344"/>
      <c r="U487" s="475"/>
    </row>
    <row r="488" spans="2:21" ht="26.4" x14ac:dyDescent="0.25">
      <c r="B488" s="375"/>
      <c r="C488" s="351"/>
      <c r="D488" s="160" t="s">
        <v>69</v>
      </c>
      <c r="E488" s="134" t="str">
        <f>HLOOKUP(Deckblatt!$C$12,Language!$C$1:$D$730,585,FALSE)</f>
        <v xml:space="preserve">Rahmenterminplan
</v>
      </c>
      <c r="F488" s="363"/>
      <c r="G488" s="69"/>
      <c r="H488" s="18">
        <v>10</v>
      </c>
      <c r="I488" s="379"/>
      <c r="J488" s="340"/>
      <c r="K488" s="341"/>
      <c r="L488" s="341"/>
      <c r="M488" s="341"/>
      <c r="N488" s="342"/>
      <c r="P488" s="18">
        <f t="shared" si="11"/>
        <v>0</v>
      </c>
      <c r="Q488" s="338"/>
      <c r="R488" s="344"/>
      <c r="S488" s="474"/>
      <c r="T488" s="344"/>
      <c r="U488" s="475"/>
    </row>
    <row r="489" spans="2:21" ht="13.2" customHeight="1" x14ac:dyDescent="0.25">
      <c r="B489" s="375"/>
      <c r="C489" s="351" t="s">
        <v>154</v>
      </c>
      <c r="D489" s="352" t="str">
        <f>HLOOKUP(Deckblatt!$C$12,Language!$C$1:$D$730,586,FALSE)</f>
        <v>Kostenkontrolle</v>
      </c>
      <c r="E489" s="353"/>
      <c r="F489" s="363"/>
      <c r="G489" s="356"/>
      <c r="H489" s="21">
        <v>25</v>
      </c>
      <c r="I489" s="379"/>
      <c r="J489" s="340"/>
      <c r="K489" s="341"/>
      <c r="L489" s="341"/>
      <c r="M489" s="341"/>
      <c r="N489" s="342"/>
      <c r="P489" s="18">
        <f t="shared" si="11"/>
        <v>0</v>
      </c>
      <c r="Q489" s="338"/>
      <c r="R489" s="344"/>
      <c r="S489" s="474"/>
      <c r="T489" s="344"/>
      <c r="U489" s="475"/>
    </row>
    <row r="490" spans="2:21" x14ac:dyDescent="0.25">
      <c r="B490" s="375"/>
      <c r="C490" s="351"/>
      <c r="D490" s="376" t="s">
        <v>156</v>
      </c>
      <c r="E490" s="134" t="str">
        <f>HLOOKUP(Deckblatt!$C$12,Language!$C$1:$D$730,587,FALSE)</f>
        <v>Wirtschaftlichkeitsberechnung, Beratung und Optimierung</v>
      </c>
      <c r="F490" s="363"/>
      <c r="G490" s="356"/>
      <c r="H490" s="21">
        <v>25</v>
      </c>
      <c r="I490" s="379"/>
      <c r="J490" s="340"/>
      <c r="K490" s="341"/>
      <c r="L490" s="341"/>
      <c r="M490" s="341"/>
      <c r="N490" s="342"/>
      <c r="P490" s="18">
        <f t="shared" si="11"/>
        <v>0</v>
      </c>
      <c r="Q490" s="338"/>
      <c r="R490" s="344"/>
      <c r="S490" s="474"/>
      <c r="T490" s="344"/>
      <c r="U490" s="475"/>
    </row>
    <row r="491" spans="2:21" ht="52.8" x14ac:dyDescent="0.25">
      <c r="B491" s="375"/>
      <c r="C491" s="351"/>
      <c r="D491" s="376"/>
      <c r="E491" s="134" t="str">
        <f>HLOOKUP(Deckblatt!$C$12,Language!$C$1:$D$730,588,FALSE)</f>
        <v xml:space="preserve">Vorhandensein einer Kosten- und Einnahmenbetrachtung als statische Projektentwicklerkalkulation, ständige Überprüfung des aufgestellten Kostenrahmens
</v>
      </c>
      <c r="F491" s="363"/>
      <c r="G491" s="69"/>
      <c r="H491" s="18">
        <v>7</v>
      </c>
      <c r="I491" s="379"/>
      <c r="J491" s="340"/>
      <c r="K491" s="341"/>
      <c r="L491" s="341"/>
      <c r="M491" s="341"/>
      <c r="N491" s="342"/>
      <c r="P491" s="18">
        <f t="shared" si="11"/>
        <v>0</v>
      </c>
      <c r="Q491" s="338"/>
      <c r="R491" s="344"/>
      <c r="S491" s="474"/>
      <c r="T491" s="344"/>
      <c r="U491" s="475"/>
    </row>
    <row r="492" spans="2:21" ht="76.2" customHeight="1" x14ac:dyDescent="0.25">
      <c r="B492" s="375"/>
      <c r="C492" s="351"/>
      <c r="D492" s="376"/>
      <c r="E492"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2" s="363"/>
      <c r="G492" s="69"/>
      <c r="H492" s="18">
        <v>6</v>
      </c>
      <c r="I492" s="379"/>
      <c r="J492" s="340"/>
      <c r="K492" s="341"/>
      <c r="L492" s="341"/>
      <c r="M492" s="341"/>
      <c r="N492" s="342"/>
      <c r="P492" s="18">
        <f t="shared" si="11"/>
        <v>0</v>
      </c>
      <c r="Q492" s="338"/>
      <c r="R492" s="344"/>
      <c r="S492" s="474"/>
      <c r="T492" s="344"/>
      <c r="U492" s="475"/>
    </row>
    <row r="493" spans="2:21" ht="66" x14ac:dyDescent="0.25">
      <c r="B493" s="375"/>
      <c r="C493" s="351"/>
      <c r="D493" s="376"/>
      <c r="E493"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3" s="363"/>
      <c r="G493" s="69"/>
      <c r="H493" s="18">
        <v>6</v>
      </c>
      <c r="I493" s="379"/>
      <c r="J493" s="340"/>
      <c r="K493" s="341"/>
      <c r="L493" s="341"/>
      <c r="M493" s="341"/>
      <c r="N493" s="342"/>
      <c r="P493" s="18">
        <f t="shared" si="11"/>
        <v>0</v>
      </c>
      <c r="Q493" s="338"/>
      <c r="R493" s="344"/>
      <c r="S493" s="474"/>
      <c r="T493" s="344"/>
      <c r="U493" s="475"/>
    </row>
    <row r="494" spans="2:21" ht="26.4" x14ac:dyDescent="0.25">
      <c r="B494" s="375"/>
      <c r="C494" s="351"/>
      <c r="D494" s="376"/>
      <c r="E494" s="134" t="str">
        <f>HLOOKUP(Deckblatt!$C$12,Language!$C$1:$D$730,591,FALSE)</f>
        <v xml:space="preserve">Es wurde eine Folgekostenberatung bzw. -betrachtung durchgeführt.
</v>
      </c>
      <c r="F494" s="363"/>
      <c r="G494" s="69"/>
      <c r="H494" s="18">
        <v>6</v>
      </c>
      <c r="I494" s="379"/>
      <c r="J494" s="340"/>
      <c r="K494" s="341"/>
      <c r="L494" s="341"/>
      <c r="M494" s="341"/>
      <c r="N494" s="342"/>
      <c r="P494" s="18">
        <f t="shared" si="11"/>
        <v>0</v>
      </c>
      <c r="Q494" s="338"/>
      <c r="R494" s="344"/>
      <c r="S494" s="474"/>
      <c r="T494" s="344"/>
      <c r="U494" s="475"/>
    </row>
    <row r="495" spans="2:21" x14ac:dyDescent="0.25">
      <c r="B495" s="55" t="s">
        <v>522</v>
      </c>
      <c r="C495" s="354" t="str">
        <f>HLOOKUP(Deckblatt!$C$12,Language!$C$1:$D$730,592,FALSE)</f>
        <v>Governance</v>
      </c>
      <c r="D495" s="354"/>
      <c r="E495" s="355"/>
      <c r="F495" s="66">
        <f>Q495</f>
        <v>0</v>
      </c>
      <c r="G495" s="67"/>
      <c r="H495" s="21">
        <v>100</v>
      </c>
      <c r="I495" s="176">
        <v>2</v>
      </c>
      <c r="J495" s="340"/>
      <c r="K495" s="341"/>
      <c r="L495" s="341"/>
      <c r="M495" s="341"/>
      <c r="N495" s="342"/>
      <c r="P495" s="18">
        <f t="shared" si="11"/>
        <v>0</v>
      </c>
      <c r="Q495" s="337">
        <f>SUM(P497:P507)</f>
        <v>0</v>
      </c>
      <c r="R495" s="343">
        <f>Q495/100</f>
        <v>0</v>
      </c>
      <c r="S495" s="474"/>
      <c r="T495" s="344"/>
      <c r="U495" s="475"/>
    </row>
    <row r="496" spans="2:21" ht="13.2" customHeight="1" x14ac:dyDescent="0.25">
      <c r="B496" s="375"/>
      <c r="C496" s="351" t="s">
        <v>54</v>
      </c>
      <c r="D496" s="352" t="str">
        <f>HLOOKUP(Deckblatt!$C$12,Language!$C$1:$D$730,593,FALSE)</f>
        <v>Rahmenbedingungen</v>
      </c>
      <c r="E496" s="353"/>
      <c r="F496" s="363"/>
      <c r="G496" s="67"/>
      <c r="H496" s="21">
        <v>45</v>
      </c>
      <c r="I496" s="379"/>
      <c r="J496" s="340"/>
      <c r="K496" s="341"/>
      <c r="L496" s="341"/>
      <c r="M496" s="341"/>
      <c r="N496" s="342"/>
      <c r="P496" s="18">
        <f t="shared" si="11"/>
        <v>0</v>
      </c>
      <c r="Q496" s="338"/>
      <c r="R496" s="344"/>
      <c r="S496" s="474"/>
      <c r="T496" s="344"/>
      <c r="U496" s="475"/>
    </row>
    <row r="497" spans="2:21" ht="21" customHeight="1" x14ac:dyDescent="0.25">
      <c r="B497" s="375"/>
      <c r="C497" s="351"/>
      <c r="D497" s="71" t="s">
        <v>58</v>
      </c>
      <c r="E497" s="229" t="str">
        <f>HLOOKUP(Deckblatt!$C$12,Language!$C$1:$D$730,594,FALSE)</f>
        <v xml:space="preserve">Quartier-bzw. Gebietsmanagement
</v>
      </c>
      <c r="F497" s="363"/>
      <c r="G497" s="69"/>
      <c r="H497" s="18">
        <v>20</v>
      </c>
      <c r="I497" s="379"/>
      <c r="J497" s="340"/>
      <c r="K497" s="341"/>
      <c r="L497" s="341"/>
      <c r="M497" s="341"/>
      <c r="N497" s="342"/>
      <c r="P497" s="18">
        <f t="shared" si="11"/>
        <v>0</v>
      </c>
      <c r="Q497" s="338"/>
      <c r="R497" s="344"/>
      <c r="S497" s="474"/>
      <c r="T497" s="344"/>
      <c r="U497" s="475"/>
    </row>
    <row r="498" spans="2:21" ht="26.4" x14ac:dyDescent="0.25">
      <c r="B498" s="375"/>
      <c r="C498" s="351"/>
      <c r="D498" s="71" t="s">
        <v>181</v>
      </c>
      <c r="E498" s="229" t="str">
        <f>HLOOKUP(Deckblatt!$C$12,Language!$C$1:$D$730,595,FALSE)</f>
        <v xml:space="preserve">Beratung von (zukünftigen) Bewohnern und Nutzern
</v>
      </c>
      <c r="F498" s="363"/>
      <c r="G498" s="69"/>
      <c r="H498" s="18">
        <v>5</v>
      </c>
      <c r="I498" s="379"/>
      <c r="J498" s="340"/>
      <c r="K498" s="341"/>
      <c r="L498" s="341"/>
      <c r="M498" s="341"/>
      <c r="N498" s="342"/>
      <c r="P498" s="18">
        <f t="shared" si="11"/>
        <v>0</v>
      </c>
      <c r="Q498" s="338"/>
      <c r="R498" s="344"/>
      <c r="S498" s="474"/>
      <c r="T498" s="344"/>
      <c r="U498" s="475"/>
    </row>
    <row r="499" spans="2:21" ht="26.4" x14ac:dyDescent="0.25">
      <c r="B499" s="375"/>
      <c r="C499" s="351"/>
      <c r="D499" s="71" t="s">
        <v>246</v>
      </c>
      <c r="E499" s="229" t="str">
        <f>HLOOKUP(Deckblatt!$C$12,Language!$C$1:$D$730,596,FALSE)</f>
        <v xml:space="preserve">Selbstverwaltung
</v>
      </c>
      <c r="F499" s="363"/>
      <c r="G499" s="69"/>
      <c r="H499" s="18">
        <v>5</v>
      </c>
      <c r="I499" s="379"/>
      <c r="J499" s="340"/>
      <c r="K499" s="341"/>
      <c r="L499" s="341"/>
      <c r="M499" s="341"/>
      <c r="N499" s="342"/>
      <c r="P499" s="18">
        <f t="shared" si="11"/>
        <v>0</v>
      </c>
      <c r="Q499" s="338"/>
      <c r="R499" s="344"/>
      <c r="S499" s="474"/>
      <c r="T499" s="344"/>
      <c r="U499" s="475"/>
    </row>
    <row r="500" spans="2:21" ht="26.4" x14ac:dyDescent="0.25">
      <c r="B500" s="375"/>
      <c r="C500" s="351"/>
      <c r="D500" s="71" t="s">
        <v>250</v>
      </c>
      <c r="E500" s="229" t="str">
        <f>HLOOKUP(Deckblatt!$C$12,Language!$C$1:$D$730,597,FALSE)</f>
        <v xml:space="preserve">Stärkung bzw. Aufbau sozialer Initiativen
</v>
      </c>
      <c r="F500" s="363"/>
      <c r="G500" s="69"/>
      <c r="H500" s="18">
        <v>10</v>
      </c>
      <c r="I500" s="379"/>
      <c r="J500" s="340"/>
      <c r="K500" s="341"/>
      <c r="L500" s="341"/>
      <c r="M500" s="341"/>
      <c r="N500" s="342"/>
      <c r="P500" s="18">
        <f t="shared" si="11"/>
        <v>0</v>
      </c>
      <c r="Q500" s="338"/>
      <c r="R500" s="344"/>
      <c r="S500" s="474"/>
      <c r="T500" s="344"/>
      <c r="U500" s="475"/>
    </row>
    <row r="501" spans="2:21" ht="26.4" x14ac:dyDescent="0.25">
      <c r="B501" s="375"/>
      <c r="C501" s="351"/>
      <c r="D501" s="71" t="s">
        <v>121</v>
      </c>
      <c r="E501" s="229" t="str">
        <f>HLOOKUP(Deckblatt!$C$12,Language!$C$1:$D$730,598,FALSE)</f>
        <v xml:space="preserve">Finanzielle Anreizsysteme
</v>
      </c>
      <c r="F501" s="363"/>
      <c r="G501" s="69"/>
      <c r="H501" s="18">
        <v>5</v>
      </c>
      <c r="I501" s="379"/>
      <c r="J501" s="340"/>
      <c r="K501" s="341"/>
      <c r="L501" s="341"/>
      <c r="M501" s="341"/>
      <c r="N501" s="342"/>
      <c r="P501" s="18">
        <f t="shared" si="11"/>
        <v>0</v>
      </c>
      <c r="Q501" s="338"/>
      <c r="R501" s="344"/>
      <c r="S501" s="474"/>
      <c r="T501" s="344"/>
      <c r="U501" s="475"/>
    </row>
    <row r="502" spans="2:21" ht="13.2" customHeight="1" x14ac:dyDescent="0.25">
      <c r="B502" s="375"/>
      <c r="C502" s="351" t="s">
        <v>61</v>
      </c>
      <c r="D502" s="352" t="str">
        <f>HLOOKUP(Deckblatt!$C$12,Language!$C$1:$D$730,599,FALSE)</f>
        <v>Projektbeteiligung der Kommune und Rechenschaftspflicht</v>
      </c>
      <c r="E502" s="353"/>
      <c r="F502" s="363"/>
      <c r="G502" s="113"/>
      <c r="H502" s="21">
        <v>35</v>
      </c>
      <c r="I502" s="379"/>
      <c r="J502" s="340"/>
      <c r="K502" s="341"/>
      <c r="L502" s="341"/>
      <c r="M502" s="341"/>
      <c r="N502" s="342"/>
      <c r="P502" s="18">
        <f t="shared" si="11"/>
        <v>0</v>
      </c>
      <c r="Q502" s="338"/>
      <c r="R502" s="344"/>
      <c r="S502" s="474"/>
      <c r="T502" s="344"/>
      <c r="U502" s="475"/>
    </row>
    <row r="503" spans="2:21" ht="105.6" x14ac:dyDescent="0.25">
      <c r="B503" s="375"/>
      <c r="C503" s="351"/>
      <c r="D503" s="160" t="s">
        <v>63</v>
      </c>
      <c r="E503"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3" s="363"/>
      <c r="G503" s="69"/>
      <c r="H503" s="18">
        <v>20</v>
      </c>
      <c r="I503" s="379"/>
      <c r="J503" s="340"/>
      <c r="K503" s="341"/>
      <c r="L503" s="341"/>
      <c r="M503" s="341"/>
      <c r="N503" s="342"/>
      <c r="P503" s="18">
        <f t="shared" si="11"/>
        <v>0</v>
      </c>
      <c r="Q503" s="338"/>
      <c r="R503" s="344"/>
      <c r="S503" s="474"/>
      <c r="T503" s="344"/>
      <c r="U503" s="475"/>
    </row>
    <row r="504" spans="2:21" ht="66" x14ac:dyDescent="0.25">
      <c r="B504" s="375"/>
      <c r="C504" s="351"/>
      <c r="D504" s="160" t="s">
        <v>186</v>
      </c>
      <c r="E504" s="134" t="str">
        <f>HLOOKUP(Deckblatt!$C$12,Language!$C$1:$D$730,601,FALSE)</f>
        <v xml:space="preserve">Kommunale Projekte / Dienstleistungen
Es gibt seitens der Kommune eine oder mehrere Projekte/Dienstleistungen, die die Entwicklung des Quartiers unterstützen.
</v>
      </c>
      <c r="F504" s="363"/>
      <c r="G504" s="69"/>
      <c r="H504" s="18">
        <v>15</v>
      </c>
      <c r="I504" s="379"/>
      <c r="J504" s="340"/>
      <c r="K504" s="341"/>
      <c r="L504" s="341"/>
      <c r="M504" s="341"/>
      <c r="N504" s="342"/>
      <c r="P504" s="18">
        <f t="shared" si="11"/>
        <v>0</v>
      </c>
      <c r="Q504" s="338"/>
      <c r="R504" s="344"/>
      <c r="S504" s="474"/>
      <c r="T504" s="344"/>
      <c r="U504" s="475"/>
    </row>
    <row r="505" spans="2:21" ht="13.2" customHeight="1" x14ac:dyDescent="0.25">
      <c r="B505" s="375"/>
      <c r="C505" s="351" t="s">
        <v>64</v>
      </c>
      <c r="D505" s="352" t="str">
        <f>HLOOKUP(Deckblatt!$C$12,Language!$C$1:$D$730,602,FALSE)</f>
        <v>Offenheit und Transparenz von Strukturen und Prozessen</v>
      </c>
      <c r="E505" s="353"/>
      <c r="F505" s="363"/>
      <c r="G505" s="113"/>
      <c r="H505" s="21">
        <v>20</v>
      </c>
      <c r="I505" s="379"/>
      <c r="J505" s="340"/>
      <c r="K505" s="341"/>
      <c r="L505" s="341"/>
      <c r="M505" s="341"/>
      <c r="N505" s="342"/>
      <c r="P505" s="18">
        <f t="shared" si="11"/>
        <v>0</v>
      </c>
      <c r="Q505" s="338"/>
      <c r="R505" s="344"/>
      <c r="S505" s="474"/>
      <c r="T505" s="344"/>
      <c r="U505" s="475"/>
    </row>
    <row r="506" spans="2:21" ht="105.6" customHeight="1" x14ac:dyDescent="0.25">
      <c r="B506" s="375"/>
      <c r="C506" s="351"/>
      <c r="D506" s="160" t="s">
        <v>66</v>
      </c>
      <c r="E506"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6" s="363"/>
      <c r="G506" s="69"/>
      <c r="H506" s="18">
        <v>10</v>
      </c>
      <c r="I506" s="379"/>
      <c r="J506" s="340"/>
      <c r="K506" s="341"/>
      <c r="L506" s="341"/>
      <c r="M506" s="341"/>
      <c r="N506" s="342"/>
      <c r="P506" s="18">
        <f t="shared" si="11"/>
        <v>0</v>
      </c>
      <c r="Q506" s="338"/>
      <c r="R506" s="344"/>
      <c r="S506" s="474"/>
      <c r="T506" s="344"/>
      <c r="U506" s="475"/>
    </row>
    <row r="507" spans="2:21" ht="100.2" customHeight="1" x14ac:dyDescent="0.25">
      <c r="B507" s="375"/>
      <c r="C507" s="351"/>
      <c r="D507" s="160" t="s">
        <v>188</v>
      </c>
      <c r="E507"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7" s="363"/>
      <c r="G507" s="69"/>
      <c r="H507" s="18">
        <v>10</v>
      </c>
      <c r="I507" s="379"/>
      <c r="J507" s="340"/>
      <c r="K507" s="341"/>
      <c r="L507" s="341"/>
      <c r="M507" s="341"/>
      <c r="N507" s="342"/>
      <c r="P507" s="18">
        <f t="shared" si="11"/>
        <v>0</v>
      </c>
      <c r="Q507" s="339"/>
      <c r="R507" s="365"/>
      <c r="S507" s="474"/>
      <c r="T507" s="344"/>
      <c r="U507" s="475"/>
    </row>
    <row r="508" spans="2:21" x14ac:dyDescent="0.25">
      <c r="B508" s="55" t="s">
        <v>536</v>
      </c>
      <c r="C508" s="354" t="str">
        <f>HLOOKUP(Deckblatt!$C$12,Language!$C$1:$D$730,627,FALSE)</f>
        <v>Baustelle, Bauprozesse</v>
      </c>
      <c r="D508" s="354"/>
      <c r="E508" s="355"/>
      <c r="F508" s="66">
        <f>Q508</f>
        <v>0</v>
      </c>
      <c r="G508" s="364"/>
      <c r="H508" s="21">
        <v>110</v>
      </c>
      <c r="I508" s="176">
        <v>1</v>
      </c>
      <c r="J508" s="340"/>
      <c r="K508" s="341"/>
      <c r="L508" s="341"/>
      <c r="M508" s="341"/>
      <c r="N508" s="342"/>
      <c r="P508" s="18">
        <f t="shared" si="11"/>
        <v>0</v>
      </c>
      <c r="Q508" s="337">
        <f>SUM(P510:P516,MAX(P518:P519),MAX(P521:P522))</f>
        <v>0</v>
      </c>
      <c r="R508" s="343">
        <f>Q508/100</f>
        <v>0</v>
      </c>
      <c r="S508" s="474"/>
      <c r="T508" s="344"/>
      <c r="U508" s="475"/>
    </row>
    <row r="509" spans="2:21" ht="13.2" customHeight="1" x14ac:dyDescent="0.25">
      <c r="B509" s="345"/>
      <c r="C509" s="359" t="s">
        <v>54</v>
      </c>
      <c r="D509" s="352" t="str">
        <f>HLOOKUP(Deckblatt!$C$12,Language!$C$1:$D$730,628,FALSE)</f>
        <v>Beschilderung und Information</v>
      </c>
      <c r="E509" s="353"/>
      <c r="F509" s="347"/>
      <c r="G509" s="364"/>
      <c r="H509" s="21">
        <v>25</v>
      </c>
      <c r="I509" s="349"/>
      <c r="J509" s="340"/>
      <c r="K509" s="341"/>
      <c r="L509" s="341"/>
      <c r="M509" s="341"/>
      <c r="N509" s="342"/>
      <c r="P509" s="18">
        <f t="shared" si="11"/>
        <v>0</v>
      </c>
      <c r="Q509" s="338"/>
      <c r="R509" s="344"/>
      <c r="S509" s="474"/>
      <c r="T509" s="344"/>
      <c r="U509" s="475"/>
    </row>
    <row r="510" spans="2:21" ht="52.8" x14ac:dyDescent="0.25">
      <c r="B510" s="346"/>
      <c r="C510" s="390"/>
      <c r="D510" s="160" t="s">
        <v>58</v>
      </c>
      <c r="E510" s="134" t="str">
        <f>HLOOKUP(Deckblatt!$C$12,Language!$C$1:$D$730,629,FALSE)</f>
        <v>Konzept und Maßnahmen
Anwohner werden über Beschilderung über das Bauvorhaben und Baustelle informiert. Hierzu zählen Bauinformationen, Wegeführung, ggf. Verantwortliche und Ansprechpartner.</v>
      </c>
      <c r="F510" s="348"/>
      <c r="G510" s="69"/>
      <c r="H510" s="18">
        <v>5</v>
      </c>
      <c r="I510" s="350"/>
      <c r="J510" s="340"/>
      <c r="K510" s="341"/>
      <c r="L510" s="341"/>
      <c r="M510" s="341"/>
      <c r="N510" s="342"/>
      <c r="P510" s="18">
        <f t="shared" si="11"/>
        <v>0</v>
      </c>
      <c r="Q510" s="338"/>
      <c r="R510" s="344"/>
      <c r="S510" s="474"/>
      <c r="T510" s="344"/>
      <c r="U510" s="475"/>
    </row>
    <row r="511" spans="2:21" ht="132" x14ac:dyDescent="0.25">
      <c r="B511" s="346"/>
      <c r="C511" s="360"/>
      <c r="D511" s="160" t="s">
        <v>181</v>
      </c>
      <c r="E511"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11" s="348"/>
      <c r="G511" s="69"/>
      <c r="H511" s="18">
        <v>20</v>
      </c>
      <c r="I511" s="350"/>
      <c r="J511" s="340"/>
      <c r="K511" s="341"/>
      <c r="L511" s="341"/>
      <c r="M511" s="341"/>
      <c r="N511" s="342"/>
      <c r="P511" s="18">
        <f t="shared" si="11"/>
        <v>0</v>
      </c>
      <c r="Q511" s="338"/>
      <c r="R511" s="344"/>
      <c r="S511" s="474"/>
      <c r="T511" s="344"/>
      <c r="U511" s="475"/>
    </row>
    <row r="512" spans="2:21" x14ac:dyDescent="0.25">
      <c r="B512" s="346"/>
      <c r="C512" s="351" t="s">
        <v>61</v>
      </c>
      <c r="D512" s="352" t="str">
        <f>HLOOKUP(Deckblatt!$C$12,Language!$C$1:$D$730,631,FALSE)</f>
        <v>Abfall</v>
      </c>
      <c r="E512" s="353"/>
      <c r="F512" s="348"/>
      <c r="G512" s="113"/>
      <c r="H512" s="21">
        <v>15</v>
      </c>
      <c r="I512" s="350"/>
      <c r="J512" s="340"/>
      <c r="K512" s="341"/>
      <c r="L512" s="341"/>
      <c r="M512" s="341"/>
      <c r="N512" s="342"/>
      <c r="P512" s="18">
        <f t="shared" si="11"/>
        <v>0</v>
      </c>
      <c r="Q512" s="338"/>
      <c r="R512" s="344"/>
      <c r="S512" s="474"/>
      <c r="T512" s="344"/>
      <c r="U512" s="475"/>
    </row>
    <row r="513" spans="2:21" ht="52.8" x14ac:dyDescent="0.25">
      <c r="B513" s="346"/>
      <c r="C513" s="351"/>
      <c r="D513" s="160" t="s">
        <v>63</v>
      </c>
      <c r="E513" s="134" t="str">
        <f>HLOOKUP(Deckblatt!$C$12,Language!$C$1:$D$730,632,FALSE)</f>
        <v xml:space="preserve">Abfall
(Details siehe Kriterium)
</v>
      </c>
      <c r="F513" s="348"/>
      <c r="G513" s="69"/>
      <c r="H513" s="18">
        <v>15</v>
      </c>
      <c r="I513" s="350"/>
      <c r="J513" s="340"/>
      <c r="K513" s="341"/>
      <c r="L513" s="341"/>
      <c r="M513" s="341"/>
      <c r="N513" s="342"/>
      <c r="P513" s="18">
        <f t="shared" si="11"/>
        <v>0</v>
      </c>
      <c r="Q513" s="338"/>
      <c r="R513" s="344"/>
      <c r="S513" s="474"/>
      <c r="T513" s="344"/>
      <c r="U513" s="475"/>
    </row>
    <row r="514" spans="2:21" ht="79.2" x14ac:dyDescent="0.25">
      <c r="B514" s="346"/>
      <c r="C514" s="351"/>
      <c r="D514" s="71" t="s">
        <v>186</v>
      </c>
      <c r="E514" s="239" t="str">
        <f>HLOOKUP(Deckblatt!$C$12,Language!$C$1:$D$730,633,FALSE)</f>
        <v xml:space="preserve">CIRCULAR ECONOMY BONUS – ABFALLVERMEIDUNG AUF DER BAUSTELLE
Auf der Baustelle werden neuartige und in wesentlichem Umfang abfallvermeidende Konzepte, Bauweisen oder Technologien umgesetzt.
</v>
      </c>
      <c r="F514" s="348"/>
      <c r="G514" s="69"/>
      <c r="H514" s="18">
        <v>10</v>
      </c>
      <c r="I514" s="350"/>
      <c r="J514" s="340"/>
      <c r="K514" s="341"/>
      <c r="L514" s="341"/>
      <c r="M514" s="341"/>
      <c r="N514" s="342"/>
      <c r="P514" s="18">
        <f t="shared" si="11"/>
        <v>0</v>
      </c>
      <c r="Q514" s="338"/>
      <c r="R514" s="344"/>
      <c r="S514" s="474"/>
      <c r="T514" s="344"/>
      <c r="U514" s="475"/>
    </row>
    <row r="515" spans="2:21" x14ac:dyDescent="0.25">
      <c r="B515" s="346"/>
      <c r="C515" s="351" t="s">
        <v>64</v>
      </c>
      <c r="D515" s="352" t="str">
        <f>HLOOKUP(Deckblatt!$C$12,Language!$C$1:$D$730,634,FALSE)</f>
        <v>Lärm</v>
      </c>
      <c r="E515" s="353"/>
      <c r="F515" s="348"/>
      <c r="G515" s="113"/>
      <c r="H515" s="21">
        <v>20</v>
      </c>
      <c r="I515" s="350"/>
      <c r="J515" s="340"/>
      <c r="K515" s="341"/>
      <c r="L515" s="341"/>
      <c r="M515" s="341"/>
      <c r="N515" s="342"/>
      <c r="P515" s="18">
        <f t="shared" si="11"/>
        <v>0</v>
      </c>
      <c r="Q515" s="338"/>
      <c r="R515" s="344"/>
      <c r="S515" s="474"/>
      <c r="T515" s="344"/>
      <c r="U515" s="475"/>
    </row>
    <row r="516" spans="2:21" ht="52.8" x14ac:dyDescent="0.25">
      <c r="B516" s="346"/>
      <c r="C516" s="351"/>
      <c r="D516" s="71" t="s">
        <v>66</v>
      </c>
      <c r="E516" s="134" t="str">
        <f>HLOOKUP(Deckblatt!$C$12,Language!$C$1:$D$730,635,FALSE)</f>
        <v xml:space="preserve">Lärm
(Details siehe Kriterium)
</v>
      </c>
      <c r="F516" s="348"/>
      <c r="G516" s="69"/>
      <c r="H516" s="18">
        <v>20</v>
      </c>
      <c r="I516" s="350"/>
      <c r="J516" s="340"/>
      <c r="K516" s="341"/>
      <c r="L516" s="341"/>
      <c r="M516" s="341"/>
      <c r="N516" s="342"/>
      <c r="P516" s="18">
        <f t="shared" si="11"/>
        <v>0</v>
      </c>
      <c r="Q516" s="338"/>
      <c r="R516" s="344"/>
      <c r="S516" s="474"/>
      <c r="T516" s="344"/>
      <c r="U516" s="475"/>
    </row>
    <row r="517" spans="2:21" x14ac:dyDescent="0.25">
      <c r="B517" s="346"/>
      <c r="C517" s="351" t="s">
        <v>67</v>
      </c>
      <c r="D517" s="352" t="str">
        <f>HLOOKUP(Deckblatt!$C$12,Language!$C$1:$D$730,636,FALSE)</f>
        <v>Staub</v>
      </c>
      <c r="E517" s="353"/>
      <c r="F517" s="348"/>
      <c r="G517" s="113"/>
      <c r="H517" s="21">
        <v>20</v>
      </c>
      <c r="I517" s="350"/>
      <c r="J517" s="340"/>
      <c r="K517" s="341"/>
      <c r="L517" s="341"/>
      <c r="M517" s="341"/>
      <c r="N517" s="342"/>
      <c r="P517" s="18">
        <f t="shared" si="11"/>
        <v>0</v>
      </c>
      <c r="Q517" s="338"/>
      <c r="R517" s="344"/>
      <c r="S517" s="474"/>
      <c r="T517" s="344"/>
      <c r="U517" s="475"/>
    </row>
    <row r="518" spans="2:21" ht="52.8" x14ac:dyDescent="0.25">
      <c r="B518" s="346"/>
      <c r="C518" s="351"/>
      <c r="D518" s="71" t="s">
        <v>69</v>
      </c>
      <c r="E518" s="134" t="str">
        <f>HLOOKUP(Deckblatt!$C$12,Language!$C$1:$D$730,637,FALSE)</f>
        <v xml:space="preserve">Staub
(Details siehe Kriterium)
</v>
      </c>
      <c r="F518" s="348"/>
      <c r="G518" s="69"/>
      <c r="H518" s="18">
        <v>20</v>
      </c>
      <c r="I518" s="350"/>
      <c r="J518" s="340"/>
      <c r="K518" s="341"/>
      <c r="L518" s="341"/>
      <c r="M518" s="341"/>
      <c r="N518" s="342"/>
      <c r="P518" s="18">
        <f t="shared" si="11"/>
        <v>0</v>
      </c>
      <c r="Q518" s="338"/>
      <c r="R518" s="344"/>
      <c r="S518" s="474"/>
      <c r="T518" s="344"/>
      <c r="U518" s="475"/>
    </row>
    <row r="519" spans="2:21" ht="79.2" x14ac:dyDescent="0.25">
      <c r="B519" s="346"/>
      <c r="C519" s="351"/>
      <c r="D519" s="57" t="s">
        <v>542</v>
      </c>
      <c r="E519"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19" s="348"/>
      <c r="G519" s="69"/>
      <c r="H519" s="18">
        <v>20</v>
      </c>
      <c r="I519" s="350"/>
      <c r="J519" s="340"/>
      <c r="K519" s="341"/>
      <c r="L519" s="341"/>
      <c r="M519" s="341"/>
      <c r="N519" s="342"/>
      <c r="P519" s="18">
        <f t="shared" si="11"/>
        <v>0</v>
      </c>
      <c r="Q519" s="338"/>
      <c r="R519" s="344"/>
      <c r="S519" s="474"/>
      <c r="T519" s="344"/>
      <c r="U519" s="475"/>
    </row>
    <row r="520" spans="2:21" ht="13.2" customHeight="1" x14ac:dyDescent="0.25">
      <c r="B520" s="346"/>
      <c r="C520" s="359" t="s">
        <v>154</v>
      </c>
      <c r="D520" s="352" t="str">
        <f>HLOOKUP(Deckblatt!$C$12,Language!$C$1:$D$730,639,FALSE)</f>
        <v>Umwelt- und Naturschutz</v>
      </c>
      <c r="E520" s="353"/>
      <c r="F520" s="348"/>
      <c r="G520" s="113"/>
      <c r="H520" s="21">
        <v>20</v>
      </c>
      <c r="I520" s="350"/>
      <c r="J520" s="340"/>
      <c r="K520" s="341"/>
      <c r="L520" s="341"/>
      <c r="M520" s="341"/>
      <c r="N520" s="342"/>
      <c r="P520" s="18">
        <f t="shared" si="11"/>
        <v>0</v>
      </c>
      <c r="Q520" s="338"/>
      <c r="R520" s="344"/>
      <c r="S520" s="474"/>
      <c r="T520" s="344"/>
      <c r="U520" s="475"/>
    </row>
    <row r="521" spans="2:21" ht="52.8" x14ac:dyDescent="0.25">
      <c r="B521" s="346"/>
      <c r="C521" s="390"/>
      <c r="D521" s="71" t="s">
        <v>156</v>
      </c>
      <c r="E521" s="134" t="str">
        <f>HLOOKUP(Deckblatt!$C$12,Language!$C$1:$D$730,640,FALSE)</f>
        <v xml:space="preserve">Umwelt- und Naturschutz
(Details siehe Kriterium)
</v>
      </c>
      <c r="F521" s="348"/>
      <c r="G521" s="69"/>
      <c r="H521" s="18">
        <v>20</v>
      </c>
      <c r="I521" s="350"/>
      <c r="J521" s="340"/>
      <c r="K521" s="341"/>
      <c r="L521" s="341"/>
      <c r="M521" s="341"/>
      <c r="N521" s="342"/>
      <c r="P521" s="18">
        <f t="shared" si="11"/>
        <v>0</v>
      </c>
      <c r="Q521" s="338"/>
      <c r="R521" s="344"/>
      <c r="S521" s="474"/>
      <c r="T521" s="344"/>
      <c r="U521" s="475"/>
    </row>
    <row r="522" spans="2:21" ht="92.4" x14ac:dyDescent="0.25">
      <c r="B522" s="370"/>
      <c r="C522" s="360"/>
      <c r="D522" s="57" t="s">
        <v>694</v>
      </c>
      <c r="E522"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2" s="371"/>
      <c r="G522" s="69"/>
      <c r="H522" s="18">
        <v>20</v>
      </c>
      <c r="I522" s="366"/>
      <c r="J522" s="340"/>
      <c r="K522" s="341"/>
      <c r="L522" s="341"/>
      <c r="M522" s="341"/>
      <c r="N522" s="342"/>
      <c r="P522" s="18">
        <f t="shared" si="11"/>
        <v>0</v>
      </c>
      <c r="Q522" s="339"/>
      <c r="R522" s="365"/>
      <c r="S522" s="474"/>
      <c r="T522" s="344"/>
      <c r="U522" s="475"/>
    </row>
    <row r="523" spans="2:21" ht="13.8" thickBot="1" x14ac:dyDescent="0.3">
      <c r="B523" s="215" t="s">
        <v>545</v>
      </c>
      <c r="C523" s="384" t="str">
        <f>HLOOKUP(Deckblatt!$C$12,Language!$C$1:$D$730,642,FALSE)</f>
        <v>Qualitätssicherung &amp; Monitoring</v>
      </c>
      <c r="D523" s="384"/>
      <c r="E523" s="385"/>
      <c r="F523" s="66">
        <f>Q523</f>
        <v>0</v>
      </c>
      <c r="G523" s="364"/>
      <c r="H523" s="21">
        <v>100</v>
      </c>
      <c r="I523" s="176">
        <v>2</v>
      </c>
      <c r="J523" s="340"/>
      <c r="K523" s="341"/>
      <c r="L523" s="341"/>
      <c r="M523" s="341"/>
      <c r="N523" s="342"/>
      <c r="P523" s="18">
        <f t="shared" si="11"/>
        <v>0</v>
      </c>
      <c r="Q523" s="337">
        <f>SUM(P525:P539)</f>
        <v>0</v>
      </c>
      <c r="R523" s="343">
        <f>Q523/100</f>
        <v>0</v>
      </c>
      <c r="S523" s="474"/>
      <c r="T523" s="344"/>
      <c r="U523" s="475"/>
    </row>
    <row r="524" spans="2:21" ht="13.2" customHeight="1" x14ac:dyDescent="0.25">
      <c r="B524" s="501"/>
      <c r="C524" s="386" t="s">
        <v>54</v>
      </c>
      <c r="D524" s="387" t="str">
        <f>HLOOKUP(Deckblatt!$C$12,Language!$C$1:$D$730,643,FALSE)</f>
        <v>Nachhaltigkeitsmanagement</v>
      </c>
      <c r="E524" s="388"/>
      <c r="F524" s="363"/>
      <c r="G524" s="364"/>
      <c r="H524" s="21">
        <v>45</v>
      </c>
      <c r="I524" s="379"/>
      <c r="J524" s="340"/>
      <c r="K524" s="341"/>
      <c r="L524" s="341"/>
      <c r="M524" s="341"/>
      <c r="N524" s="342"/>
      <c r="P524" s="18">
        <f t="shared" si="11"/>
        <v>0</v>
      </c>
      <c r="Q524" s="338"/>
      <c r="R524" s="344"/>
      <c r="S524" s="474"/>
      <c r="T524" s="344"/>
      <c r="U524" s="475"/>
    </row>
    <row r="525" spans="2:21" ht="39.6" x14ac:dyDescent="0.25">
      <c r="B525" s="375"/>
      <c r="C525" s="351"/>
      <c r="D525" s="160" t="s">
        <v>58</v>
      </c>
      <c r="E525" s="134" t="str">
        <f>HLOOKUP(Deckblatt!$C$12,Language!$C$1:$D$730,644,FALSE)</f>
        <v xml:space="preserve">Standortmanagement
</v>
      </c>
      <c r="F525" s="363"/>
      <c r="G525" s="69"/>
      <c r="H525" s="18">
        <v>15</v>
      </c>
      <c r="I525" s="379"/>
      <c r="J525" s="340"/>
      <c r="K525" s="341"/>
      <c r="L525" s="341"/>
      <c r="M525" s="341"/>
      <c r="N525" s="342"/>
      <c r="P525" s="18">
        <f t="shared" si="11"/>
        <v>0</v>
      </c>
      <c r="Q525" s="338"/>
      <c r="R525" s="344"/>
      <c r="S525" s="474"/>
      <c r="T525" s="344"/>
      <c r="U525" s="475"/>
    </row>
    <row r="526" spans="2:21" ht="48" customHeight="1" x14ac:dyDescent="0.25">
      <c r="B526" s="375"/>
      <c r="C526" s="351"/>
      <c r="D526" s="160" t="s">
        <v>181</v>
      </c>
      <c r="E526" s="134" t="str">
        <f>HLOOKUP(Deckblatt!$C$12,Language!$C$1:$D$730,645,FALSE)</f>
        <v xml:space="preserve">Budget und Handlungsbefugnisse
</v>
      </c>
      <c r="F526" s="363"/>
      <c r="G526" s="69"/>
      <c r="H526" s="18">
        <v>10</v>
      </c>
      <c r="I526" s="379"/>
      <c r="J526" s="340"/>
      <c r="K526" s="341"/>
      <c r="L526" s="341"/>
      <c r="M526" s="341"/>
      <c r="N526" s="342"/>
      <c r="P526" s="18">
        <f t="shared" si="11"/>
        <v>0</v>
      </c>
      <c r="Q526" s="338"/>
      <c r="R526" s="344"/>
      <c r="S526" s="474"/>
      <c r="T526" s="344"/>
      <c r="U526" s="475"/>
    </row>
    <row r="527" spans="2:21" ht="39.6" x14ac:dyDescent="0.25">
      <c r="B527" s="375"/>
      <c r="C527" s="351"/>
      <c r="D527" s="160" t="s">
        <v>246</v>
      </c>
      <c r="E527" s="134" t="str">
        <f>HLOOKUP(Deckblatt!$C$12,Language!$C$1:$D$730,646,FALSE)</f>
        <v xml:space="preserve">Berichterstattung zu Nachhaltigkeitsthemen
</v>
      </c>
      <c r="F527" s="363"/>
      <c r="G527" s="69"/>
      <c r="H527" s="18">
        <v>10</v>
      </c>
      <c r="I527" s="379"/>
      <c r="J527" s="340"/>
      <c r="K527" s="341"/>
      <c r="L527" s="341"/>
      <c r="M527" s="341"/>
      <c r="N527" s="342"/>
      <c r="P527" s="18">
        <f t="shared" si="11"/>
        <v>0</v>
      </c>
      <c r="Q527" s="338"/>
      <c r="R527" s="344"/>
      <c r="S527" s="474"/>
      <c r="T527" s="344"/>
      <c r="U527" s="475"/>
    </row>
    <row r="528" spans="2:21" ht="26.4" x14ac:dyDescent="0.25">
      <c r="B528" s="375"/>
      <c r="C528" s="351"/>
      <c r="D528" s="160" t="s">
        <v>250</v>
      </c>
      <c r="E528" s="134" t="str">
        <f>HLOOKUP(Deckblatt!$C$12,Language!$C$1:$D$730,647,FALSE)</f>
        <v xml:space="preserve">Inhalte der Nachhaltigkeitsberichterstattung 
</v>
      </c>
      <c r="F528" s="363"/>
      <c r="G528" s="69"/>
      <c r="H528" s="18">
        <v>10</v>
      </c>
      <c r="I528" s="379"/>
      <c r="J528" s="340"/>
      <c r="K528" s="341"/>
      <c r="L528" s="341"/>
      <c r="M528" s="341"/>
      <c r="N528" s="342"/>
      <c r="P528" s="18">
        <f t="shared" si="11"/>
        <v>0</v>
      </c>
      <c r="Q528" s="338"/>
      <c r="R528" s="344"/>
      <c r="S528" s="474"/>
      <c r="T528" s="344"/>
      <c r="U528" s="475"/>
    </row>
    <row r="529" spans="2:21" ht="13.2" customHeight="1" x14ac:dyDescent="0.25">
      <c r="B529" s="375"/>
      <c r="C529" s="351" t="s">
        <v>61</v>
      </c>
      <c r="D529" s="352" t="str">
        <f>HLOOKUP(Deckblatt!$C$12,Language!$C$1:$D$730,649,FALSE)</f>
        <v>Energiemonitoring/-management</v>
      </c>
      <c r="E529" s="353"/>
      <c r="F529" s="363"/>
      <c r="G529" s="356"/>
      <c r="H529" s="21">
        <v>15</v>
      </c>
      <c r="I529" s="379"/>
      <c r="J529" s="340"/>
      <c r="K529" s="341"/>
      <c r="L529" s="341"/>
      <c r="M529" s="341"/>
      <c r="N529" s="342"/>
      <c r="P529" s="18">
        <f t="shared" si="11"/>
        <v>0</v>
      </c>
      <c r="Q529" s="338"/>
      <c r="R529" s="344"/>
      <c r="S529" s="474"/>
      <c r="T529" s="344"/>
      <c r="U529" s="475"/>
    </row>
    <row r="530" spans="2:21" x14ac:dyDescent="0.25">
      <c r="B530" s="375"/>
      <c r="C530" s="351"/>
      <c r="D530" s="376" t="s">
        <v>63</v>
      </c>
      <c r="E530" s="134" t="str">
        <f>HLOOKUP(Deckblatt!$C$12,Language!$C$1:$D$730,650,FALSE)</f>
        <v>Energiemonitoring</v>
      </c>
      <c r="F530" s="363"/>
      <c r="G530" s="356"/>
      <c r="H530" s="21">
        <v>15</v>
      </c>
      <c r="I530" s="379"/>
      <c r="J530" s="340"/>
      <c r="K530" s="341"/>
      <c r="L530" s="341"/>
      <c r="M530" s="341"/>
      <c r="N530" s="342"/>
      <c r="P530" s="18">
        <f t="shared" si="11"/>
        <v>0</v>
      </c>
      <c r="Q530" s="338"/>
      <c r="R530" s="344"/>
      <c r="S530" s="474"/>
      <c r="T530" s="344"/>
      <c r="U530" s="475"/>
    </row>
    <row r="531" spans="2:21" ht="39.6" x14ac:dyDescent="0.25">
      <c r="B531" s="375"/>
      <c r="C531" s="351"/>
      <c r="D531" s="376"/>
      <c r="E531" s="134" t="str">
        <f>HLOOKUP(Deckblatt!$C$12,Language!$C$1:$D$730,652,FALSE)</f>
        <v xml:space="preserve">Es gibt ein Energie-Monitoring für Wärme auf Quartiersebene, an dem alle Gebäudenutzer teilnehmen können.
</v>
      </c>
      <c r="F531" s="363"/>
      <c r="G531" s="69"/>
      <c r="H531" s="18">
        <v>8</v>
      </c>
      <c r="I531" s="379"/>
      <c r="J531" s="340"/>
      <c r="K531" s="341"/>
      <c r="L531" s="341"/>
      <c r="M531" s="341"/>
      <c r="N531" s="342"/>
      <c r="P531" s="18">
        <f t="shared" si="11"/>
        <v>0</v>
      </c>
      <c r="Q531" s="338"/>
      <c r="R531" s="344"/>
      <c r="S531" s="474"/>
      <c r="T531" s="344"/>
      <c r="U531" s="475"/>
    </row>
    <row r="532" spans="2:21" ht="39.6" x14ac:dyDescent="0.25">
      <c r="B532" s="375"/>
      <c r="C532" s="351"/>
      <c r="D532" s="376"/>
      <c r="E532" s="134" t="str">
        <f>HLOOKUP(Deckblatt!$C$12,Language!$C$1:$D$730,653,FALSE)</f>
        <v xml:space="preserve">Es gibt ein Energie-Monitoring für Strom auf Quartiersebene, an dem alle Gebäudenutzer teilnehmen können.
</v>
      </c>
      <c r="F532" s="363"/>
      <c r="G532" s="69"/>
      <c r="H532" s="18">
        <v>7</v>
      </c>
      <c r="I532" s="379"/>
      <c r="J532" s="340"/>
      <c r="K532" s="341"/>
      <c r="L532" s="341"/>
      <c r="M532" s="341"/>
      <c r="N532" s="342"/>
      <c r="P532" s="18">
        <f t="shared" si="11"/>
        <v>0</v>
      </c>
      <c r="Q532" s="338"/>
      <c r="R532" s="344"/>
      <c r="S532" s="474"/>
      <c r="T532" s="344"/>
      <c r="U532" s="475"/>
    </row>
    <row r="533" spans="2:21" ht="13.2" customHeight="1" x14ac:dyDescent="0.25">
      <c r="B533" s="375"/>
      <c r="C533" s="351" t="s">
        <v>64</v>
      </c>
      <c r="D533" s="352" t="str">
        <f>HLOOKUP(Deckblatt!$C$12,Language!$C$1:$D$730,660,FALSE)</f>
        <v>Wassermonitoring /-management</v>
      </c>
      <c r="E533" s="353"/>
      <c r="F533" s="363"/>
      <c r="G533" s="113"/>
      <c r="H533" s="21">
        <v>15</v>
      </c>
      <c r="I533" s="379"/>
      <c r="J533" s="340"/>
      <c r="K533" s="341"/>
      <c r="L533" s="341"/>
      <c r="M533" s="341"/>
      <c r="N533" s="342"/>
      <c r="P533" s="18">
        <f t="shared" si="11"/>
        <v>0</v>
      </c>
      <c r="Q533" s="338"/>
      <c r="R533" s="344"/>
      <c r="S533" s="474"/>
      <c r="T533" s="344"/>
      <c r="U533" s="475"/>
    </row>
    <row r="534" spans="2:21" ht="39.6" x14ac:dyDescent="0.25">
      <c r="B534" s="375"/>
      <c r="C534" s="351"/>
      <c r="D534" s="160" t="s">
        <v>66</v>
      </c>
      <c r="E534" s="134" t="str">
        <f>HLOOKUP(Deckblatt!$C$12,Language!$C$1:$D$730,661,FALSE)</f>
        <v xml:space="preserve">Wassermonitoring
</v>
      </c>
      <c r="F534" s="363"/>
      <c r="G534" s="69"/>
      <c r="H534" s="18">
        <v>5</v>
      </c>
      <c r="I534" s="379"/>
      <c r="J534" s="340"/>
      <c r="K534" s="341"/>
      <c r="L534" s="341"/>
      <c r="M534" s="341"/>
      <c r="N534" s="342"/>
      <c r="P534" s="18">
        <f t="shared" ref="P534:P535" si="12">IF(G534&gt;H534,H534,G534)</f>
        <v>0</v>
      </c>
      <c r="Q534" s="338"/>
      <c r="R534" s="344"/>
      <c r="S534" s="474"/>
      <c r="T534" s="344"/>
      <c r="U534" s="475"/>
    </row>
    <row r="535" spans="2:21" ht="24.6" customHeight="1" x14ac:dyDescent="0.25">
      <c r="B535" s="375"/>
      <c r="C535" s="351"/>
      <c r="D535" s="160" t="s">
        <v>150</v>
      </c>
      <c r="E535" s="134" t="str">
        <f>HLOOKUP(Deckblatt!$C$12,Language!$C$1:$D$730,663,FALSE)</f>
        <v xml:space="preserve">Reduzierung Trink- und Betriebswasserbedarf
</v>
      </c>
      <c r="F535" s="363"/>
      <c r="G535" s="69"/>
      <c r="H535" s="18">
        <v>10</v>
      </c>
      <c r="I535" s="379"/>
      <c r="J535" s="340"/>
      <c r="K535" s="341"/>
      <c r="L535" s="341"/>
      <c r="M535" s="341"/>
      <c r="N535" s="342"/>
      <c r="P535" s="18">
        <f t="shared" si="12"/>
        <v>0</v>
      </c>
      <c r="Q535" s="338"/>
      <c r="R535" s="344"/>
      <c r="S535" s="474"/>
      <c r="T535" s="344"/>
      <c r="U535" s="475"/>
    </row>
    <row r="536" spans="2:21" ht="13.2" customHeight="1" x14ac:dyDescent="0.25">
      <c r="B536" s="375"/>
      <c r="C536" s="351" t="s">
        <v>67</v>
      </c>
      <c r="D536" s="352" t="str">
        <f>HLOOKUP(Deckblatt!$C$12,Language!$C$1:$D$730,664,FALSE)</f>
        <v>Umsetzung von Gestaltungszielen</v>
      </c>
      <c r="E536" s="353"/>
      <c r="F536" s="363"/>
      <c r="G536" s="113"/>
      <c r="H536" s="21">
        <v>10</v>
      </c>
      <c r="I536" s="379"/>
      <c r="J536" s="340"/>
      <c r="K536" s="341"/>
      <c r="L536" s="341"/>
      <c r="M536" s="341"/>
      <c r="N536" s="342"/>
      <c r="P536" s="18">
        <f t="shared" si="11"/>
        <v>0</v>
      </c>
      <c r="Q536" s="338"/>
      <c r="R536" s="344"/>
      <c r="S536" s="474"/>
      <c r="T536" s="344"/>
      <c r="U536" s="475"/>
    </row>
    <row r="537" spans="2:21" ht="52.8" x14ac:dyDescent="0.25">
      <c r="B537" s="375"/>
      <c r="C537" s="351"/>
      <c r="D537" s="160" t="s">
        <v>78</v>
      </c>
      <c r="E537" s="134" t="str">
        <f>HLOOKUP(Deckblatt!$C$12,Language!$C$1:$D$730,666,FALSE)</f>
        <v xml:space="preserve">Gestalterische Vorgaben
Die gestalterischen Vorgaben werden zugleich formell gesichert (z. B. B-Plan, Gestaltungssatzung …).
</v>
      </c>
      <c r="F537" s="363"/>
      <c r="G537" s="69"/>
      <c r="H537" s="18">
        <v>10</v>
      </c>
      <c r="I537" s="379"/>
      <c r="J537" s="340"/>
      <c r="K537" s="341"/>
      <c r="L537" s="341"/>
      <c r="M537" s="341"/>
      <c r="N537" s="342"/>
      <c r="P537" s="18">
        <f t="shared" si="11"/>
        <v>0</v>
      </c>
      <c r="Q537" s="338"/>
      <c r="R537" s="344"/>
      <c r="S537" s="474"/>
      <c r="T537" s="344"/>
      <c r="U537" s="475"/>
    </row>
    <row r="538" spans="2:21" ht="13.2" customHeight="1" x14ac:dyDescent="0.25">
      <c r="B538" s="375"/>
      <c r="C538" s="351" t="s">
        <v>154</v>
      </c>
      <c r="D538" s="352" t="str">
        <f>HLOOKUP(Deckblatt!$C$12,Language!$C$1:$D$730,667,FALSE)</f>
        <v>Datenmodelle</v>
      </c>
      <c r="E538" s="353"/>
      <c r="F538" s="363"/>
      <c r="G538" s="113"/>
      <c r="H538" s="21">
        <v>15</v>
      </c>
      <c r="I538" s="379"/>
      <c r="J538" s="340"/>
      <c r="K538" s="341"/>
      <c r="L538" s="341"/>
      <c r="M538" s="341"/>
      <c r="N538" s="342"/>
      <c r="P538" s="18">
        <f t="shared" si="11"/>
        <v>0</v>
      </c>
      <c r="Q538" s="338"/>
      <c r="R538" s="344"/>
      <c r="S538" s="474"/>
      <c r="T538" s="344"/>
      <c r="U538" s="475"/>
    </row>
    <row r="539" spans="2:21" ht="53.4" thickBot="1" x14ac:dyDescent="0.3">
      <c r="B539" s="377"/>
      <c r="C539" s="389"/>
      <c r="D539" s="165" t="s">
        <v>156</v>
      </c>
      <c r="E539" s="242" t="str">
        <f>HLOOKUP(Deckblatt!$C$12,Language!$C$1:$D$730,668,FALSE)</f>
        <v xml:space="preserve">3-D-Datenmodelle
Es gibt eine weiterführende Zusammenarbeit auf der Basis von 3-D-Datenmodellen (GIS, CIM, BIM).
</v>
      </c>
      <c r="F539" s="378"/>
      <c r="G539" s="70"/>
      <c r="H539" s="59">
        <v>15</v>
      </c>
      <c r="I539" s="380"/>
      <c r="J539" s="381"/>
      <c r="K539" s="382"/>
      <c r="L539" s="382"/>
      <c r="M539" s="382"/>
      <c r="N539" s="383"/>
      <c r="P539" s="18">
        <f t="shared" si="11"/>
        <v>0</v>
      </c>
      <c r="Q539" s="339"/>
      <c r="R539" s="365"/>
      <c r="S539" s="474"/>
      <c r="T539" s="365"/>
      <c r="U539" s="476"/>
    </row>
  </sheetData>
  <mergeCells count="1076">
    <mergeCell ref="J26:N26"/>
    <mergeCell ref="B148:B152"/>
    <mergeCell ref="F148:F152"/>
    <mergeCell ref="J152:N152"/>
    <mergeCell ref="I148:I152"/>
    <mergeCell ref="D152:E152"/>
    <mergeCell ref="Q147:Q152"/>
    <mergeCell ref="R147:R152"/>
    <mergeCell ref="S87:S152"/>
    <mergeCell ref="T87:T152"/>
    <mergeCell ref="C475:C479"/>
    <mergeCell ref="D476:D479"/>
    <mergeCell ref="J479:N479"/>
    <mergeCell ref="D409:E409"/>
    <mergeCell ref="J409:N409"/>
    <mergeCell ref="J410:N410"/>
    <mergeCell ref="C413:C414"/>
    <mergeCell ref="D413:E413"/>
    <mergeCell ref="J413:N413"/>
    <mergeCell ref="J414:N414"/>
    <mergeCell ref="C466:C469"/>
    <mergeCell ref="D466:E466"/>
    <mergeCell ref="J466:N466"/>
    <mergeCell ref="J467:N467"/>
    <mergeCell ref="J468:N468"/>
    <mergeCell ref="J469:N469"/>
    <mergeCell ref="B13:B27"/>
    <mergeCell ref="R12:R27"/>
    <mergeCell ref="S12:S86"/>
    <mergeCell ref="C22:C27"/>
    <mergeCell ref="D22:E22"/>
    <mergeCell ref="D20:E20"/>
    <mergeCell ref="J20:N20"/>
    <mergeCell ref="J21:N21"/>
    <mergeCell ref="J29:N29"/>
    <mergeCell ref="J30:N30"/>
    <mergeCell ref="C31:C33"/>
    <mergeCell ref="D31:E31"/>
    <mergeCell ref="J31:N31"/>
    <mergeCell ref="J32:N32"/>
    <mergeCell ref="J33:N33"/>
    <mergeCell ref="C28:E28"/>
    <mergeCell ref="G28:G29"/>
    <mergeCell ref="J28:N28"/>
    <mergeCell ref="J51:N51"/>
    <mergeCell ref="J40:N40"/>
    <mergeCell ref="Q10:Q11"/>
    <mergeCell ref="C13:C16"/>
    <mergeCell ref="D13:E13"/>
    <mergeCell ref="F13:F27"/>
    <mergeCell ref="I13:I27"/>
    <mergeCell ref="J13:N13"/>
    <mergeCell ref="D14:D16"/>
    <mergeCell ref="J14:N14"/>
    <mergeCell ref="C12:E12"/>
    <mergeCell ref="G12:G14"/>
    <mergeCell ref="J12:N12"/>
    <mergeCell ref="Q12:Q27"/>
    <mergeCell ref="J15:N15"/>
    <mergeCell ref="J16:N16"/>
    <mergeCell ref="C17:C19"/>
    <mergeCell ref="D17:E17"/>
    <mergeCell ref="D23:D26"/>
    <mergeCell ref="G22:G23"/>
    <mergeCell ref="R10:R11"/>
    <mergeCell ref="S10:S11"/>
    <mergeCell ref="T10:T11"/>
    <mergeCell ref="U10:U11"/>
    <mergeCell ref="B6:D6"/>
    <mergeCell ref="F6:G6"/>
    <mergeCell ref="H6:I6"/>
    <mergeCell ref="J6:M6"/>
    <mergeCell ref="B10:B11"/>
    <mergeCell ref="C10:D11"/>
    <mergeCell ref="E10:E11"/>
    <mergeCell ref="F10:H10"/>
    <mergeCell ref="I10:I11"/>
    <mergeCell ref="J10:N11"/>
    <mergeCell ref="B2:D2"/>
    <mergeCell ref="J2:L4"/>
    <mergeCell ref="M2:M4"/>
    <mergeCell ref="P2:U4"/>
    <mergeCell ref="B3:D3"/>
    <mergeCell ref="B4:D4"/>
    <mergeCell ref="B8:N8"/>
    <mergeCell ref="P10:P11"/>
    <mergeCell ref="J22:N22"/>
    <mergeCell ref="J23:N23"/>
    <mergeCell ref="J24:N24"/>
    <mergeCell ref="J25:N25"/>
    <mergeCell ref="J27:N27"/>
    <mergeCell ref="J17:N17"/>
    <mergeCell ref="D18:D19"/>
    <mergeCell ref="J18:N18"/>
    <mergeCell ref="J19:N19"/>
    <mergeCell ref="C20:C21"/>
    <mergeCell ref="T12:T86"/>
    <mergeCell ref="U12:U539"/>
    <mergeCell ref="Q28:Q38"/>
    <mergeCell ref="R28:R38"/>
    <mergeCell ref="J54:N54"/>
    <mergeCell ref="B29:B38"/>
    <mergeCell ref="C29:C30"/>
    <mergeCell ref="D29:E29"/>
    <mergeCell ref="F29:F38"/>
    <mergeCell ref="I29:I38"/>
    <mergeCell ref="C39:E39"/>
    <mergeCell ref="G39:G40"/>
    <mergeCell ref="J39:N39"/>
    <mergeCell ref="D40:E40"/>
    <mergeCell ref="C34:C36"/>
    <mergeCell ref="D34:E34"/>
    <mergeCell ref="J34:N34"/>
    <mergeCell ref="J35:N35"/>
    <mergeCell ref="J36:N36"/>
    <mergeCell ref="C37:C38"/>
    <mergeCell ref="D37:E37"/>
    <mergeCell ref="J37:N37"/>
    <mergeCell ref="J38:N38"/>
    <mergeCell ref="B40:B58"/>
    <mergeCell ref="J55:N55"/>
    <mergeCell ref="D47:D49"/>
    <mergeCell ref="J47:N47"/>
    <mergeCell ref="J48:N48"/>
    <mergeCell ref="J49:N49"/>
    <mergeCell ref="C50:C51"/>
    <mergeCell ref="D50:E50"/>
    <mergeCell ref="J50:N50"/>
    <mergeCell ref="J41:N41"/>
    <mergeCell ref="D42:D46"/>
    <mergeCell ref="J42:N42"/>
    <mergeCell ref="J43:N43"/>
    <mergeCell ref="J44:N44"/>
    <mergeCell ref="J45:N45"/>
    <mergeCell ref="J46:N46"/>
    <mergeCell ref="C52:C55"/>
    <mergeCell ref="D52:E52"/>
    <mergeCell ref="G52:G53"/>
    <mergeCell ref="J52:N52"/>
    <mergeCell ref="D53:D55"/>
    <mergeCell ref="J53:N53"/>
    <mergeCell ref="C40:C49"/>
    <mergeCell ref="D57:D58"/>
    <mergeCell ref="J57:N57"/>
    <mergeCell ref="J58:N58"/>
    <mergeCell ref="C56:C58"/>
    <mergeCell ref="J67:N67"/>
    <mergeCell ref="C68:C69"/>
    <mergeCell ref="J68:N68"/>
    <mergeCell ref="J69:N69"/>
    <mergeCell ref="J60:N60"/>
    <mergeCell ref="J61:N61"/>
    <mergeCell ref="C62:C63"/>
    <mergeCell ref="J62:N62"/>
    <mergeCell ref="J63:N63"/>
    <mergeCell ref="C64:C66"/>
    <mergeCell ref="J64:N64"/>
    <mergeCell ref="D65:D66"/>
    <mergeCell ref="J65:N65"/>
    <mergeCell ref="J66:N66"/>
    <mergeCell ref="D62:E62"/>
    <mergeCell ref="D64:E64"/>
    <mergeCell ref="D68:E68"/>
    <mergeCell ref="Q70:Q86"/>
    <mergeCell ref="R70:R86"/>
    <mergeCell ref="B71:B86"/>
    <mergeCell ref="C71:C72"/>
    <mergeCell ref="D71:E71"/>
    <mergeCell ref="F71:F86"/>
    <mergeCell ref="I71:I86"/>
    <mergeCell ref="J71:N71"/>
    <mergeCell ref="J72:N72"/>
    <mergeCell ref="C73:C74"/>
    <mergeCell ref="C70:E70"/>
    <mergeCell ref="G70:G71"/>
    <mergeCell ref="J70:N70"/>
    <mergeCell ref="C59:E59"/>
    <mergeCell ref="G59:G60"/>
    <mergeCell ref="J59:N59"/>
    <mergeCell ref="Q59:Q69"/>
    <mergeCell ref="R59:R69"/>
    <mergeCell ref="B60:B69"/>
    <mergeCell ref="C60:C61"/>
    <mergeCell ref="D60:E60"/>
    <mergeCell ref="F60:F69"/>
    <mergeCell ref="I60:I69"/>
    <mergeCell ref="C78:C81"/>
    <mergeCell ref="D78:E78"/>
    <mergeCell ref="G78:G79"/>
    <mergeCell ref="J78:N78"/>
    <mergeCell ref="D79:D81"/>
    <mergeCell ref="J79:N79"/>
    <mergeCell ref="J80:N80"/>
    <mergeCell ref="J81:N81"/>
    <mergeCell ref="J84:N84"/>
    <mergeCell ref="J93:N93"/>
    <mergeCell ref="J94:N94"/>
    <mergeCell ref="D73:E73"/>
    <mergeCell ref="J73:N73"/>
    <mergeCell ref="J74:N74"/>
    <mergeCell ref="C75:C77"/>
    <mergeCell ref="D75:E75"/>
    <mergeCell ref="J75:N75"/>
    <mergeCell ref="J76:N76"/>
    <mergeCell ref="J77:N77"/>
    <mergeCell ref="B101:B122"/>
    <mergeCell ref="C101:C106"/>
    <mergeCell ref="D101:E101"/>
    <mergeCell ref="F101:F122"/>
    <mergeCell ref="I101:I122"/>
    <mergeCell ref="J101:N101"/>
    <mergeCell ref="D102:D105"/>
    <mergeCell ref="J102:N102"/>
    <mergeCell ref="J118:N118"/>
    <mergeCell ref="J119:N119"/>
    <mergeCell ref="D92:E92"/>
    <mergeCell ref="G92:G93"/>
    <mergeCell ref="C82:C83"/>
    <mergeCell ref="D82:E82"/>
    <mergeCell ref="J82:N82"/>
    <mergeCell ref="J83:N83"/>
    <mergeCell ref="C84:C86"/>
    <mergeCell ref="D84:E84"/>
    <mergeCell ref="J85:N85"/>
    <mergeCell ref="J86:N86"/>
    <mergeCell ref="C88:C91"/>
    <mergeCell ref="D88:E88"/>
    <mergeCell ref="J88:N88"/>
    <mergeCell ref="D89:D91"/>
    <mergeCell ref="J89:N89"/>
    <mergeCell ref="J90:N90"/>
    <mergeCell ref="C87:E87"/>
    <mergeCell ref="G87:G89"/>
    <mergeCell ref="J87:N87"/>
    <mergeCell ref="J91:N91"/>
    <mergeCell ref="C92:C96"/>
    <mergeCell ref="Q100:Q122"/>
    <mergeCell ref="R100:R122"/>
    <mergeCell ref="C97:C99"/>
    <mergeCell ref="D97:E97"/>
    <mergeCell ref="J97:N97"/>
    <mergeCell ref="J98:N98"/>
    <mergeCell ref="J99:N99"/>
    <mergeCell ref="C100:E100"/>
    <mergeCell ref="G100:G102"/>
    <mergeCell ref="J100:N100"/>
    <mergeCell ref="J114:N114"/>
    <mergeCell ref="D115:D116"/>
    <mergeCell ref="J115:N115"/>
    <mergeCell ref="J116:N116"/>
    <mergeCell ref="C117:C122"/>
    <mergeCell ref="J117:N117"/>
    <mergeCell ref="D118:D121"/>
    <mergeCell ref="J110:N110"/>
    <mergeCell ref="J111:N111"/>
    <mergeCell ref="J92:N92"/>
    <mergeCell ref="D93:D94"/>
    <mergeCell ref="J103:N103"/>
    <mergeCell ref="J104:N104"/>
    <mergeCell ref="J105:N105"/>
    <mergeCell ref="J106:N106"/>
    <mergeCell ref="C107:C109"/>
    <mergeCell ref="D107:E107"/>
    <mergeCell ref="B124:B127"/>
    <mergeCell ref="C124:C125"/>
    <mergeCell ref="D124:E124"/>
    <mergeCell ref="F124:F127"/>
    <mergeCell ref="I124:I127"/>
    <mergeCell ref="J124:N124"/>
    <mergeCell ref="J125:N125"/>
    <mergeCell ref="C126:C127"/>
    <mergeCell ref="B129:B146"/>
    <mergeCell ref="C131:C132"/>
    <mergeCell ref="J95:N95"/>
    <mergeCell ref="J96:N96"/>
    <mergeCell ref="Q128:Q146"/>
    <mergeCell ref="R128:R146"/>
    <mergeCell ref="C133:C137"/>
    <mergeCell ref="D133:E133"/>
    <mergeCell ref="J133:N133"/>
    <mergeCell ref="J134:N134"/>
    <mergeCell ref="J135:N135"/>
    <mergeCell ref="J136:N136"/>
    <mergeCell ref="J137:N137"/>
    <mergeCell ref="D131:E131"/>
    <mergeCell ref="J131:N131"/>
    <mergeCell ref="J129:N129"/>
    <mergeCell ref="J130:N130"/>
    <mergeCell ref="J132:N132"/>
    <mergeCell ref="J107:N107"/>
    <mergeCell ref="J108:N108"/>
    <mergeCell ref="J109:N109"/>
    <mergeCell ref="D126:E126"/>
    <mergeCell ref="J126:N126"/>
    <mergeCell ref="J127:N127"/>
    <mergeCell ref="C128:E128"/>
    <mergeCell ref="G128:G129"/>
    <mergeCell ref="J128:N128"/>
    <mergeCell ref="J120:N120"/>
    <mergeCell ref="J121:N121"/>
    <mergeCell ref="J122:N122"/>
    <mergeCell ref="Q123:Q127"/>
    <mergeCell ref="R123:R127"/>
    <mergeCell ref="C110:C116"/>
    <mergeCell ref="D110:E110"/>
    <mergeCell ref="J112:N112"/>
    <mergeCell ref="J113:N113"/>
    <mergeCell ref="J158:N158"/>
    <mergeCell ref="J159:N159"/>
    <mergeCell ref="C160:C161"/>
    <mergeCell ref="D160:E160"/>
    <mergeCell ref="J151:N151"/>
    <mergeCell ref="J150:N150"/>
    <mergeCell ref="C138:C143"/>
    <mergeCell ref="D138:E138"/>
    <mergeCell ref="J138:N138"/>
    <mergeCell ref="J139:N139"/>
    <mergeCell ref="J140:N140"/>
    <mergeCell ref="J141:N141"/>
    <mergeCell ref="J142:N142"/>
    <mergeCell ref="J143:N143"/>
    <mergeCell ref="C123:E123"/>
    <mergeCell ref="G123:G124"/>
    <mergeCell ref="J123:N123"/>
    <mergeCell ref="J148:N148"/>
    <mergeCell ref="J149:N149"/>
    <mergeCell ref="C144:C146"/>
    <mergeCell ref="D144:E144"/>
    <mergeCell ref="J144:N144"/>
    <mergeCell ref="J145:N145"/>
    <mergeCell ref="J146:N146"/>
    <mergeCell ref="C147:E147"/>
    <mergeCell ref="J147:N147"/>
    <mergeCell ref="C129:C130"/>
    <mergeCell ref="D129:E129"/>
    <mergeCell ref="F129:F146"/>
    <mergeCell ref="I129:I146"/>
    <mergeCell ref="C164:E164"/>
    <mergeCell ref="G164:G166"/>
    <mergeCell ref="J164:N164"/>
    <mergeCell ref="Q164:Q189"/>
    <mergeCell ref="R164:R189"/>
    <mergeCell ref="B165:B189"/>
    <mergeCell ref="C165:C177"/>
    <mergeCell ref="D165:E165"/>
    <mergeCell ref="F165:F189"/>
    <mergeCell ref="I165:I189"/>
    <mergeCell ref="J160:N160"/>
    <mergeCell ref="J161:N161"/>
    <mergeCell ref="C162:C163"/>
    <mergeCell ref="D162:E162"/>
    <mergeCell ref="J162:N162"/>
    <mergeCell ref="J163:N163"/>
    <mergeCell ref="T153:T316"/>
    <mergeCell ref="B154:B163"/>
    <mergeCell ref="C154:C159"/>
    <mergeCell ref="D154:E154"/>
    <mergeCell ref="F154:F163"/>
    <mergeCell ref="I154:I163"/>
    <mergeCell ref="J154:N154"/>
    <mergeCell ref="J155:N155"/>
    <mergeCell ref="J156:N156"/>
    <mergeCell ref="J157:N157"/>
    <mergeCell ref="C153:E153"/>
    <mergeCell ref="G153:G154"/>
    <mergeCell ref="J153:N153"/>
    <mergeCell ref="Q153:Q163"/>
    <mergeCell ref="R153:R163"/>
    <mergeCell ref="S153:S316"/>
    <mergeCell ref="D172:D174"/>
    <mergeCell ref="J172:N172"/>
    <mergeCell ref="J173:N173"/>
    <mergeCell ref="J174:N174"/>
    <mergeCell ref="D175:D177"/>
    <mergeCell ref="J175:N175"/>
    <mergeCell ref="J176:N176"/>
    <mergeCell ref="J177:N177"/>
    <mergeCell ref="J165:N165"/>
    <mergeCell ref="D166:D168"/>
    <mergeCell ref="J166:N166"/>
    <mergeCell ref="J167:N167"/>
    <mergeCell ref="J168:N168"/>
    <mergeCell ref="D169:D171"/>
    <mergeCell ref="J169:N169"/>
    <mergeCell ref="J170:N170"/>
    <mergeCell ref="J171:N171"/>
    <mergeCell ref="C186:C187"/>
    <mergeCell ref="D186:E186"/>
    <mergeCell ref="J186:N186"/>
    <mergeCell ref="J187:N187"/>
    <mergeCell ref="C188:C189"/>
    <mergeCell ref="D188:E188"/>
    <mergeCell ref="J188:N188"/>
    <mergeCell ref="J189:N189"/>
    <mergeCell ref="C178:C185"/>
    <mergeCell ref="D178:E178"/>
    <mergeCell ref="J178:N178"/>
    <mergeCell ref="J179:N179"/>
    <mergeCell ref="J180:N180"/>
    <mergeCell ref="J181:N181"/>
    <mergeCell ref="J182:N182"/>
    <mergeCell ref="J183:N183"/>
    <mergeCell ref="J184:N184"/>
    <mergeCell ref="J185:N185"/>
    <mergeCell ref="Q190:Q213"/>
    <mergeCell ref="R190:R213"/>
    <mergeCell ref="B191:B213"/>
    <mergeCell ref="C191:C196"/>
    <mergeCell ref="D191:E191"/>
    <mergeCell ref="F191:F213"/>
    <mergeCell ref="I191:I213"/>
    <mergeCell ref="C197:C198"/>
    <mergeCell ref="D197:E197"/>
    <mergeCell ref="J197:N197"/>
    <mergeCell ref="J198:N198"/>
    <mergeCell ref="C199:C200"/>
    <mergeCell ref="D199:E199"/>
    <mergeCell ref="J199:N199"/>
    <mergeCell ref="J200:N200"/>
    <mergeCell ref="J191:N191"/>
    <mergeCell ref="D192:D193"/>
    <mergeCell ref="J192:N192"/>
    <mergeCell ref="J193:N193"/>
    <mergeCell ref="D194:D196"/>
    <mergeCell ref="J194:N194"/>
    <mergeCell ref="J195:N195"/>
    <mergeCell ref="J196:N196"/>
    <mergeCell ref="C208:C213"/>
    <mergeCell ref="D208:E208"/>
    <mergeCell ref="G208:G209"/>
    <mergeCell ref="J208:N208"/>
    <mergeCell ref="D209:D213"/>
    <mergeCell ref="D203:E203"/>
    <mergeCell ref="J203:N203"/>
    <mergeCell ref="J204:N204"/>
    <mergeCell ref="C206:C207"/>
    <mergeCell ref="D206:E206"/>
    <mergeCell ref="J206:N206"/>
    <mergeCell ref="J207:N207"/>
    <mergeCell ref="C201:C202"/>
    <mergeCell ref="D201:E201"/>
    <mergeCell ref="J201:N201"/>
    <mergeCell ref="J202:N202"/>
    <mergeCell ref="J205:N205"/>
    <mergeCell ref="C203:C205"/>
    <mergeCell ref="C190:E190"/>
    <mergeCell ref="G190:G192"/>
    <mergeCell ref="J190:N190"/>
    <mergeCell ref="J238:N238"/>
    <mergeCell ref="D239:D247"/>
    <mergeCell ref="J239:N239"/>
    <mergeCell ref="J240:N240"/>
    <mergeCell ref="J241:N241"/>
    <mergeCell ref="J242:N242"/>
    <mergeCell ref="J243:N243"/>
    <mergeCell ref="C225:C237"/>
    <mergeCell ref="D225:E225"/>
    <mergeCell ref="G225:G226"/>
    <mergeCell ref="J225:N225"/>
    <mergeCell ref="D226:D237"/>
    <mergeCell ref="J209:N209"/>
    <mergeCell ref="J210:N210"/>
    <mergeCell ref="J211:N211"/>
    <mergeCell ref="J212:N212"/>
    <mergeCell ref="J213:N213"/>
    <mergeCell ref="J215:N215"/>
    <mergeCell ref="J216:N216"/>
    <mergeCell ref="C214:E214"/>
    <mergeCell ref="G214:G215"/>
    <mergeCell ref="J214:N214"/>
    <mergeCell ref="C215:C216"/>
    <mergeCell ref="D215:E215"/>
    <mergeCell ref="F215:F263"/>
    <mergeCell ref="I215:I263"/>
    <mergeCell ref="J232:N232"/>
    <mergeCell ref="J233:N233"/>
    <mergeCell ref="J234:N234"/>
    <mergeCell ref="J235:N235"/>
    <mergeCell ref="J236:N236"/>
    <mergeCell ref="J237:N237"/>
    <mergeCell ref="J226:N226"/>
    <mergeCell ref="J227:N227"/>
    <mergeCell ref="J228:N228"/>
    <mergeCell ref="J229:N229"/>
    <mergeCell ref="C238:C247"/>
    <mergeCell ref="D238:E238"/>
    <mergeCell ref="G238:G239"/>
    <mergeCell ref="J250:N250"/>
    <mergeCell ref="J251:N251"/>
    <mergeCell ref="J252:N252"/>
    <mergeCell ref="J220:N220"/>
    <mergeCell ref="J221:N221"/>
    <mergeCell ref="J222:N222"/>
    <mergeCell ref="J223:N223"/>
    <mergeCell ref="J224:N224"/>
    <mergeCell ref="J244:N244"/>
    <mergeCell ref="J245:N245"/>
    <mergeCell ref="J246:N246"/>
    <mergeCell ref="J247:N247"/>
    <mergeCell ref="C248:C254"/>
    <mergeCell ref="J284:N284"/>
    <mergeCell ref="J285:N285"/>
    <mergeCell ref="J286:N286"/>
    <mergeCell ref="C278:C282"/>
    <mergeCell ref="D278:E278"/>
    <mergeCell ref="J278:N278"/>
    <mergeCell ref="J256:N256"/>
    <mergeCell ref="J257:N257"/>
    <mergeCell ref="J258:N258"/>
    <mergeCell ref="J259:N259"/>
    <mergeCell ref="C260:C263"/>
    <mergeCell ref="D260:E260"/>
    <mergeCell ref="G260:G261"/>
    <mergeCell ref="J260:N260"/>
    <mergeCell ref="D261:D263"/>
    <mergeCell ref="J261:N261"/>
    <mergeCell ref="G255:G256"/>
    <mergeCell ref="J255:N255"/>
    <mergeCell ref="D256:D259"/>
    <mergeCell ref="C265:C277"/>
    <mergeCell ref="D265:E265"/>
    <mergeCell ref="F265:F286"/>
    <mergeCell ref="C283:C286"/>
    <mergeCell ref="J265:N265"/>
    <mergeCell ref="D266:D268"/>
    <mergeCell ref="J266:N266"/>
    <mergeCell ref="J267:N267"/>
    <mergeCell ref="J262:N262"/>
    <mergeCell ref="J263:N263"/>
    <mergeCell ref="C264:E264"/>
    <mergeCell ref="G264:G266"/>
    <mergeCell ref="J264:N264"/>
    <mergeCell ref="D248:E248"/>
    <mergeCell ref="G248:G249"/>
    <mergeCell ref="J248:N248"/>
    <mergeCell ref="D249:D254"/>
    <mergeCell ref="J249:N249"/>
    <mergeCell ref="J253:N253"/>
    <mergeCell ref="C255:C259"/>
    <mergeCell ref="D255:E255"/>
    <mergeCell ref="C287:E287"/>
    <mergeCell ref="G287:G288"/>
    <mergeCell ref="J287:N287"/>
    <mergeCell ref="Q287:Q300"/>
    <mergeCell ref="R287:R300"/>
    <mergeCell ref="B288:B300"/>
    <mergeCell ref="C288:C290"/>
    <mergeCell ref="D288:E288"/>
    <mergeCell ref="F288:F300"/>
    <mergeCell ref="I288:I300"/>
    <mergeCell ref="J295:N295"/>
    <mergeCell ref="J279:N279"/>
    <mergeCell ref="J280:N280"/>
    <mergeCell ref="J281:N281"/>
    <mergeCell ref="J282:N282"/>
    <mergeCell ref="J271:N271"/>
    <mergeCell ref="D272:D274"/>
    <mergeCell ref="J272:N272"/>
    <mergeCell ref="J273:N273"/>
    <mergeCell ref="J274:N274"/>
    <mergeCell ref="D275:D277"/>
    <mergeCell ref="J275:N275"/>
    <mergeCell ref="J276:N276"/>
    <mergeCell ref="J288:N288"/>
    <mergeCell ref="J289:N289"/>
    <mergeCell ref="J290:N290"/>
    <mergeCell ref="R264:R286"/>
    <mergeCell ref="B265:B286"/>
    <mergeCell ref="Q264:Q286"/>
    <mergeCell ref="J268:N268"/>
    <mergeCell ref="D269:D271"/>
    <mergeCell ref="J269:N269"/>
    <mergeCell ref="C301:E301"/>
    <mergeCell ref="G301:G302"/>
    <mergeCell ref="J301:N301"/>
    <mergeCell ref="Q301:Q316"/>
    <mergeCell ref="R301:R316"/>
    <mergeCell ref="B302:B316"/>
    <mergeCell ref="C302:C305"/>
    <mergeCell ref="D302:E302"/>
    <mergeCell ref="F302:F316"/>
    <mergeCell ref="I302:I316"/>
    <mergeCell ref="J296:N296"/>
    <mergeCell ref="C297:C300"/>
    <mergeCell ref="D297:E297"/>
    <mergeCell ref="J297:N297"/>
    <mergeCell ref="D298:D300"/>
    <mergeCell ref="J298:N298"/>
    <mergeCell ref="J299:N299"/>
    <mergeCell ref="J300:N300"/>
    <mergeCell ref="C313:C314"/>
    <mergeCell ref="D313:E313"/>
    <mergeCell ref="J314:N314"/>
    <mergeCell ref="C291:C296"/>
    <mergeCell ref="D291:E291"/>
    <mergeCell ref="J291:N291"/>
    <mergeCell ref="J292:N292"/>
    <mergeCell ref="J293:N293"/>
    <mergeCell ref="J294:N294"/>
    <mergeCell ref="C306:C312"/>
    <mergeCell ref="D306:E306"/>
    <mergeCell ref="J306:N306"/>
    <mergeCell ref="J307:N307"/>
    <mergeCell ref="J308:N308"/>
    <mergeCell ref="J309:N309"/>
    <mergeCell ref="J310:N310"/>
    <mergeCell ref="J311:N311"/>
    <mergeCell ref="J312:N312"/>
    <mergeCell ref="C334:C337"/>
    <mergeCell ref="D334:E334"/>
    <mergeCell ref="J334:N334"/>
    <mergeCell ref="J335:N335"/>
    <mergeCell ref="D336:D337"/>
    <mergeCell ref="J336:N336"/>
    <mergeCell ref="J337:N337"/>
    <mergeCell ref="J302:N302"/>
    <mergeCell ref="J303:N303"/>
    <mergeCell ref="J304:N304"/>
    <mergeCell ref="J305:N305"/>
    <mergeCell ref="D324:E324"/>
    <mergeCell ref="J324:N324"/>
    <mergeCell ref="J325:N325"/>
    <mergeCell ref="C330:C331"/>
    <mergeCell ref="D330:E330"/>
    <mergeCell ref="J330:N330"/>
    <mergeCell ref="J331:N331"/>
    <mergeCell ref="C326:C329"/>
    <mergeCell ref="D326:E326"/>
    <mergeCell ref="D328:D329"/>
    <mergeCell ref="J328:N328"/>
    <mergeCell ref="J329:N329"/>
    <mergeCell ref="J319:N319"/>
    <mergeCell ref="J320:N320"/>
    <mergeCell ref="J321:N321"/>
    <mergeCell ref="S317:S424"/>
    <mergeCell ref="T317:T424"/>
    <mergeCell ref="B318:B337"/>
    <mergeCell ref="C318:C323"/>
    <mergeCell ref="D318:E318"/>
    <mergeCell ref="J318:N318"/>
    <mergeCell ref="J313:N313"/>
    <mergeCell ref="C315:C316"/>
    <mergeCell ref="D315:E315"/>
    <mergeCell ref="J315:N315"/>
    <mergeCell ref="J316:N316"/>
    <mergeCell ref="C317:E317"/>
    <mergeCell ref="G317:G318"/>
    <mergeCell ref="J317:N317"/>
    <mergeCell ref="C332:C333"/>
    <mergeCell ref="D332:E332"/>
    <mergeCell ref="J332:N332"/>
    <mergeCell ref="J333:N333"/>
    <mergeCell ref="I318:I337"/>
    <mergeCell ref="F318:F337"/>
    <mergeCell ref="J339:N339"/>
    <mergeCell ref="J340:N340"/>
    <mergeCell ref="J341:N341"/>
    <mergeCell ref="C348:C352"/>
    <mergeCell ref="J349:N349"/>
    <mergeCell ref="J350:N350"/>
    <mergeCell ref="C338:E338"/>
    <mergeCell ref="G338:G339"/>
    <mergeCell ref="J338:N338"/>
    <mergeCell ref="J352:N352"/>
    <mergeCell ref="J322:N322"/>
    <mergeCell ref="J323:N323"/>
    <mergeCell ref="C324:C325"/>
    <mergeCell ref="Q338:Q365"/>
    <mergeCell ref="R338:R365"/>
    <mergeCell ref="Q317:Q337"/>
    <mergeCell ref="R317:R337"/>
    <mergeCell ref="B339:B365"/>
    <mergeCell ref="D339:E339"/>
    <mergeCell ref="F339:F365"/>
    <mergeCell ref="I339:I365"/>
    <mergeCell ref="J358:N358"/>
    <mergeCell ref="J359:N359"/>
    <mergeCell ref="J360:N360"/>
    <mergeCell ref="J361:N361"/>
    <mergeCell ref="C363:C365"/>
    <mergeCell ref="D363:E363"/>
    <mergeCell ref="J363:N363"/>
    <mergeCell ref="J364:N364"/>
    <mergeCell ref="J365:N365"/>
    <mergeCell ref="C353:C355"/>
    <mergeCell ref="D353:E353"/>
    <mergeCell ref="J353:N353"/>
    <mergeCell ref="J354:N354"/>
    <mergeCell ref="J326:N326"/>
    <mergeCell ref="J327:N327"/>
    <mergeCell ref="J355:N355"/>
    <mergeCell ref="C356:C361"/>
    <mergeCell ref="D356:E356"/>
    <mergeCell ref="J356:N356"/>
    <mergeCell ref="J357:N357"/>
    <mergeCell ref="D358:D360"/>
    <mergeCell ref="D346:E346"/>
    <mergeCell ref="J346:N346"/>
    <mergeCell ref="J347:N347"/>
    <mergeCell ref="C346:C347"/>
    <mergeCell ref="C339:C345"/>
    <mergeCell ref="J362:N362"/>
    <mergeCell ref="J351:N351"/>
    <mergeCell ref="J367:N367"/>
    <mergeCell ref="J368:N368"/>
    <mergeCell ref="C369:C373"/>
    <mergeCell ref="D369:E369"/>
    <mergeCell ref="G369:G370"/>
    <mergeCell ref="J369:N369"/>
    <mergeCell ref="D370:D371"/>
    <mergeCell ref="J370:N370"/>
    <mergeCell ref="J371:N371"/>
    <mergeCell ref="J372:N372"/>
    <mergeCell ref="C366:E366"/>
    <mergeCell ref="G366:G367"/>
    <mergeCell ref="J366:N366"/>
    <mergeCell ref="J342:N342"/>
    <mergeCell ref="J343:N343"/>
    <mergeCell ref="J344:N344"/>
    <mergeCell ref="J345:N345"/>
    <mergeCell ref="D348:E348"/>
    <mergeCell ref="J348:N348"/>
    <mergeCell ref="Q366:Q378"/>
    <mergeCell ref="R366:R378"/>
    <mergeCell ref="B367:B378"/>
    <mergeCell ref="C367:C368"/>
    <mergeCell ref="D367:E367"/>
    <mergeCell ref="F367:F378"/>
    <mergeCell ref="I367:I378"/>
    <mergeCell ref="Q379:Q405"/>
    <mergeCell ref="R379:R405"/>
    <mergeCell ref="B380:B405"/>
    <mergeCell ref="C380:C381"/>
    <mergeCell ref="D380:E380"/>
    <mergeCell ref="F380:F405"/>
    <mergeCell ref="I380:I405"/>
    <mergeCell ref="J373:N373"/>
    <mergeCell ref="C374:C375"/>
    <mergeCell ref="D374:E374"/>
    <mergeCell ref="J374:N374"/>
    <mergeCell ref="J375:N375"/>
    <mergeCell ref="C376:C378"/>
    <mergeCell ref="D376:E376"/>
    <mergeCell ref="J376:N376"/>
    <mergeCell ref="J377:N377"/>
    <mergeCell ref="J378:N378"/>
    <mergeCell ref="C385:C388"/>
    <mergeCell ref="D385:E385"/>
    <mergeCell ref="G385:G386"/>
    <mergeCell ref="J385:N385"/>
    <mergeCell ref="D386:D387"/>
    <mergeCell ref="J386:N386"/>
    <mergeCell ref="J387:N387"/>
    <mergeCell ref="J388:N388"/>
    <mergeCell ref="J380:N380"/>
    <mergeCell ref="J381:N381"/>
    <mergeCell ref="C382:C384"/>
    <mergeCell ref="D382:E382"/>
    <mergeCell ref="J382:N382"/>
    <mergeCell ref="J383:N383"/>
    <mergeCell ref="J384:N384"/>
    <mergeCell ref="C379:E379"/>
    <mergeCell ref="G379:G380"/>
    <mergeCell ref="J379:N379"/>
    <mergeCell ref="C394:C395"/>
    <mergeCell ref="D394:E394"/>
    <mergeCell ref="J394:N394"/>
    <mergeCell ref="J395:N395"/>
    <mergeCell ref="C396:C397"/>
    <mergeCell ref="D396:E396"/>
    <mergeCell ref="J396:N396"/>
    <mergeCell ref="J397:N397"/>
    <mergeCell ref="C389:C390"/>
    <mergeCell ref="D389:E389"/>
    <mergeCell ref="J389:N389"/>
    <mergeCell ref="J390:N390"/>
    <mergeCell ref="C391:C393"/>
    <mergeCell ref="D391:E391"/>
    <mergeCell ref="J391:N391"/>
    <mergeCell ref="J392:N392"/>
    <mergeCell ref="J393:N393"/>
    <mergeCell ref="B407:B424"/>
    <mergeCell ref="C407:C408"/>
    <mergeCell ref="D407:E407"/>
    <mergeCell ref="F407:F424"/>
    <mergeCell ref="I407:I424"/>
    <mergeCell ref="J407:N407"/>
    <mergeCell ref="J408:N408"/>
    <mergeCell ref="C403:C405"/>
    <mergeCell ref="D403:E403"/>
    <mergeCell ref="J403:N403"/>
    <mergeCell ref="J404:N404"/>
    <mergeCell ref="J405:N405"/>
    <mergeCell ref="C406:E406"/>
    <mergeCell ref="G406:G407"/>
    <mergeCell ref="J406:N406"/>
    <mergeCell ref="C398:C399"/>
    <mergeCell ref="D398:E398"/>
    <mergeCell ref="J398:N398"/>
    <mergeCell ref="J399:N399"/>
    <mergeCell ref="C400:C402"/>
    <mergeCell ref="D400:E400"/>
    <mergeCell ref="J400:N400"/>
    <mergeCell ref="J401:N401"/>
    <mergeCell ref="J402:N402"/>
    <mergeCell ref="C415:C416"/>
    <mergeCell ref="D415:E415"/>
    <mergeCell ref="J415:N415"/>
    <mergeCell ref="J416:N416"/>
    <mergeCell ref="C417:C418"/>
    <mergeCell ref="D417:E417"/>
    <mergeCell ref="J417:N417"/>
    <mergeCell ref="J418:N418"/>
    <mergeCell ref="Q406:Q424"/>
    <mergeCell ref="R406:R424"/>
    <mergeCell ref="J423:N423"/>
    <mergeCell ref="J424:N424"/>
    <mergeCell ref="C425:E425"/>
    <mergeCell ref="G425:G427"/>
    <mergeCell ref="J425:N425"/>
    <mergeCell ref="Q425:Q444"/>
    <mergeCell ref="J427:N427"/>
    <mergeCell ref="J428:N428"/>
    <mergeCell ref="J429:N429"/>
    <mergeCell ref="C430:C436"/>
    <mergeCell ref="C419:C420"/>
    <mergeCell ref="D419:E419"/>
    <mergeCell ref="J419:N419"/>
    <mergeCell ref="J420:N420"/>
    <mergeCell ref="C421:C424"/>
    <mergeCell ref="D421:E421"/>
    <mergeCell ref="G421:G422"/>
    <mergeCell ref="J421:N421"/>
    <mergeCell ref="D422:D424"/>
    <mergeCell ref="J422:N422"/>
    <mergeCell ref="D430:E430"/>
    <mergeCell ref="J430:N430"/>
    <mergeCell ref="R425:R444"/>
    <mergeCell ref="J431:N431"/>
    <mergeCell ref="J432:N432"/>
    <mergeCell ref="D433:D436"/>
    <mergeCell ref="J433:N433"/>
    <mergeCell ref="J434:N434"/>
    <mergeCell ref="J435:N435"/>
    <mergeCell ref="J436:N436"/>
    <mergeCell ref="S425:S539"/>
    <mergeCell ref="T425:T539"/>
    <mergeCell ref="B426:B444"/>
    <mergeCell ref="C426:C429"/>
    <mergeCell ref="D426:E426"/>
    <mergeCell ref="F426:F444"/>
    <mergeCell ref="I426:I444"/>
    <mergeCell ref="J426:N426"/>
    <mergeCell ref="D427:D429"/>
    <mergeCell ref="J444:N444"/>
    <mergeCell ref="C445:E445"/>
    <mergeCell ref="G445:G446"/>
    <mergeCell ref="J445:N445"/>
    <mergeCell ref="Q445:Q471"/>
    <mergeCell ref="R445:R471"/>
    <mergeCell ref="C451:C455"/>
    <mergeCell ref="D451:E451"/>
    <mergeCell ref="J451:N451"/>
    <mergeCell ref="J452:N452"/>
    <mergeCell ref="C437:C444"/>
    <mergeCell ref="D437:E437"/>
    <mergeCell ref="J437:N437"/>
    <mergeCell ref="J438:N438"/>
    <mergeCell ref="J439:N439"/>
    <mergeCell ref="B446:B471"/>
    <mergeCell ref="C446:C450"/>
    <mergeCell ref="D446:E446"/>
    <mergeCell ref="F446:F471"/>
    <mergeCell ref="I446:I471"/>
    <mergeCell ref="J446:N446"/>
    <mergeCell ref="J447:N447"/>
    <mergeCell ref="J448:N448"/>
    <mergeCell ref="J462:N462"/>
    <mergeCell ref="J463:N463"/>
    <mergeCell ref="J464:N464"/>
    <mergeCell ref="J465:N465"/>
    <mergeCell ref="D440:D444"/>
    <mergeCell ref="J440:N440"/>
    <mergeCell ref="J441:N441"/>
    <mergeCell ref="J442:N442"/>
    <mergeCell ref="J443:N443"/>
    <mergeCell ref="J453:N453"/>
    <mergeCell ref="J454:N454"/>
    <mergeCell ref="J455:N455"/>
    <mergeCell ref="C456:C460"/>
    <mergeCell ref="D456:E456"/>
    <mergeCell ref="J456:N456"/>
    <mergeCell ref="J457:N457"/>
    <mergeCell ref="J458:N458"/>
    <mergeCell ref="J459:N459"/>
    <mergeCell ref="J460:N460"/>
    <mergeCell ref="D475:E475"/>
    <mergeCell ref="G475:G476"/>
    <mergeCell ref="J475:N475"/>
    <mergeCell ref="J476:N476"/>
    <mergeCell ref="J477:N477"/>
    <mergeCell ref="J478:N478"/>
    <mergeCell ref="J449:N449"/>
    <mergeCell ref="J450:N450"/>
    <mergeCell ref="C470:C471"/>
    <mergeCell ref="D470:E470"/>
    <mergeCell ref="J470:N470"/>
    <mergeCell ref="J471:N471"/>
    <mergeCell ref="R472:R494"/>
    <mergeCell ref="B473:B494"/>
    <mergeCell ref="C473:C474"/>
    <mergeCell ref="D473:E473"/>
    <mergeCell ref="F473:F494"/>
    <mergeCell ref="I473:I494"/>
    <mergeCell ref="J473:N473"/>
    <mergeCell ref="J474:N474"/>
    <mergeCell ref="C472:E472"/>
    <mergeCell ref="G472:G473"/>
    <mergeCell ref="J472:N472"/>
    <mergeCell ref="J490:N490"/>
    <mergeCell ref="J491:N491"/>
    <mergeCell ref="J492:N492"/>
    <mergeCell ref="J493:N493"/>
    <mergeCell ref="J494:N494"/>
    <mergeCell ref="J482:N482"/>
    <mergeCell ref="C461:C465"/>
    <mergeCell ref="D461:E461"/>
    <mergeCell ref="J461:N461"/>
    <mergeCell ref="Q495:Q507"/>
    <mergeCell ref="R495:R507"/>
    <mergeCell ref="B496:B507"/>
    <mergeCell ref="C496:C501"/>
    <mergeCell ref="D496:E496"/>
    <mergeCell ref="F496:F507"/>
    <mergeCell ref="I496:I507"/>
    <mergeCell ref="J496:N496"/>
    <mergeCell ref="J497:N497"/>
    <mergeCell ref="J498:N498"/>
    <mergeCell ref="C495:E495"/>
    <mergeCell ref="J495:N495"/>
    <mergeCell ref="J486:N486"/>
    <mergeCell ref="C487:C488"/>
    <mergeCell ref="D487:E487"/>
    <mergeCell ref="J487:N487"/>
    <mergeCell ref="J488:N488"/>
    <mergeCell ref="C489:C494"/>
    <mergeCell ref="D489:E489"/>
    <mergeCell ref="G489:G490"/>
    <mergeCell ref="J489:N489"/>
    <mergeCell ref="D490:D494"/>
    <mergeCell ref="C480:C486"/>
    <mergeCell ref="D480:E480"/>
    <mergeCell ref="G480:G481"/>
    <mergeCell ref="J480:N480"/>
    <mergeCell ref="D481:D486"/>
    <mergeCell ref="J481:N481"/>
    <mergeCell ref="J483:N483"/>
    <mergeCell ref="J484:N484"/>
    <mergeCell ref="J485:N485"/>
    <mergeCell ref="Q472:Q494"/>
    <mergeCell ref="I509:I522"/>
    <mergeCell ref="J509:N509"/>
    <mergeCell ref="J510:N510"/>
    <mergeCell ref="J511:N511"/>
    <mergeCell ref="C505:C507"/>
    <mergeCell ref="D505:E505"/>
    <mergeCell ref="J505:N505"/>
    <mergeCell ref="J506:N506"/>
    <mergeCell ref="J507:N507"/>
    <mergeCell ref="C508:E508"/>
    <mergeCell ref="G508:G509"/>
    <mergeCell ref="J508:N508"/>
    <mergeCell ref="J499:N499"/>
    <mergeCell ref="J500:N500"/>
    <mergeCell ref="J501:N501"/>
    <mergeCell ref="C502:C504"/>
    <mergeCell ref="D502:E502"/>
    <mergeCell ref="J502:N502"/>
    <mergeCell ref="J503:N503"/>
    <mergeCell ref="J504:N504"/>
    <mergeCell ref="Q523:Q539"/>
    <mergeCell ref="R523:R539"/>
    <mergeCell ref="B524:B539"/>
    <mergeCell ref="C524:C528"/>
    <mergeCell ref="D524:E524"/>
    <mergeCell ref="F524:F539"/>
    <mergeCell ref="I524:I539"/>
    <mergeCell ref="C517:C519"/>
    <mergeCell ref="D517:E517"/>
    <mergeCell ref="J517:N517"/>
    <mergeCell ref="J518:N518"/>
    <mergeCell ref="J519:N519"/>
    <mergeCell ref="C520:C522"/>
    <mergeCell ref="D520:E520"/>
    <mergeCell ref="J520:N520"/>
    <mergeCell ref="J521:N521"/>
    <mergeCell ref="J522:N522"/>
    <mergeCell ref="C536:C537"/>
    <mergeCell ref="D536:E536"/>
    <mergeCell ref="J536:N536"/>
    <mergeCell ref="J537:N537"/>
    <mergeCell ref="C538:C539"/>
    <mergeCell ref="D538:E538"/>
    <mergeCell ref="J538:N538"/>
    <mergeCell ref="J539:N539"/>
    <mergeCell ref="J530:N530"/>
    <mergeCell ref="J531:N531"/>
    <mergeCell ref="J532:N532"/>
    <mergeCell ref="Q508:Q522"/>
    <mergeCell ref="R508:R522"/>
    <mergeCell ref="B509:B522"/>
    <mergeCell ref="C509:C511"/>
    <mergeCell ref="J411:N411"/>
    <mergeCell ref="J412:N412"/>
    <mergeCell ref="C409:C412"/>
    <mergeCell ref="J534:N534"/>
    <mergeCell ref="C533:C535"/>
    <mergeCell ref="D533:E533"/>
    <mergeCell ref="J533:N533"/>
    <mergeCell ref="J535:N535"/>
    <mergeCell ref="J524:N524"/>
    <mergeCell ref="J525:N525"/>
    <mergeCell ref="J526:N526"/>
    <mergeCell ref="J527:N527"/>
    <mergeCell ref="J528:N528"/>
    <mergeCell ref="C529:C532"/>
    <mergeCell ref="D529:E529"/>
    <mergeCell ref="G529:G530"/>
    <mergeCell ref="J529:N529"/>
    <mergeCell ref="D530:D532"/>
    <mergeCell ref="C523:E523"/>
    <mergeCell ref="G523:G524"/>
    <mergeCell ref="J523:N523"/>
    <mergeCell ref="C512:C514"/>
    <mergeCell ref="D512:E512"/>
    <mergeCell ref="J512:N512"/>
    <mergeCell ref="J513:N513"/>
    <mergeCell ref="J514:N514"/>
    <mergeCell ref="C515:C516"/>
    <mergeCell ref="D515:E515"/>
    <mergeCell ref="J515:N515"/>
    <mergeCell ref="J516:N516"/>
    <mergeCell ref="D509:E509"/>
    <mergeCell ref="F509:F522"/>
    <mergeCell ref="R87:R99"/>
    <mergeCell ref="Q39:Q58"/>
    <mergeCell ref="R39:R58"/>
    <mergeCell ref="F40:F58"/>
    <mergeCell ref="I40:I58"/>
    <mergeCell ref="D56:E56"/>
    <mergeCell ref="G56:G57"/>
    <mergeCell ref="J56:N56"/>
    <mergeCell ref="D117:E117"/>
    <mergeCell ref="G117:G118"/>
    <mergeCell ref="J277:N277"/>
    <mergeCell ref="J254:N254"/>
    <mergeCell ref="B88:B99"/>
    <mergeCell ref="F88:F99"/>
    <mergeCell ref="I88:I99"/>
    <mergeCell ref="Q87:Q99"/>
    <mergeCell ref="J230:N230"/>
    <mergeCell ref="J231:N231"/>
    <mergeCell ref="I265:I286"/>
    <mergeCell ref="B215:B263"/>
    <mergeCell ref="C217:C224"/>
    <mergeCell ref="D217:E217"/>
    <mergeCell ref="G217:G218"/>
    <mergeCell ref="J217:N217"/>
    <mergeCell ref="D218:D224"/>
    <mergeCell ref="J218:N218"/>
    <mergeCell ref="J219:N219"/>
    <mergeCell ref="J270:N270"/>
    <mergeCell ref="Q214:Q263"/>
    <mergeCell ref="D283:E283"/>
    <mergeCell ref="J283:N283"/>
    <mergeCell ref="R214:R263"/>
  </mergeCells>
  <dataValidations count="1">
    <dataValidation type="decimal" operator="lessThanOrEqual" allowBlank="1" showInputMessage="1" showErrorMessage="1" sqref="G12:G539" xr:uid="{7C9BBCF3-187B-4FBB-B6CD-A1E4D717F74B}">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10E42BDD-98EE-41B0-870E-A31D628212CC}">
          <x14:formula1>
            <xm:f>IF(Deckblatt!$C$12=Language!$C$1,Language!$C$171:$C$181,IF(Deckblatt!$C$12=Language!$D$1,Language!$D$171:$D$181))</xm:f>
          </x14:formula1>
          <xm:sqref>E148:E150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A1F93-D5F2-4801-96E4-D3008D363EF2}">
  <sheetPr codeName="Sheet12"/>
  <dimension ref="A1:Y673"/>
  <sheetViews>
    <sheetView topLeftCell="A531" workbookViewId="0">
      <selection activeCell="D538" sqref="D538"/>
    </sheetView>
  </sheetViews>
  <sheetFormatPr defaultColWidth="9.109375" defaultRowHeight="13.2" x14ac:dyDescent="0.25"/>
  <cols>
    <col min="1" max="1" width="6.109375" customWidth="1"/>
    <col min="2" max="2" width="9.44140625" customWidth="1"/>
    <col min="3" max="4" width="42.109375" customWidth="1"/>
    <col min="5" max="5" width="39.44140625" customWidth="1"/>
    <col min="6" max="6" width="31.33203125" customWidth="1"/>
    <col min="7" max="7" width="39.6640625" bestFit="1" customWidth="1"/>
    <col min="8" max="8" width="39.33203125" customWidth="1"/>
  </cols>
  <sheetData>
    <row r="1" spans="1:8" x14ac:dyDescent="0.25">
      <c r="B1" s="214"/>
      <c r="C1" s="214" t="s">
        <v>1015</v>
      </c>
      <c r="D1" s="214" t="s">
        <v>1016</v>
      </c>
      <c r="E1" s="214" t="s">
        <v>1015</v>
      </c>
      <c r="F1" s="214" t="s">
        <v>1016</v>
      </c>
      <c r="G1" s="214" t="s">
        <v>1015</v>
      </c>
      <c r="H1" s="214" t="s">
        <v>1016</v>
      </c>
    </row>
    <row r="2" spans="1:8" x14ac:dyDescent="0.25">
      <c r="A2" s="213"/>
      <c r="B2" s="206" t="s">
        <v>52</v>
      </c>
      <c r="C2" s="205" t="s">
        <v>53</v>
      </c>
      <c r="D2" s="205" t="s">
        <v>1023</v>
      </c>
      <c r="G2" t="s">
        <v>25</v>
      </c>
      <c r="H2" t="s">
        <v>1790</v>
      </c>
    </row>
    <row r="3" spans="1:8" x14ac:dyDescent="0.25">
      <c r="A3" s="190"/>
      <c r="B3" s="207" t="s">
        <v>54</v>
      </c>
      <c r="C3" s="208" t="s">
        <v>55</v>
      </c>
      <c r="D3" s="208" t="s">
        <v>1017</v>
      </c>
      <c r="G3" t="s">
        <v>0</v>
      </c>
      <c r="H3" t="s">
        <v>1761</v>
      </c>
    </row>
    <row r="4" spans="1:8" ht="26.4" x14ac:dyDescent="0.25">
      <c r="A4" s="191"/>
      <c r="B4" s="537">
        <v>1.1000000000000001</v>
      </c>
      <c r="C4" s="209" t="s">
        <v>57</v>
      </c>
      <c r="D4" s="209" t="s">
        <v>1018</v>
      </c>
      <c r="G4" t="s">
        <v>1</v>
      </c>
      <c r="H4" t="s">
        <v>1773</v>
      </c>
    </row>
    <row r="5" spans="1:8" ht="52.8" x14ac:dyDescent="0.25">
      <c r="A5" s="192"/>
      <c r="B5" s="537"/>
      <c r="C5" s="77" t="s">
        <v>860</v>
      </c>
      <c r="D5" s="77" t="s">
        <v>1019</v>
      </c>
      <c r="G5" t="s">
        <v>2</v>
      </c>
      <c r="H5" t="s">
        <v>1789</v>
      </c>
    </row>
    <row r="6" spans="1:8" ht="39.6" x14ac:dyDescent="0.25">
      <c r="A6" s="193"/>
      <c r="B6" s="537"/>
      <c r="C6" s="205" t="s">
        <v>861</v>
      </c>
      <c r="D6" s="205" t="s">
        <v>1020</v>
      </c>
      <c r="G6" t="s">
        <v>3</v>
      </c>
      <c r="H6" t="s">
        <v>1771</v>
      </c>
    </row>
    <row r="7" spans="1:8" x14ac:dyDescent="0.25">
      <c r="A7" s="194"/>
      <c r="B7" s="207" t="s">
        <v>61</v>
      </c>
      <c r="C7" s="208" t="s">
        <v>62</v>
      </c>
      <c r="D7" s="208" t="s">
        <v>1021</v>
      </c>
      <c r="G7" t="s">
        <v>4</v>
      </c>
      <c r="H7" t="s">
        <v>4</v>
      </c>
    </row>
    <row r="8" spans="1:8" ht="26.4" x14ac:dyDescent="0.25">
      <c r="A8" s="191"/>
      <c r="B8" s="537">
        <v>2.1</v>
      </c>
      <c r="C8" s="209" t="s">
        <v>735</v>
      </c>
      <c r="D8" s="209" t="s">
        <v>1022</v>
      </c>
      <c r="G8" t="s">
        <v>5</v>
      </c>
      <c r="H8" t="s">
        <v>1772</v>
      </c>
    </row>
    <row r="9" spans="1:8" ht="39.6" x14ac:dyDescent="0.25">
      <c r="A9" s="195"/>
      <c r="B9" s="537"/>
      <c r="C9" s="210" t="s">
        <v>880</v>
      </c>
      <c r="D9" s="210" t="s">
        <v>1024</v>
      </c>
      <c r="G9" t="s">
        <v>6</v>
      </c>
      <c r="H9" t="s">
        <v>1791</v>
      </c>
    </row>
    <row r="10" spans="1:8" x14ac:dyDescent="0.25">
      <c r="A10" s="196"/>
      <c r="B10" s="207" t="s">
        <v>64</v>
      </c>
      <c r="C10" s="208" t="s">
        <v>65</v>
      </c>
      <c r="D10" s="208" t="s">
        <v>1025</v>
      </c>
      <c r="G10" t="s">
        <v>27</v>
      </c>
      <c r="H10" t="s">
        <v>1792</v>
      </c>
    </row>
    <row r="11" spans="1:8" ht="39.6" x14ac:dyDescent="0.25">
      <c r="A11" s="197"/>
      <c r="B11" s="203" t="s">
        <v>66</v>
      </c>
      <c r="C11" s="211" t="s">
        <v>899</v>
      </c>
      <c r="D11" s="211" t="s">
        <v>1026</v>
      </c>
      <c r="G11" t="s">
        <v>24</v>
      </c>
      <c r="H11" t="s">
        <v>1793</v>
      </c>
    </row>
    <row r="12" spans="1:8" ht="52.8" x14ac:dyDescent="0.25">
      <c r="A12" s="197"/>
      <c r="B12" s="203" t="s">
        <v>188</v>
      </c>
      <c r="C12" s="116" t="s">
        <v>900</v>
      </c>
      <c r="D12" s="116" t="s">
        <v>1027</v>
      </c>
      <c r="G12" t="s">
        <v>7</v>
      </c>
      <c r="H12" t="s">
        <v>1762</v>
      </c>
    </row>
    <row r="13" spans="1:8" ht="52.8" x14ac:dyDescent="0.25">
      <c r="A13" s="197"/>
      <c r="B13" s="203" t="s">
        <v>150</v>
      </c>
      <c r="C13" s="116" t="s">
        <v>901</v>
      </c>
      <c r="D13" s="116" t="s">
        <v>1028</v>
      </c>
      <c r="G13" t="s">
        <v>8</v>
      </c>
      <c r="H13" t="s">
        <v>1763</v>
      </c>
    </row>
    <row r="14" spans="1:8" ht="26.4" x14ac:dyDescent="0.25">
      <c r="A14" s="198"/>
      <c r="B14" s="207" t="s">
        <v>67</v>
      </c>
      <c r="C14" s="204" t="s">
        <v>68</v>
      </c>
      <c r="D14" s="204" t="s">
        <v>1029</v>
      </c>
      <c r="G14" t="s">
        <v>9</v>
      </c>
      <c r="H14" t="s">
        <v>1764</v>
      </c>
    </row>
    <row r="15" spans="1:8" ht="26.4" x14ac:dyDescent="0.25">
      <c r="A15" s="199"/>
      <c r="B15" s="536" t="s">
        <v>69</v>
      </c>
      <c r="C15" s="86" t="s">
        <v>76</v>
      </c>
      <c r="D15" s="86" t="s">
        <v>1030</v>
      </c>
      <c r="G15" t="s">
        <v>10</v>
      </c>
      <c r="H15" t="s">
        <v>1765</v>
      </c>
    </row>
    <row r="16" spans="1:8" ht="26.4" x14ac:dyDescent="0.25">
      <c r="A16" s="200"/>
      <c r="B16" s="536"/>
      <c r="C16" s="85" t="s">
        <v>862</v>
      </c>
      <c r="D16" s="85" t="s">
        <v>1031</v>
      </c>
      <c r="G16" t="s">
        <v>11</v>
      </c>
      <c r="H16" t="s">
        <v>1766</v>
      </c>
    </row>
    <row r="17" spans="1:9" ht="39.6" x14ac:dyDescent="0.25">
      <c r="A17" s="253" t="s">
        <v>1812</v>
      </c>
      <c r="B17" s="536"/>
      <c r="C17" s="85" t="s">
        <v>863</v>
      </c>
      <c r="D17" s="85" t="s">
        <v>1032</v>
      </c>
      <c r="E17" s="85" t="s">
        <v>1809</v>
      </c>
      <c r="F17" s="257" t="s">
        <v>1820</v>
      </c>
      <c r="G17" t="s">
        <v>12</v>
      </c>
      <c r="H17" t="s">
        <v>1774</v>
      </c>
    </row>
    <row r="18" spans="1:9" ht="66" x14ac:dyDescent="0.25">
      <c r="A18" s="201"/>
      <c r="B18" s="203" t="s">
        <v>78</v>
      </c>
      <c r="C18" s="86" t="s">
        <v>79</v>
      </c>
      <c r="D18" s="86" t="s">
        <v>1033</v>
      </c>
      <c r="G18" t="s">
        <v>13</v>
      </c>
      <c r="H18" t="s">
        <v>1775</v>
      </c>
    </row>
    <row r="19" spans="1:9" x14ac:dyDescent="0.25">
      <c r="A19" s="201"/>
      <c r="B19" s="207" t="s">
        <v>154</v>
      </c>
      <c r="C19" s="208" t="s">
        <v>768</v>
      </c>
      <c r="D19" s="208" t="s">
        <v>1034</v>
      </c>
      <c r="G19" t="s">
        <v>14</v>
      </c>
      <c r="H19" t="s">
        <v>1776</v>
      </c>
    </row>
    <row r="20" spans="1:9" x14ac:dyDescent="0.25">
      <c r="A20" s="201"/>
      <c r="B20" s="536" t="s">
        <v>156</v>
      </c>
      <c r="C20" s="209" t="s">
        <v>769</v>
      </c>
      <c r="D20" s="209" t="s">
        <v>1035</v>
      </c>
      <c r="G20" t="s">
        <v>15</v>
      </c>
      <c r="H20" t="s">
        <v>1777</v>
      </c>
    </row>
    <row r="21" spans="1:9" ht="15" customHeight="1" thickBot="1" x14ac:dyDescent="0.3">
      <c r="A21" s="201"/>
      <c r="B21" s="536"/>
      <c r="C21" s="85" t="s">
        <v>770</v>
      </c>
      <c r="D21" s="85" t="s">
        <v>1036</v>
      </c>
      <c r="G21" t="s">
        <v>29</v>
      </c>
      <c r="H21" t="s">
        <v>1774</v>
      </c>
    </row>
    <row r="22" spans="1:9" ht="13.8" thickBot="1" x14ac:dyDescent="0.3">
      <c r="A22" s="201"/>
      <c r="B22" s="536"/>
      <c r="C22" s="85" t="s">
        <v>771</v>
      </c>
      <c r="D22" s="85" t="s">
        <v>1037</v>
      </c>
      <c r="G22" t="s">
        <v>16</v>
      </c>
      <c r="H22" s="243" t="s">
        <v>1778</v>
      </c>
    </row>
    <row r="23" spans="1:9" x14ac:dyDescent="0.25">
      <c r="A23" s="201"/>
      <c r="B23" s="536"/>
      <c r="C23" s="85" t="s">
        <v>772</v>
      </c>
      <c r="D23" s="85" t="s">
        <v>1038</v>
      </c>
      <c r="G23" t="s">
        <v>28</v>
      </c>
      <c r="H23" s="244" t="s">
        <v>1779</v>
      </c>
      <c r="I23" s="245"/>
    </row>
    <row r="24" spans="1:9" x14ac:dyDescent="0.25">
      <c r="A24" s="201"/>
      <c r="B24" s="536"/>
      <c r="C24" s="85" t="s">
        <v>773</v>
      </c>
      <c r="D24" s="85" t="s">
        <v>1039</v>
      </c>
      <c r="G24" t="s">
        <v>604</v>
      </c>
      <c r="H24" t="s">
        <v>604</v>
      </c>
    </row>
    <row r="25" spans="1:9" x14ac:dyDescent="0.25">
      <c r="A25" s="201"/>
      <c r="B25" s="536"/>
      <c r="C25" s="85" t="s">
        <v>774</v>
      </c>
      <c r="D25" s="85" t="s">
        <v>1040</v>
      </c>
      <c r="G25" t="s">
        <v>599</v>
      </c>
      <c r="H25" t="s">
        <v>1767</v>
      </c>
    </row>
    <row r="26" spans="1:9" x14ac:dyDescent="0.25">
      <c r="A26" s="201"/>
      <c r="B26" s="536" t="s">
        <v>218</v>
      </c>
      <c r="C26" s="209" t="s">
        <v>775</v>
      </c>
      <c r="D26" s="209" t="s">
        <v>1041</v>
      </c>
      <c r="G26" t="s">
        <v>600</v>
      </c>
      <c r="H26" t="s">
        <v>1768</v>
      </c>
    </row>
    <row r="27" spans="1:9" ht="52.8" x14ac:dyDescent="0.25">
      <c r="A27" s="201"/>
      <c r="B27" s="536"/>
      <c r="C27" s="85" t="s">
        <v>776</v>
      </c>
      <c r="D27" s="85" t="s">
        <v>1042</v>
      </c>
      <c r="G27" t="s">
        <v>601</v>
      </c>
      <c r="H27" t="s">
        <v>1769</v>
      </c>
    </row>
    <row r="28" spans="1:9" x14ac:dyDescent="0.25">
      <c r="B28" s="206" t="s">
        <v>777</v>
      </c>
      <c r="C28" s="205" t="s">
        <v>778</v>
      </c>
      <c r="D28" s="205" t="s">
        <v>1043</v>
      </c>
      <c r="G28" t="s">
        <v>602</v>
      </c>
      <c r="H28" t="s">
        <v>602</v>
      </c>
    </row>
    <row r="29" spans="1:9" ht="26.4" x14ac:dyDescent="0.25">
      <c r="B29" s="207" t="s">
        <v>54</v>
      </c>
      <c r="C29" s="208" t="s">
        <v>779</v>
      </c>
      <c r="D29" s="208" t="s">
        <v>1044</v>
      </c>
      <c r="G29" t="s">
        <v>603</v>
      </c>
      <c r="H29" t="s">
        <v>1770</v>
      </c>
    </row>
    <row r="30" spans="1:9" ht="26.4" x14ac:dyDescent="0.25">
      <c r="B30" s="205">
        <v>1.1000000000000001</v>
      </c>
      <c r="C30" s="205" t="s">
        <v>1046</v>
      </c>
      <c r="D30" s="205" t="s">
        <v>1045</v>
      </c>
      <c r="G30" t="s">
        <v>605</v>
      </c>
      <c r="H30" t="s">
        <v>1788</v>
      </c>
    </row>
    <row r="31" spans="1:9" ht="26.4" x14ac:dyDescent="0.25">
      <c r="B31" s="207" t="s">
        <v>61</v>
      </c>
      <c r="C31" s="208" t="s">
        <v>780</v>
      </c>
      <c r="D31" s="208" t="s">
        <v>1047</v>
      </c>
      <c r="G31" t="s">
        <v>17</v>
      </c>
      <c r="H31" t="s">
        <v>1785</v>
      </c>
    </row>
    <row r="32" spans="1:9" ht="396" x14ac:dyDescent="0.25">
      <c r="B32" s="205">
        <v>2.1</v>
      </c>
      <c r="C32" s="205" t="s">
        <v>1049</v>
      </c>
      <c r="D32" s="205" t="s">
        <v>1048</v>
      </c>
      <c r="G32" s="234" t="s">
        <v>1786</v>
      </c>
      <c r="H32" s="234" t="s">
        <v>1787</v>
      </c>
    </row>
    <row r="33" spans="1:25" ht="31.95" customHeight="1" x14ac:dyDescent="0.25">
      <c r="B33" s="206" t="s">
        <v>81</v>
      </c>
      <c r="C33" s="205" t="s">
        <v>736</v>
      </c>
      <c r="D33" s="205" t="s">
        <v>1050</v>
      </c>
      <c r="G33" t="s">
        <v>4</v>
      </c>
      <c r="H33" t="s">
        <v>4</v>
      </c>
      <c r="I33" s="246"/>
    </row>
    <row r="34" spans="1:25" x14ac:dyDescent="0.25">
      <c r="B34" s="207" t="s">
        <v>54</v>
      </c>
      <c r="C34" s="208" t="s">
        <v>83</v>
      </c>
      <c r="D34" s="208" t="s">
        <v>1051</v>
      </c>
      <c r="G34" t="s">
        <v>18</v>
      </c>
      <c r="H34" s="246" t="s">
        <v>1782</v>
      </c>
      <c r="I34" s="247"/>
    </row>
    <row r="35" spans="1:25" ht="132" x14ac:dyDescent="0.25">
      <c r="B35" s="206" t="s">
        <v>58</v>
      </c>
      <c r="C35" s="210" t="s">
        <v>897</v>
      </c>
      <c r="D35" s="210" t="s">
        <v>1052</v>
      </c>
      <c r="G35" s="214" t="s">
        <v>22</v>
      </c>
      <c r="H35" t="s">
        <v>1780</v>
      </c>
    </row>
    <row r="36" spans="1:25" ht="12.6" customHeight="1" x14ac:dyDescent="0.25">
      <c r="B36" s="207" t="s">
        <v>61</v>
      </c>
      <c r="C36" s="208" t="s">
        <v>91</v>
      </c>
      <c r="D36" s="208" t="s">
        <v>1053</v>
      </c>
      <c r="G36" t="s">
        <v>19</v>
      </c>
      <c r="H36" s="247" t="s">
        <v>1783</v>
      </c>
    </row>
    <row r="37" spans="1:25" ht="52.8" x14ac:dyDescent="0.25">
      <c r="B37" s="203" t="s">
        <v>63</v>
      </c>
      <c r="C37" s="205" t="s">
        <v>92</v>
      </c>
      <c r="D37" s="205" t="s">
        <v>1054</v>
      </c>
      <c r="G37" s="214" t="s">
        <v>23</v>
      </c>
      <c r="H37" t="s">
        <v>1781</v>
      </c>
    </row>
    <row r="38" spans="1:25" ht="52.8" x14ac:dyDescent="0.25">
      <c r="B38" s="203" t="s">
        <v>173</v>
      </c>
      <c r="C38" s="77" t="s">
        <v>93</v>
      </c>
      <c r="D38" s="77" t="s">
        <v>1055</v>
      </c>
      <c r="G38" t="s">
        <v>20</v>
      </c>
      <c r="H38" s="246" t="s">
        <v>20</v>
      </c>
      <c r="I38" s="246"/>
    </row>
    <row r="39" spans="1:25" ht="26.4" x14ac:dyDescent="0.25">
      <c r="B39" s="203" t="s">
        <v>186</v>
      </c>
      <c r="C39" s="205" t="str">
        <f>IF($E$3="Bestand","Bei  Bestand: Es können maximal 50 Punkte angerechnet werden. Stadtklimafaktor Industriestandorte ≤ 2,0 = 50 Punkte","Stadtklimafaktor Industriestandorte / Event Areale")</f>
        <v>Stadtklimafaktor Industriestandorte / Event Areale</v>
      </c>
      <c r="D39" s="205" t="s">
        <v>1056</v>
      </c>
      <c r="G39" t="s">
        <v>5</v>
      </c>
      <c r="H39" s="246" t="s">
        <v>1772</v>
      </c>
      <c r="I39" s="246"/>
    </row>
    <row r="40" spans="1:25" ht="52.8" x14ac:dyDescent="0.25">
      <c r="B40" s="203" t="s">
        <v>1087</v>
      </c>
      <c r="C40" s="77" t="s">
        <v>1086</v>
      </c>
      <c r="D40" s="77" t="s">
        <v>1085</v>
      </c>
      <c r="G40" t="s">
        <v>21</v>
      </c>
      <c r="H40" s="246" t="s">
        <v>1784</v>
      </c>
      <c r="I40" s="246"/>
    </row>
    <row r="41" spans="1:25" x14ac:dyDescent="0.25">
      <c r="B41" s="207" t="s">
        <v>64</v>
      </c>
      <c r="C41" s="208" t="s">
        <v>96</v>
      </c>
      <c r="D41" s="208" t="s">
        <v>1057</v>
      </c>
      <c r="G41" t="s">
        <v>51</v>
      </c>
      <c r="H41" s="246" t="s">
        <v>1794</v>
      </c>
      <c r="Y41" t="s">
        <v>1797</v>
      </c>
    </row>
    <row r="42" spans="1:25" ht="26.4" x14ac:dyDescent="0.25">
      <c r="B42" s="203" t="s">
        <v>66</v>
      </c>
      <c r="C42" s="212" t="s">
        <v>864</v>
      </c>
      <c r="D42" s="212" t="s">
        <v>1058</v>
      </c>
      <c r="G42" t="s">
        <v>47</v>
      </c>
      <c r="H42" t="s">
        <v>1795</v>
      </c>
    </row>
    <row r="43" spans="1:25" ht="26.4" x14ac:dyDescent="0.25">
      <c r="B43" s="203" t="s">
        <v>188</v>
      </c>
      <c r="C43" s="212" t="s">
        <v>898</v>
      </c>
      <c r="D43" s="212" t="s">
        <v>1059</v>
      </c>
      <c r="G43" t="s">
        <v>50</v>
      </c>
      <c r="H43" t="s">
        <v>1796</v>
      </c>
    </row>
    <row r="44" spans="1:25" ht="105.6" x14ac:dyDescent="0.25">
      <c r="A44" s="253" t="s">
        <v>1812</v>
      </c>
      <c r="B44" s="207" t="s">
        <v>1060</v>
      </c>
      <c r="C44" s="86" t="s">
        <v>1810</v>
      </c>
      <c r="D44" s="86" t="s">
        <v>1822</v>
      </c>
      <c r="G44" t="s">
        <v>48</v>
      </c>
      <c r="H44" s="246" t="s">
        <v>1797</v>
      </c>
    </row>
    <row r="45" spans="1:25" ht="158.4" x14ac:dyDescent="0.25">
      <c r="A45" s="253" t="s">
        <v>1812</v>
      </c>
      <c r="B45" s="203" t="s">
        <v>98</v>
      </c>
      <c r="C45" s="77" t="s">
        <v>1811</v>
      </c>
      <c r="D45" s="77" t="s">
        <v>1823</v>
      </c>
      <c r="G45" t="s">
        <v>49</v>
      </c>
      <c r="H45" s="246" t="s">
        <v>1798</v>
      </c>
    </row>
    <row r="46" spans="1:25" x14ac:dyDescent="0.25">
      <c r="B46" s="206" t="s">
        <v>113</v>
      </c>
      <c r="C46" s="205" t="s">
        <v>114</v>
      </c>
      <c r="D46" s="205" t="s">
        <v>1061</v>
      </c>
      <c r="G46" t="s">
        <v>854</v>
      </c>
      <c r="H46" s="246" t="s">
        <v>1799</v>
      </c>
    </row>
    <row r="47" spans="1:25" x14ac:dyDescent="0.25">
      <c r="B47" s="207" t="s">
        <v>54</v>
      </c>
      <c r="C47" s="202" t="s">
        <v>115</v>
      </c>
      <c r="D47" s="202" t="s">
        <v>1062</v>
      </c>
      <c r="G47" t="s">
        <v>30</v>
      </c>
      <c r="H47" t="s">
        <v>1800</v>
      </c>
    </row>
    <row r="48" spans="1:25" ht="26.4" x14ac:dyDescent="0.25">
      <c r="B48" s="203" t="s">
        <v>58</v>
      </c>
      <c r="C48" s="149" t="s">
        <v>895</v>
      </c>
      <c r="D48" s="149" t="s">
        <v>1063</v>
      </c>
      <c r="G48" t="s">
        <v>31</v>
      </c>
      <c r="H48" t="s">
        <v>1801</v>
      </c>
    </row>
    <row r="49" spans="2:8" ht="26.4" x14ac:dyDescent="0.25">
      <c r="B49" s="541" t="s">
        <v>181</v>
      </c>
      <c r="C49" s="149" t="s">
        <v>116</v>
      </c>
      <c r="D49" s="149" t="s">
        <v>1064</v>
      </c>
      <c r="G49" t="s">
        <v>32</v>
      </c>
      <c r="H49" t="s">
        <v>1802</v>
      </c>
    </row>
    <row r="50" spans="2:8" ht="66" x14ac:dyDescent="0.25">
      <c r="B50" s="541"/>
      <c r="C50" s="52" t="s">
        <v>117</v>
      </c>
      <c r="D50" s="52" t="s">
        <v>1065</v>
      </c>
      <c r="G50" t="s">
        <v>59</v>
      </c>
      <c r="H50" t="s">
        <v>1803</v>
      </c>
    </row>
    <row r="51" spans="2:8" ht="52.8" x14ac:dyDescent="0.25">
      <c r="B51" s="541"/>
      <c r="C51" s="52" t="s">
        <v>865</v>
      </c>
      <c r="D51" s="52" t="s">
        <v>1066</v>
      </c>
      <c r="G51" t="s">
        <v>33</v>
      </c>
      <c r="H51" t="s">
        <v>1807</v>
      </c>
    </row>
    <row r="52" spans="2:8" ht="39.6" x14ac:dyDescent="0.25">
      <c r="B52" s="541"/>
      <c r="C52" s="52" t="s">
        <v>119</v>
      </c>
      <c r="D52" s="52" t="s">
        <v>1067</v>
      </c>
      <c r="G52" t="s">
        <v>34</v>
      </c>
      <c r="H52" t="s">
        <v>1806</v>
      </c>
    </row>
    <row r="53" spans="2:8" ht="39.6" x14ac:dyDescent="0.25">
      <c r="B53" s="541"/>
      <c r="C53" s="52" t="s">
        <v>896</v>
      </c>
      <c r="D53" s="52" t="s">
        <v>1068</v>
      </c>
      <c r="G53" t="s">
        <v>35</v>
      </c>
      <c r="H53" t="s">
        <v>1808</v>
      </c>
    </row>
    <row r="54" spans="2:8" ht="39.6" x14ac:dyDescent="0.25">
      <c r="B54" s="538" t="s">
        <v>246</v>
      </c>
      <c r="C54" s="149" t="s">
        <v>782</v>
      </c>
      <c r="D54" s="149" t="s">
        <v>1069</v>
      </c>
      <c r="G54" t="s">
        <v>36</v>
      </c>
      <c r="H54" t="s">
        <v>1804</v>
      </c>
    </row>
    <row r="55" spans="2:8" ht="79.2" x14ac:dyDescent="0.25">
      <c r="B55" s="539"/>
      <c r="C55" s="52" t="s">
        <v>783</v>
      </c>
      <c r="D55" s="52" t="s">
        <v>1070</v>
      </c>
      <c r="G55" t="s">
        <v>60</v>
      </c>
      <c r="H55" t="s">
        <v>1805</v>
      </c>
    </row>
    <row r="56" spans="2:8" ht="92.4" x14ac:dyDescent="0.25">
      <c r="B56" s="540"/>
      <c r="C56" s="52" t="s">
        <v>784</v>
      </c>
      <c r="D56" s="52" t="s">
        <v>1071</v>
      </c>
    </row>
    <row r="57" spans="2:8" ht="105.6" x14ac:dyDescent="0.25">
      <c r="B57" s="203" t="s">
        <v>250</v>
      </c>
      <c r="C57" s="52" t="s">
        <v>781</v>
      </c>
      <c r="D57" s="52" t="s">
        <v>1072</v>
      </c>
    </row>
    <row r="58" spans="2:8" ht="39.6" x14ac:dyDescent="0.25">
      <c r="B58" s="536" t="s">
        <v>121</v>
      </c>
      <c r="C58" s="52" t="s">
        <v>866</v>
      </c>
      <c r="D58" s="52" t="s">
        <v>1073</v>
      </c>
    </row>
    <row r="59" spans="2:8" ht="39.6" x14ac:dyDescent="0.25">
      <c r="B59" s="536"/>
      <c r="C59" s="52" t="s">
        <v>656</v>
      </c>
      <c r="D59" s="52" t="s">
        <v>1074</v>
      </c>
    </row>
    <row r="60" spans="2:8" ht="39.6" x14ac:dyDescent="0.25">
      <c r="B60" s="536"/>
      <c r="C60" s="52" t="s">
        <v>657</v>
      </c>
      <c r="D60" s="52" t="s">
        <v>1075</v>
      </c>
    </row>
    <row r="61" spans="2:8" x14ac:dyDescent="0.25">
      <c r="B61" s="207" t="s">
        <v>61</v>
      </c>
      <c r="C61" s="202" t="s">
        <v>122</v>
      </c>
      <c r="D61" s="202" t="s">
        <v>1076</v>
      </c>
    </row>
    <row r="62" spans="2:8" ht="39.6" x14ac:dyDescent="0.25">
      <c r="B62" s="203" t="s">
        <v>63</v>
      </c>
      <c r="C62" s="149" t="s">
        <v>123</v>
      </c>
      <c r="D62" s="149" t="s">
        <v>1077</v>
      </c>
    </row>
    <row r="63" spans="2:8" ht="26.4" x14ac:dyDescent="0.25">
      <c r="B63" s="207" t="s">
        <v>64</v>
      </c>
      <c r="C63" s="202" t="s">
        <v>124</v>
      </c>
      <c r="D63" s="202" t="s">
        <v>1078</v>
      </c>
    </row>
    <row r="64" spans="2:8" x14ac:dyDescent="0.25">
      <c r="B64" s="536" t="s">
        <v>66</v>
      </c>
      <c r="C64" s="149" t="s">
        <v>125</v>
      </c>
      <c r="D64" s="149" t="s">
        <v>1079</v>
      </c>
    </row>
    <row r="65" spans="2:4" ht="52.8" x14ac:dyDescent="0.25">
      <c r="B65" s="536"/>
      <c r="C65" s="52" t="s">
        <v>737</v>
      </c>
      <c r="D65" s="52" t="s">
        <v>1080</v>
      </c>
    </row>
    <row r="66" spans="2:4" ht="39.6" x14ac:dyDescent="0.25">
      <c r="B66" s="536"/>
      <c r="C66" s="52" t="s">
        <v>738</v>
      </c>
      <c r="D66" s="52" t="s">
        <v>1081</v>
      </c>
    </row>
    <row r="67" spans="2:4" ht="26.4" x14ac:dyDescent="0.25">
      <c r="B67" s="207" t="s">
        <v>1060</v>
      </c>
      <c r="C67" s="202" t="s">
        <v>128</v>
      </c>
      <c r="D67" s="202" t="s">
        <v>1082</v>
      </c>
    </row>
    <row r="68" spans="2:4" x14ac:dyDescent="0.25">
      <c r="B68" s="536" t="s">
        <v>98</v>
      </c>
      <c r="C68" s="149" t="s">
        <v>129</v>
      </c>
      <c r="D68" s="149" t="s">
        <v>1083</v>
      </c>
    </row>
    <row r="69" spans="2:4" ht="26.4" x14ac:dyDescent="0.25">
      <c r="B69" s="536"/>
      <c r="C69" s="52" t="s">
        <v>867</v>
      </c>
      <c r="D69" s="52" t="s">
        <v>1084</v>
      </c>
    </row>
    <row r="70" spans="2:4" x14ac:dyDescent="0.25">
      <c r="B70" s="206" t="s">
        <v>134</v>
      </c>
      <c r="C70" s="122" t="s">
        <v>135</v>
      </c>
      <c r="D70" s="122" t="s">
        <v>1090</v>
      </c>
    </row>
    <row r="71" spans="2:4" x14ac:dyDescent="0.25">
      <c r="B71" s="207" t="s">
        <v>54</v>
      </c>
      <c r="C71" s="155" t="s">
        <v>136</v>
      </c>
      <c r="D71" s="155" t="s">
        <v>1091</v>
      </c>
    </row>
    <row r="72" spans="2:4" ht="26.4" x14ac:dyDescent="0.25">
      <c r="B72" s="71" t="s">
        <v>58</v>
      </c>
      <c r="C72" s="132" t="s">
        <v>138</v>
      </c>
      <c r="D72" s="132" t="s">
        <v>1092</v>
      </c>
    </row>
    <row r="73" spans="2:4" x14ac:dyDescent="0.25">
      <c r="B73" s="207" t="s">
        <v>61</v>
      </c>
      <c r="C73" s="155" t="s">
        <v>137</v>
      </c>
      <c r="D73" s="155" t="s">
        <v>1093</v>
      </c>
    </row>
    <row r="74" spans="2:4" ht="26.4" x14ac:dyDescent="0.25">
      <c r="B74" s="71" t="s">
        <v>63</v>
      </c>
      <c r="C74" s="132" t="s">
        <v>139</v>
      </c>
      <c r="D74" s="132" t="s">
        <v>1094</v>
      </c>
    </row>
    <row r="75" spans="2:4" x14ac:dyDescent="0.25">
      <c r="B75" s="207" t="s">
        <v>64</v>
      </c>
      <c r="C75" s="155" t="s">
        <v>140</v>
      </c>
      <c r="D75" s="155" t="s">
        <v>1095</v>
      </c>
    </row>
    <row r="76" spans="2:4" x14ac:dyDescent="0.25">
      <c r="B76" s="398" t="s">
        <v>66</v>
      </c>
      <c r="C76" s="148" t="s">
        <v>739</v>
      </c>
      <c r="D76" s="148" t="s">
        <v>1096</v>
      </c>
    </row>
    <row r="77" spans="2:4" ht="211.2" x14ac:dyDescent="0.25">
      <c r="B77" s="414"/>
      <c r="C77" s="52" t="s">
        <v>878</v>
      </c>
      <c r="D77" s="52" t="s">
        <v>1097</v>
      </c>
    </row>
    <row r="78" spans="2:4" ht="132" x14ac:dyDescent="0.25">
      <c r="B78" s="141" t="s">
        <v>740</v>
      </c>
      <c r="C78" s="52" t="s">
        <v>879</v>
      </c>
      <c r="D78" s="52" t="s">
        <v>1098</v>
      </c>
    </row>
    <row r="79" spans="2:4" x14ac:dyDescent="0.25">
      <c r="B79" s="207" t="s">
        <v>1060</v>
      </c>
      <c r="C79" s="155" t="s">
        <v>141</v>
      </c>
      <c r="D79" s="155" t="s">
        <v>1099</v>
      </c>
    </row>
    <row r="80" spans="2:4" ht="26.4" x14ac:dyDescent="0.25">
      <c r="B80" s="71" t="s">
        <v>69</v>
      </c>
      <c r="C80" s="149" t="s">
        <v>142</v>
      </c>
      <c r="D80" s="149" t="s">
        <v>1100</v>
      </c>
    </row>
    <row r="81" spans="2:5" x14ac:dyDescent="0.25">
      <c r="B81" s="206" t="s">
        <v>143</v>
      </c>
      <c r="C81" s="122" t="s">
        <v>144</v>
      </c>
      <c r="D81" s="122" t="s">
        <v>1101</v>
      </c>
      <c r="E81" s="147"/>
    </row>
    <row r="82" spans="2:5" x14ac:dyDescent="0.25">
      <c r="B82" s="207" t="s">
        <v>54</v>
      </c>
      <c r="C82" s="202" t="s">
        <v>145</v>
      </c>
      <c r="D82" s="202" t="s">
        <v>1102</v>
      </c>
    </row>
    <row r="83" spans="2:5" ht="39.6" x14ac:dyDescent="0.25">
      <c r="B83" s="71" t="s">
        <v>58</v>
      </c>
      <c r="C83" s="149" t="s">
        <v>868</v>
      </c>
      <c r="D83" s="149" t="s">
        <v>1103</v>
      </c>
    </row>
    <row r="84" spans="2:5" ht="26.4" x14ac:dyDescent="0.25">
      <c r="B84" s="207" t="s">
        <v>61</v>
      </c>
      <c r="C84" s="202" t="s">
        <v>147</v>
      </c>
      <c r="D84" s="202" t="s">
        <v>1104</v>
      </c>
    </row>
    <row r="85" spans="2:5" ht="26.4" x14ac:dyDescent="0.25">
      <c r="B85" s="71" t="s">
        <v>63</v>
      </c>
      <c r="C85" s="149" t="s">
        <v>148</v>
      </c>
      <c r="D85" s="149" t="s">
        <v>1105</v>
      </c>
    </row>
    <row r="86" spans="2:5" x14ac:dyDescent="0.25">
      <c r="B86" s="207" t="s">
        <v>64</v>
      </c>
      <c r="C86" s="202" t="s">
        <v>149</v>
      </c>
      <c r="D86" s="202" t="s">
        <v>1106</v>
      </c>
    </row>
    <row r="87" spans="2:5" ht="26.4" x14ac:dyDescent="0.25">
      <c r="B87" s="71" t="s">
        <v>66</v>
      </c>
      <c r="C87" s="149" t="s">
        <v>705</v>
      </c>
      <c r="D87" s="149" t="s">
        <v>1107</v>
      </c>
    </row>
    <row r="88" spans="2:5" ht="113.4" customHeight="1" x14ac:dyDescent="0.25">
      <c r="B88" s="71" t="s">
        <v>188</v>
      </c>
      <c r="C88" s="52" t="s">
        <v>1109</v>
      </c>
      <c r="D88" s="52" t="s">
        <v>1108</v>
      </c>
    </row>
    <row r="89" spans="2:5" x14ac:dyDescent="0.25">
      <c r="B89" s="207" t="s">
        <v>67</v>
      </c>
      <c r="C89" s="202" t="s">
        <v>151</v>
      </c>
      <c r="D89" s="202" t="s">
        <v>1110</v>
      </c>
    </row>
    <row r="90" spans="2:5" x14ac:dyDescent="0.25">
      <c r="B90" s="361" t="s">
        <v>69</v>
      </c>
      <c r="C90" s="149" t="s">
        <v>151</v>
      </c>
      <c r="D90" s="149" t="s">
        <v>1110</v>
      </c>
    </row>
    <row r="91" spans="2:5" ht="26.4" x14ac:dyDescent="0.25">
      <c r="B91" s="361"/>
      <c r="C91" s="52" t="s">
        <v>870</v>
      </c>
      <c r="D91" s="52" t="s">
        <v>1111</v>
      </c>
    </row>
    <row r="92" spans="2:5" ht="26.4" x14ac:dyDescent="0.25">
      <c r="B92" s="361"/>
      <c r="C92" s="52" t="s">
        <v>871</v>
      </c>
      <c r="D92" s="52" t="s">
        <v>1112</v>
      </c>
    </row>
    <row r="93" spans="2:5" x14ac:dyDescent="0.25">
      <c r="B93" s="207" t="s">
        <v>154</v>
      </c>
      <c r="C93" s="202" t="s">
        <v>155</v>
      </c>
      <c r="D93" s="202" t="s">
        <v>1113</v>
      </c>
    </row>
    <row r="94" spans="2:5" ht="26.4" x14ac:dyDescent="0.25">
      <c r="B94" s="71" t="s">
        <v>156</v>
      </c>
      <c r="C94" s="52" t="s">
        <v>869</v>
      </c>
      <c r="D94" s="52" t="s">
        <v>1114</v>
      </c>
    </row>
    <row r="95" spans="2:5" x14ac:dyDescent="0.25">
      <c r="B95" s="207" t="s">
        <v>157</v>
      </c>
      <c r="C95" s="202" t="s">
        <v>158</v>
      </c>
      <c r="D95" s="202" t="s">
        <v>1115</v>
      </c>
    </row>
    <row r="96" spans="2:5" ht="26.4" x14ac:dyDescent="0.25">
      <c r="B96" s="71" t="s">
        <v>159</v>
      </c>
      <c r="C96" s="52" t="s">
        <v>894</v>
      </c>
      <c r="D96" s="149" t="s">
        <v>1116</v>
      </c>
    </row>
    <row r="97" spans="1:5" ht="27" thickBot="1" x14ac:dyDescent="0.3">
      <c r="B97" s="121" t="s">
        <v>160</v>
      </c>
      <c r="C97" s="58" t="s">
        <v>893</v>
      </c>
      <c r="D97" s="58" t="s">
        <v>1117</v>
      </c>
    </row>
    <row r="98" spans="1:5" x14ac:dyDescent="0.25">
      <c r="B98" s="206" t="s">
        <v>163</v>
      </c>
      <c r="C98" s="189" t="s">
        <v>164</v>
      </c>
      <c r="D98" s="189" t="s">
        <v>1118</v>
      </c>
      <c r="E98" s="216"/>
    </row>
    <row r="99" spans="1:5" x14ac:dyDescent="0.25">
      <c r="B99" s="207" t="s">
        <v>54</v>
      </c>
      <c r="C99" s="155" t="s">
        <v>165</v>
      </c>
      <c r="D99" s="155" t="s">
        <v>1119</v>
      </c>
    </row>
    <row r="100" spans="1:5" ht="39.6" x14ac:dyDescent="0.25">
      <c r="B100" s="398" t="s">
        <v>58</v>
      </c>
      <c r="C100" s="149" t="s">
        <v>166</v>
      </c>
      <c r="D100" s="149" t="s">
        <v>1120</v>
      </c>
    </row>
    <row r="101" spans="1:5" ht="105.6" x14ac:dyDescent="0.25">
      <c r="B101" s="414"/>
      <c r="C101" s="52" t="s">
        <v>872</v>
      </c>
      <c r="D101" s="52" t="s">
        <v>1122</v>
      </c>
    </row>
    <row r="102" spans="1:5" ht="66" x14ac:dyDescent="0.25">
      <c r="B102" s="399"/>
      <c r="C102" s="52" t="s">
        <v>741</v>
      </c>
      <c r="D102" s="52" t="s">
        <v>1121</v>
      </c>
    </row>
    <row r="103" spans="1:5" x14ac:dyDescent="0.25">
      <c r="B103" s="207" t="s">
        <v>61</v>
      </c>
      <c r="C103" s="155" t="s">
        <v>169</v>
      </c>
      <c r="D103" s="155" t="s">
        <v>1123</v>
      </c>
    </row>
    <row r="104" spans="1:5" ht="26.4" x14ac:dyDescent="0.25">
      <c r="B104" s="398" t="s">
        <v>63</v>
      </c>
      <c r="C104" s="149" t="s">
        <v>170</v>
      </c>
      <c r="D104" s="149" t="s">
        <v>1124</v>
      </c>
    </row>
    <row r="105" spans="1:5" ht="39.6" x14ac:dyDescent="0.25">
      <c r="B105" s="399"/>
      <c r="C105" s="133" t="s">
        <v>880</v>
      </c>
      <c r="D105" s="133" t="s">
        <v>1125</v>
      </c>
    </row>
    <row r="106" spans="1:5" ht="175.2" customHeight="1" x14ac:dyDescent="0.25">
      <c r="B106" s="141" t="s">
        <v>173</v>
      </c>
      <c r="C106" s="133" t="s">
        <v>1132</v>
      </c>
      <c r="D106" s="133" t="s">
        <v>1133</v>
      </c>
    </row>
    <row r="107" spans="1:5" ht="132" x14ac:dyDescent="0.25">
      <c r="A107" s="253" t="s">
        <v>1812</v>
      </c>
      <c r="B107" s="57" t="s">
        <v>173</v>
      </c>
      <c r="C107" s="52" t="s">
        <v>1813</v>
      </c>
      <c r="D107" s="52" t="s">
        <v>1824</v>
      </c>
    </row>
    <row r="108" spans="1:5" x14ac:dyDescent="0.25">
      <c r="B108" s="207" t="s">
        <v>64</v>
      </c>
      <c r="C108" s="155" t="s">
        <v>785</v>
      </c>
      <c r="D108" s="155" t="s">
        <v>1126</v>
      </c>
    </row>
    <row r="109" spans="1:5" x14ac:dyDescent="0.25">
      <c r="B109" s="71" t="s">
        <v>66</v>
      </c>
      <c r="C109" s="148" t="s">
        <v>786</v>
      </c>
      <c r="D109" s="148" t="s">
        <v>1127</v>
      </c>
    </row>
    <row r="110" spans="1:5" ht="39.6" x14ac:dyDescent="0.25">
      <c r="B110" s="71"/>
      <c r="C110" s="73" t="s">
        <v>902</v>
      </c>
      <c r="D110" s="73" t="s">
        <v>1128</v>
      </c>
    </row>
    <row r="111" spans="1:5" x14ac:dyDescent="0.25">
      <c r="B111" s="207" t="s">
        <v>67</v>
      </c>
      <c r="C111" s="155" t="s">
        <v>175</v>
      </c>
      <c r="D111" s="155" t="s">
        <v>1129</v>
      </c>
    </row>
    <row r="112" spans="1:5" ht="26.4" x14ac:dyDescent="0.25">
      <c r="B112" s="71" t="s">
        <v>69</v>
      </c>
      <c r="C112" s="149" t="s">
        <v>176</v>
      </c>
      <c r="D112" s="149" t="s">
        <v>1130</v>
      </c>
    </row>
    <row r="113" spans="2:4" ht="26.4" x14ac:dyDescent="0.25">
      <c r="B113" s="71" t="s">
        <v>78</v>
      </c>
      <c r="C113" s="149" t="s">
        <v>177</v>
      </c>
      <c r="D113" s="149" t="s">
        <v>1131</v>
      </c>
    </row>
    <row r="114" spans="2:4" x14ac:dyDescent="0.25">
      <c r="B114" s="206" t="s">
        <v>178</v>
      </c>
      <c r="C114" s="122" t="s">
        <v>179</v>
      </c>
      <c r="D114" s="122" t="s">
        <v>1134</v>
      </c>
    </row>
    <row r="115" spans="2:4" x14ac:dyDescent="0.25">
      <c r="B115" s="207" t="s">
        <v>54</v>
      </c>
      <c r="C115" s="155" t="s">
        <v>180</v>
      </c>
      <c r="D115" s="155" t="s">
        <v>1135</v>
      </c>
    </row>
    <row r="116" spans="2:4" x14ac:dyDescent="0.25">
      <c r="B116" s="398" t="s">
        <v>58</v>
      </c>
      <c r="C116" s="148" t="s">
        <v>180</v>
      </c>
      <c r="D116" s="148" t="s">
        <v>1135</v>
      </c>
    </row>
    <row r="117" spans="2:4" ht="26.4" x14ac:dyDescent="0.25">
      <c r="B117" s="414"/>
      <c r="C117" s="52" t="s">
        <v>873</v>
      </c>
      <c r="D117" s="52" t="s">
        <v>1136</v>
      </c>
    </row>
    <row r="118" spans="2:4" ht="39.6" x14ac:dyDescent="0.25">
      <c r="B118" s="414"/>
      <c r="C118" s="52" t="s">
        <v>874</v>
      </c>
      <c r="D118" s="52" t="s">
        <v>1137</v>
      </c>
    </row>
    <row r="119" spans="2:4" ht="39.6" x14ac:dyDescent="0.25">
      <c r="B119" s="399"/>
      <c r="C119" s="52" t="s">
        <v>875</v>
      </c>
      <c r="D119" s="52" t="s">
        <v>1138</v>
      </c>
    </row>
    <row r="120" spans="2:4" ht="39.6" x14ac:dyDescent="0.25">
      <c r="B120" s="71" t="s">
        <v>181</v>
      </c>
      <c r="C120" s="52" t="s">
        <v>908</v>
      </c>
      <c r="D120" s="52" t="s">
        <v>1139</v>
      </c>
    </row>
    <row r="121" spans="2:4" x14ac:dyDescent="0.25">
      <c r="B121" s="207" t="s">
        <v>61</v>
      </c>
      <c r="C121" s="155" t="s">
        <v>185</v>
      </c>
      <c r="D121" s="155" t="s">
        <v>1140</v>
      </c>
    </row>
    <row r="122" spans="2:4" ht="52.8" x14ac:dyDescent="0.25">
      <c r="B122" s="71" t="s">
        <v>63</v>
      </c>
      <c r="C122" s="52" t="s">
        <v>903</v>
      </c>
      <c r="D122" s="52" t="s">
        <v>1142</v>
      </c>
    </row>
    <row r="123" spans="2:4" ht="66" x14ac:dyDescent="0.25">
      <c r="B123" s="71" t="s">
        <v>186</v>
      </c>
      <c r="C123" s="52" t="s">
        <v>904</v>
      </c>
      <c r="D123" s="52" t="s">
        <v>1141</v>
      </c>
    </row>
    <row r="124" spans="2:4" x14ac:dyDescent="0.25">
      <c r="B124" s="207" t="s">
        <v>64</v>
      </c>
      <c r="C124" s="155" t="s">
        <v>187</v>
      </c>
      <c r="D124" s="155" t="s">
        <v>1143</v>
      </c>
    </row>
    <row r="125" spans="2:4" ht="26.4" x14ac:dyDescent="0.25">
      <c r="B125" s="71" t="s">
        <v>66</v>
      </c>
      <c r="C125" s="135" t="s">
        <v>905</v>
      </c>
      <c r="D125" s="135" t="s">
        <v>1144</v>
      </c>
    </row>
    <row r="126" spans="2:4" ht="26.4" x14ac:dyDescent="0.25">
      <c r="B126" s="71" t="s">
        <v>188</v>
      </c>
      <c r="C126" s="135" t="s">
        <v>906</v>
      </c>
      <c r="D126" s="135" t="s">
        <v>1145</v>
      </c>
    </row>
    <row r="127" spans="2:4" ht="132" x14ac:dyDescent="0.25">
      <c r="B127" s="71" t="s">
        <v>150</v>
      </c>
      <c r="C127" s="52" t="s">
        <v>907</v>
      </c>
      <c r="D127" s="52" t="s">
        <v>1146</v>
      </c>
    </row>
    <row r="128" spans="2:4" x14ac:dyDescent="0.25">
      <c r="B128" s="398" t="s">
        <v>377</v>
      </c>
      <c r="C128" s="149" t="s">
        <v>707</v>
      </c>
      <c r="D128" s="149" t="s">
        <v>1147</v>
      </c>
    </row>
    <row r="129" spans="2:5" ht="39.6" x14ac:dyDescent="0.25">
      <c r="B129" s="414"/>
      <c r="C129" s="52" t="s">
        <v>708</v>
      </c>
      <c r="D129" s="52" t="s">
        <v>1148</v>
      </c>
    </row>
    <row r="130" spans="2:5" ht="39.6" x14ac:dyDescent="0.25">
      <c r="B130" s="414"/>
      <c r="C130" s="52" t="s">
        <v>709</v>
      </c>
      <c r="D130" s="52" t="s">
        <v>1149</v>
      </c>
    </row>
    <row r="131" spans="2:5" ht="39.6" x14ac:dyDescent="0.25">
      <c r="B131" s="399"/>
      <c r="C131" s="52" t="s">
        <v>876</v>
      </c>
      <c r="D131" s="52" t="s">
        <v>1150</v>
      </c>
    </row>
    <row r="132" spans="2:5" ht="39.6" x14ac:dyDescent="0.25">
      <c r="B132" s="71" t="s">
        <v>189</v>
      </c>
      <c r="C132" s="52" t="s">
        <v>1152</v>
      </c>
      <c r="D132" s="52" t="s">
        <v>1151</v>
      </c>
    </row>
    <row r="133" spans="2:5" ht="26.4" x14ac:dyDescent="0.25">
      <c r="B133" s="361" t="s">
        <v>190</v>
      </c>
      <c r="C133" s="149" t="s">
        <v>742</v>
      </c>
      <c r="D133" s="149" t="s">
        <v>1153</v>
      </c>
    </row>
    <row r="134" spans="2:5" ht="92.4" x14ac:dyDescent="0.25">
      <c r="B134" s="361"/>
      <c r="C134" s="52" t="s">
        <v>743</v>
      </c>
      <c r="D134" s="52" t="s">
        <v>1154</v>
      </c>
    </row>
    <row r="135" spans="2:5" x14ac:dyDescent="0.25">
      <c r="B135" s="207" t="s">
        <v>67</v>
      </c>
      <c r="C135" s="155" t="s">
        <v>196</v>
      </c>
      <c r="D135" s="155" t="s">
        <v>1155</v>
      </c>
    </row>
    <row r="136" spans="2:5" x14ac:dyDescent="0.25">
      <c r="B136" s="361" t="s">
        <v>69</v>
      </c>
      <c r="C136" s="149" t="s">
        <v>197</v>
      </c>
      <c r="D136" s="149" t="s">
        <v>1156</v>
      </c>
    </row>
    <row r="137" spans="2:5" ht="105.6" x14ac:dyDescent="0.25">
      <c r="B137" s="361"/>
      <c r="C137" s="52" t="s">
        <v>198</v>
      </c>
      <c r="D137" s="52" t="s">
        <v>1157</v>
      </c>
    </row>
    <row r="138" spans="2:5" ht="66" x14ac:dyDescent="0.25">
      <c r="B138" s="361"/>
      <c r="C138" s="52" t="s">
        <v>199</v>
      </c>
      <c r="D138" s="52" t="s">
        <v>1158</v>
      </c>
    </row>
    <row r="139" spans="2:5" ht="39.6" x14ac:dyDescent="0.25">
      <c r="B139" s="361"/>
      <c r="C139" s="52" t="s">
        <v>200</v>
      </c>
      <c r="D139" s="52" t="s">
        <v>1159</v>
      </c>
    </row>
    <row r="140" spans="2:5" ht="118.8" x14ac:dyDescent="0.25">
      <c r="B140" s="71" t="s">
        <v>78</v>
      </c>
      <c r="C140" s="52" t="s">
        <v>877</v>
      </c>
      <c r="D140" s="52" t="s">
        <v>1160</v>
      </c>
    </row>
    <row r="141" spans="2:5" x14ac:dyDescent="0.25">
      <c r="B141" s="206" t="s">
        <v>201</v>
      </c>
      <c r="C141" s="122" t="s">
        <v>202</v>
      </c>
      <c r="D141" s="122" t="s">
        <v>1088</v>
      </c>
      <c r="E141" s="147"/>
    </row>
    <row r="142" spans="2:5" x14ac:dyDescent="0.25">
      <c r="B142" s="207" t="s">
        <v>54</v>
      </c>
      <c r="C142" s="155" t="s">
        <v>203</v>
      </c>
      <c r="D142" s="155" t="s">
        <v>1089</v>
      </c>
    </row>
    <row r="143" spans="2:5" ht="26.4" x14ac:dyDescent="0.25">
      <c r="B143" s="71" t="s">
        <v>58</v>
      </c>
      <c r="C143" s="132" t="s">
        <v>744</v>
      </c>
      <c r="D143" s="132" t="s">
        <v>1163</v>
      </c>
    </row>
    <row r="144" spans="2:5" x14ac:dyDescent="0.25">
      <c r="B144" s="71" t="s">
        <v>181</v>
      </c>
      <c r="C144" s="132" t="s">
        <v>787</v>
      </c>
      <c r="D144" s="132" t="s">
        <v>1164</v>
      </c>
    </row>
    <row r="145" spans="2:4" x14ac:dyDescent="0.25">
      <c r="B145" s="207" t="s">
        <v>61</v>
      </c>
      <c r="C145" s="155" t="s">
        <v>204</v>
      </c>
      <c r="D145" s="155" t="s">
        <v>1161</v>
      </c>
    </row>
    <row r="146" spans="2:4" ht="26.4" x14ac:dyDescent="0.25">
      <c r="B146" s="71" t="s">
        <v>63</v>
      </c>
      <c r="C146" s="132" t="s">
        <v>206</v>
      </c>
      <c r="D146" s="132" t="s">
        <v>1162</v>
      </c>
    </row>
    <row r="147" spans="2:4" x14ac:dyDescent="0.25">
      <c r="B147" s="206" t="s">
        <v>207</v>
      </c>
      <c r="C147" s="122" t="s">
        <v>208</v>
      </c>
      <c r="D147" s="122" t="s">
        <v>1165</v>
      </c>
    </row>
    <row r="148" spans="2:4" x14ac:dyDescent="0.25">
      <c r="B148" s="207" t="s">
        <v>54</v>
      </c>
      <c r="C148" s="155" t="s">
        <v>209</v>
      </c>
      <c r="D148" s="155" t="s">
        <v>1166</v>
      </c>
    </row>
    <row r="149" spans="2:4" ht="26.4" x14ac:dyDescent="0.25">
      <c r="B149" s="71" t="s">
        <v>58</v>
      </c>
      <c r="C149" s="52" t="s">
        <v>210</v>
      </c>
      <c r="D149" s="52" t="s">
        <v>1167</v>
      </c>
    </row>
    <row r="150" spans="2:4" x14ac:dyDescent="0.25">
      <c r="B150" s="207" t="s">
        <v>61</v>
      </c>
      <c r="C150" s="155" t="s">
        <v>211</v>
      </c>
      <c r="D150" s="155" t="s">
        <v>1168</v>
      </c>
    </row>
    <row r="151" spans="2:4" ht="26.4" x14ac:dyDescent="0.25">
      <c r="B151" s="71" t="s">
        <v>63</v>
      </c>
      <c r="C151" s="52" t="s">
        <v>212</v>
      </c>
      <c r="D151" s="52" t="s">
        <v>1169</v>
      </c>
    </row>
    <row r="152" spans="2:4" x14ac:dyDescent="0.25">
      <c r="B152" s="207" t="s">
        <v>64</v>
      </c>
      <c r="C152" s="155" t="s">
        <v>711</v>
      </c>
      <c r="D152" s="155" t="s">
        <v>1170</v>
      </c>
    </row>
    <row r="153" spans="2:4" ht="171.6" x14ac:dyDescent="0.25">
      <c r="B153" s="71" t="s">
        <v>66</v>
      </c>
      <c r="C153" s="135" t="s">
        <v>920</v>
      </c>
      <c r="D153" s="135" t="s">
        <v>1187</v>
      </c>
    </row>
    <row r="154" spans="2:4" x14ac:dyDescent="0.25">
      <c r="B154" s="207" t="s">
        <v>67</v>
      </c>
      <c r="C154" s="155" t="s">
        <v>213</v>
      </c>
      <c r="D154" s="155" t="s">
        <v>1171</v>
      </c>
    </row>
    <row r="155" spans="2:4" ht="158.4" x14ac:dyDescent="0.25">
      <c r="B155" s="71" t="s">
        <v>69</v>
      </c>
      <c r="C155" s="135" t="s">
        <v>916</v>
      </c>
      <c r="D155" s="135" t="s">
        <v>1172</v>
      </c>
    </row>
    <row r="156" spans="2:4" ht="105.6" x14ac:dyDescent="0.25">
      <c r="B156" s="71" t="s">
        <v>78</v>
      </c>
      <c r="C156" s="135" t="s">
        <v>917</v>
      </c>
      <c r="D156" s="135" t="s">
        <v>1173</v>
      </c>
    </row>
    <row r="157" spans="2:4" ht="66" x14ac:dyDescent="0.25">
      <c r="B157" s="71" t="s">
        <v>214</v>
      </c>
      <c r="C157" s="135" t="s">
        <v>918</v>
      </c>
      <c r="D157" s="135" t="s">
        <v>1174</v>
      </c>
    </row>
    <row r="158" spans="2:4" ht="118.8" x14ac:dyDescent="0.25">
      <c r="B158" s="71" t="s">
        <v>215</v>
      </c>
      <c r="C158" s="135" t="s">
        <v>919</v>
      </c>
      <c r="D158" s="135" t="s">
        <v>1175</v>
      </c>
    </row>
    <row r="159" spans="2:4" x14ac:dyDescent="0.25">
      <c r="B159" s="207" t="s">
        <v>154</v>
      </c>
      <c r="C159" s="155" t="s">
        <v>216</v>
      </c>
      <c r="D159" s="155" t="s">
        <v>1176</v>
      </c>
    </row>
    <row r="160" spans="2:4" ht="105.6" x14ac:dyDescent="0.25">
      <c r="B160" s="71" t="s">
        <v>156</v>
      </c>
      <c r="C160" s="135" t="s">
        <v>913</v>
      </c>
      <c r="D160" s="135" t="s">
        <v>1177</v>
      </c>
    </row>
    <row r="161" spans="2:5" ht="26.4" x14ac:dyDescent="0.25">
      <c r="B161" s="71" t="s">
        <v>218</v>
      </c>
      <c r="C161" s="135" t="s">
        <v>909</v>
      </c>
      <c r="D161" s="135" t="s">
        <v>1178</v>
      </c>
    </row>
    <row r="162" spans="2:5" ht="26.4" x14ac:dyDescent="0.25">
      <c r="B162" s="71" t="s">
        <v>219</v>
      </c>
      <c r="C162" s="135" t="s">
        <v>910</v>
      </c>
      <c r="D162" s="135" t="s">
        <v>1179</v>
      </c>
    </row>
    <row r="163" spans="2:5" ht="26.4" x14ac:dyDescent="0.25">
      <c r="B163" s="71" t="s">
        <v>220</v>
      </c>
      <c r="C163" s="135" t="s">
        <v>911</v>
      </c>
      <c r="D163" s="135" t="s">
        <v>1180</v>
      </c>
    </row>
    <row r="164" spans="2:5" ht="26.4" x14ac:dyDescent="0.25">
      <c r="B164" s="71" t="s">
        <v>221</v>
      </c>
      <c r="C164" s="135" t="s">
        <v>912</v>
      </c>
      <c r="D164" s="135" t="s">
        <v>1181</v>
      </c>
    </row>
    <row r="165" spans="2:5" x14ac:dyDescent="0.25">
      <c r="B165" s="207" t="s">
        <v>157</v>
      </c>
      <c r="C165" s="155" t="s">
        <v>226</v>
      </c>
      <c r="D165" s="155" t="s">
        <v>1182</v>
      </c>
    </row>
    <row r="166" spans="2:5" ht="66" x14ac:dyDescent="0.25">
      <c r="B166" s="71" t="s">
        <v>159</v>
      </c>
      <c r="C166" s="135" t="s">
        <v>914</v>
      </c>
      <c r="D166" s="135" t="s">
        <v>1183</v>
      </c>
    </row>
    <row r="167" spans="2:5" ht="79.2" x14ac:dyDescent="0.25">
      <c r="B167" s="71" t="s">
        <v>160</v>
      </c>
      <c r="C167" s="135" t="s">
        <v>915</v>
      </c>
      <c r="D167" s="135" t="s">
        <v>1184</v>
      </c>
    </row>
    <row r="168" spans="2:5" x14ac:dyDescent="0.25">
      <c r="B168" s="207" t="s">
        <v>282</v>
      </c>
      <c r="C168" s="155" t="s">
        <v>788</v>
      </c>
      <c r="D168" s="155" t="s">
        <v>1185</v>
      </c>
    </row>
    <row r="169" spans="2:5" ht="132" x14ac:dyDescent="0.25">
      <c r="B169" s="71" t="s">
        <v>284</v>
      </c>
      <c r="C169" s="135" t="s">
        <v>921</v>
      </c>
      <c r="D169" s="135" t="s">
        <v>1186</v>
      </c>
    </row>
    <row r="170" spans="2:5" x14ac:dyDescent="0.25">
      <c r="B170" s="206" t="s">
        <v>789</v>
      </c>
      <c r="C170" s="218" t="s">
        <v>100</v>
      </c>
      <c r="D170" s="218" t="s">
        <v>1197</v>
      </c>
      <c r="E170" s="219"/>
    </row>
    <row r="171" spans="2:5" x14ac:dyDescent="0.25">
      <c r="B171">
        <v>1</v>
      </c>
      <c r="C171" t="s">
        <v>1188</v>
      </c>
      <c r="D171" t="s">
        <v>1198</v>
      </c>
    </row>
    <row r="172" spans="2:5" x14ac:dyDescent="0.25">
      <c r="B172">
        <v>2</v>
      </c>
      <c r="C172" t="s">
        <v>1191</v>
      </c>
      <c r="D172" t="s">
        <v>1199</v>
      </c>
    </row>
    <row r="173" spans="2:5" x14ac:dyDescent="0.25">
      <c r="B173">
        <v>3</v>
      </c>
      <c r="C173" t="s">
        <v>1189</v>
      </c>
      <c r="D173" t="s">
        <v>1200</v>
      </c>
    </row>
    <row r="174" spans="2:5" x14ac:dyDescent="0.25">
      <c r="B174">
        <v>4</v>
      </c>
      <c r="C174" t="s">
        <v>1192</v>
      </c>
      <c r="D174" t="s">
        <v>1201</v>
      </c>
    </row>
    <row r="175" spans="2:5" x14ac:dyDescent="0.25">
      <c r="B175">
        <v>5</v>
      </c>
      <c r="C175" t="s">
        <v>1193</v>
      </c>
      <c r="D175" t="s">
        <v>1202</v>
      </c>
    </row>
    <row r="176" spans="2:5" x14ac:dyDescent="0.25">
      <c r="B176">
        <v>6</v>
      </c>
      <c r="C176" t="s">
        <v>1194</v>
      </c>
      <c r="D176" t="s">
        <v>1203</v>
      </c>
    </row>
    <row r="177" spans="1:6" x14ac:dyDescent="0.25">
      <c r="B177">
        <v>7</v>
      </c>
      <c r="C177" t="s">
        <v>1195</v>
      </c>
      <c r="D177" t="s">
        <v>1204</v>
      </c>
    </row>
    <row r="178" spans="1:6" x14ac:dyDescent="0.25">
      <c r="B178">
        <v>8</v>
      </c>
      <c r="C178" t="s">
        <v>1196</v>
      </c>
      <c r="D178" t="s">
        <v>1205</v>
      </c>
    </row>
    <row r="179" spans="1:6" x14ac:dyDescent="0.25">
      <c r="B179">
        <v>9</v>
      </c>
      <c r="C179" t="s">
        <v>1207</v>
      </c>
      <c r="D179" t="s">
        <v>1206</v>
      </c>
    </row>
    <row r="180" spans="1:6" x14ac:dyDescent="0.25">
      <c r="B180">
        <v>10</v>
      </c>
      <c r="C180" t="s">
        <v>1209</v>
      </c>
      <c r="D180" t="s">
        <v>1208</v>
      </c>
    </row>
    <row r="181" spans="1:6" x14ac:dyDescent="0.25">
      <c r="B181">
        <v>11</v>
      </c>
      <c r="C181" t="s">
        <v>1190</v>
      </c>
      <c r="D181" t="s">
        <v>1210</v>
      </c>
    </row>
    <row r="182" spans="1:6" ht="132" x14ac:dyDescent="0.25">
      <c r="A182" s="253" t="s">
        <v>1812</v>
      </c>
      <c r="B182">
        <v>12</v>
      </c>
      <c r="C182" t="s">
        <v>108</v>
      </c>
      <c r="D182" t="s">
        <v>108</v>
      </c>
      <c r="E182" s="214" t="s">
        <v>1815</v>
      </c>
      <c r="F182" s="214" t="s">
        <v>1821</v>
      </c>
    </row>
    <row r="183" spans="1:6" x14ac:dyDescent="0.25">
      <c r="B183" s="206" t="s">
        <v>628</v>
      </c>
      <c r="C183" s="218" t="s">
        <v>639</v>
      </c>
      <c r="D183" s="218" t="s">
        <v>1211</v>
      </c>
    </row>
    <row r="184" spans="1:6" x14ac:dyDescent="0.25">
      <c r="B184">
        <v>1</v>
      </c>
      <c r="C184" s="155" t="s">
        <v>640</v>
      </c>
      <c r="D184" s="155" t="s">
        <v>1212</v>
      </c>
    </row>
    <row r="185" spans="1:6" ht="26.4" x14ac:dyDescent="0.25">
      <c r="B185" s="71" t="s">
        <v>58</v>
      </c>
      <c r="C185" s="135" t="s">
        <v>923</v>
      </c>
      <c r="D185" s="135" t="s">
        <v>1213</v>
      </c>
    </row>
    <row r="186" spans="1:6" ht="79.2" x14ac:dyDescent="0.25">
      <c r="B186" s="71" t="s">
        <v>181</v>
      </c>
      <c r="C186" s="135" t="s">
        <v>924</v>
      </c>
      <c r="D186" s="135" t="s">
        <v>1214</v>
      </c>
    </row>
    <row r="187" spans="1:6" ht="145.19999999999999" x14ac:dyDescent="0.25">
      <c r="B187" s="71" t="s">
        <v>246</v>
      </c>
      <c r="C187" s="135" t="s">
        <v>925</v>
      </c>
      <c r="D187" s="135" t="s">
        <v>1215</v>
      </c>
    </row>
    <row r="188" spans="1:6" ht="105.6" x14ac:dyDescent="0.25">
      <c r="B188" s="71" t="s">
        <v>250</v>
      </c>
      <c r="C188" s="135" t="s">
        <v>926</v>
      </c>
      <c r="D188" s="135" t="s">
        <v>1216</v>
      </c>
    </row>
    <row r="189" spans="1:6" ht="52.8" x14ac:dyDescent="0.25">
      <c r="B189" s="71" t="s">
        <v>121</v>
      </c>
      <c r="C189" s="135" t="s">
        <v>927</v>
      </c>
      <c r="D189" s="135" t="s">
        <v>1217</v>
      </c>
    </row>
    <row r="190" spans="1:6" x14ac:dyDescent="0.25">
      <c r="B190">
        <v>2</v>
      </c>
      <c r="C190" s="155" t="s">
        <v>641</v>
      </c>
      <c r="D190" s="155" t="s">
        <v>1218</v>
      </c>
    </row>
    <row r="191" spans="1:6" ht="184.8" x14ac:dyDescent="0.25">
      <c r="B191" s="71" t="s">
        <v>63</v>
      </c>
      <c r="C191" s="135" t="s">
        <v>922</v>
      </c>
      <c r="D191" s="135" t="s">
        <v>1220</v>
      </c>
    </row>
    <row r="192" spans="1:6" x14ac:dyDescent="0.25">
      <c r="B192">
        <v>3</v>
      </c>
      <c r="C192" s="155" t="s">
        <v>642</v>
      </c>
      <c r="D192" s="155" t="s">
        <v>1219</v>
      </c>
    </row>
    <row r="193" spans="2:4" ht="171.6" x14ac:dyDescent="0.25">
      <c r="B193" s="71" t="s">
        <v>66</v>
      </c>
      <c r="C193" s="135" t="s">
        <v>1222</v>
      </c>
      <c r="D193" s="135" t="s">
        <v>1221</v>
      </c>
    </row>
    <row r="194" spans="2:4" x14ac:dyDescent="0.25">
      <c r="B194" s="206" t="s">
        <v>237</v>
      </c>
      <c r="C194" s="218" t="s">
        <v>238</v>
      </c>
      <c r="D194" s="218" t="s">
        <v>1223</v>
      </c>
    </row>
    <row r="195" spans="2:4" x14ac:dyDescent="0.25">
      <c r="B195" s="207" t="s">
        <v>54</v>
      </c>
      <c r="C195" s="155" t="s">
        <v>239</v>
      </c>
      <c r="D195" s="155" t="s">
        <v>1224</v>
      </c>
    </row>
    <row r="196" spans="2:4" x14ac:dyDescent="0.25">
      <c r="B196" s="361" t="s">
        <v>58</v>
      </c>
      <c r="C196" s="148" t="s">
        <v>240</v>
      </c>
      <c r="D196" s="148" t="s">
        <v>1225</v>
      </c>
    </row>
    <row r="197" spans="2:4" ht="26.4" x14ac:dyDescent="0.25">
      <c r="B197" s="361"/>
      <c r="C197" s="52" t="s">
        <v>881</v>
      </c>
      <c r="D197" s="52" t="s">
        <v>1227</v>
      </c>
    </row>
    <row r="198" spans="2:4" ht="79.2" x14ac:dyDescent="0.25">
      <c r="B198" s="361"/>
      <c r="C198" s="52" t="s">
        <v>242</v>
      </c>
      <c r="D198" s="52" t="s">
        <v>1229</v>
      </c>
    </row>
    <row r="199" spans="2:4" x14ac:dyDescent="0.25">
      <c r="B199" s="361" t="s">
        <v>88</v>
      </c>
      <c r="C199" s="148" t="s">
        <v>243</v>
      </c>
      <c r="D199" s="148" t="s">
        <v>1226</v>
      </c>
    </row>
    <row r="200" spans="2:4" ht="26.4" x14ac:dyDescent="0.25">
      <c r="B200" s="361"/>
      <c r="C200" s="52" t="s">
        <v>881</v>
      </c>
      <c r="D200" s="52" t="s">
        <v>1228</v>
      </c>
    </row>
    <row r="201" spans="2:4" ht="79.2" x14ac:dyDescent="0.25">
      <c r="B201" s="361"/>
      <c r="C201" s="52" t="s">
        <v>245</v>
      </c>
      <c r="D201" s="52" t="s">
        <v>1230</v>
      </c>
    </row>
    <row r="202" spans="2:4" ht="26.4" x14ac:dyDescent="0.25">
      <c r="B202" s="361" t="s">
        <v>246</v>
      </c>
      <c r="C202" s="149" t="s">
        <v>247</v>
      </c>
      <c r="D202" s="149" t="s">
        <v>1231</v>
      </c>
    </row>
    <row r="203" spans="2:4" ht="26.4" x14ac:dyDescent="0.25">
      <c r="B203" s="361"/>
      <c r="C203" s="52" t="s">
        <v>881</v>
      </c>
      <c r="D203" s="52" t="s">
        <v>1232</v>
      </c>
    </row>
    <row r="204" spans="2:4" ht="79.2" x14ac:dyDescent="0.25">
      <c r="B204" s="361"/>
      <c r="C204" s="52" t="s">
        <v>249</v>
      </c>
      <c r="D204" s="52" t="s">
        <v>1233</v>
      </c>
    </row>
    <row r="205" spans="2:4" ht="39.6" x14ac:dyDescent="0.25">
      <c r="B205" s="361" t="s">
        <v>250</v>
      </c>
      <c r="C205" s="149" t="s">
        <v>251</v>
      </c>
      <c r="D205" s="149" t="s">
        <v>1234</v>
      </c>
    </row>
    <row r="206" spans="2:4" ht="39.6" x14ac:dyDescent="0.25">
      <c r="B206" s="361"/>
      <c r="C206" s="52" t="s">
        <v>881</v>
      </c>
      <c r="D206" s="52" t="s">
        <v>1235</v>
      </c>
    </row>
    <row r="207" spans="2:4" ht="92.4" x14ac:dyDescent="0.25">
      <c r="B207" s="361"/>
      <c r="C207" s="52" t="s">
        <v>253</v>
      </c>
      <c r="D207" s="52" t="s">
        <v>1236</v>
      </c>
    </row>
    <row r="208" spans="2:4" x14ac:dyDescent="0.25">
      <c r="B208" s="207" t="s">
        <v>61</v>
      </c>
      <c r="C208" s="155" t="s">
        <v>254</v>
      </c>
      <c r="D208" s="155" t="s">
        <v>1237</v>
      </c>
    </row>
    <row r="209" spans="2:4" ht="26.4" x14ac:dyDescent="0.25">
      <c r="B209" s="71" t="s">
        <v>63</v>
      </c>
      <c r="C209" s="135" t="s">
        <v>928</v>
      </c>
      <c r="D209" s="135" t="s">
        <v>1238</v>
      </c>
    </row>
    <row r="210" spans="2:4" ht="26.4" x14ac:dyDescent="0.25">
      <c r="B210" s="71" t="s">
        <v>186</v>
      </c>
      <c r="C210" s="135" t="s">
        <v>929</v>
      </c>
      <c r="D210" s="135" t="s">
        <v>1239</v>
      </c>
    </row>
    <row r="211" spans="2:4" ht="26.4" x14ac:dyDescent="0.25">
      <c r="B211" s="71" t="s">
        <v>255</v>
      </c>
      <c r="C211" s="149" t="s">
        <v>882</v>
      </c>
      <c r="D211" s="149" t="s">
        <v>1240</v>
      </c>
    </row>
    <row r="212" spans="2:4" ht="26.4" x14ac:dyDescent="0.25">
      <c r="B212" s="71" t="s">
        <v>256</v>
      </c>
      <c r="C212" s="135" t="s">
        <v>930</v>
      </c>
      <c r="D212" s="135" t="s">
        <v>930</v>
      </c>
    </row>
    <row r="213" spans="2:4" ht="26.4" x14ac:dyDescent="0.25">
      <c r="B213" s="71" t="s">
        <v>257</v>
      </c>
      <c r="C213" s="135" t="s">
        <v>931</v>
      </c>
      <c r="D213" s="149" t="s">
        <v>1241</v>
      </c>
    </row>
    <row r="214" spans="2:4" ht="26.4" x14ac:dyDescent="0.25">
      <c r="B214" s="71" t="s">
        <v>258</v>
      </c>
      <c r="C214" s="149" t="s">
        <v>883</v>
      </c>
      <c r="D214" s="149" t="s">
        <v>1242</v>
      </c>
    </row>
    <row r="215" spans="2:4" ht="26.4" x14ac:dyDescent="0.25">
      <c r="B215" s="71" t="s">
        <v>259</v>
      </c>
      <c r="C215" s="135" t="s">
        <v>932</v>
      </c>
      <c r="D215" s="135" t="s">
        <v>1243</v>
      </c>
    </row>
    <row r="216" spans="2:4" ht="26.4" x14ac:dyDescent="0.25">
      <c r="B216" s="71" t="s">
        <v>366</v>
      </c>
      <c r="C216" s="135" t="s">
        <v>933</v>
      </c>
      <c r="D216" s="135" t="s">
        <v>1244</v>
      </c>
    </row>
    <row r="217" spans="2:4" ht="28.8" x14ac:dyDescent="0.25">
      <c r="B217" s="207" t="s">
        <v>64</v>
      </c>
      <c r="C217" s="221" t="s">
        <v>1255</v>
      </c>
      <c r="D217" s="221" t="s">
        <v>1254</v>
      </c>
    </row>
    <row r="218" spans="2:4" ht="26.4" x14ac:dyDescent="0.25">
      <c r="B218" s="71" t="s">
        <v>66</v>
      </c>
      <c r="C218" s="132" t="s">
        <v>268</v>
      </c>
      <c r="D218" s="132" t="s">
        <v>1245</v>
      </c>
    </row>
    <row r="219" spans="2:4" ht="92.4" customHeight="1" x14ac:dyDescent="0.25">
      <c r="B219" s="207" t="s">
        <v>67</v>
      </c>
      <c r="C219" s="202" t="s">
        <v>260</v>
      </c>
      <c r="D219" s="202" t="s">
        <v>1246</v>
      </c>
    </row>
    <row r="220" spans="2:4" ht="26.4" x14ac:dyDescent="0.25">
      <c r="B220" s="71" t="s">
        <v>69</v>
      </c>
      <c r="C220" s="132" t="s">
        <v>268</v>
      </c>
      <c r="D220" s="132" t="s">
        <v>1247</v>
      </c>
    </row>
    <row r="221" spans="2:4" ht="39.6" x14ac:dyDescent="0.25">
      <c r="B221" s="207" t="s">
        <v>154</v>
      </c>
      <c r="C221" s="202" t="s">
        <v>1256</v>
      </c>
      <c r="D221" s="202" t="s">
        <v>1257</v>
      </c>
    </row>
    <row r="222" spans="2:4" x14ac:dyDescent="0.25">
      <c r="B222" s="71" t="s">
        <v>156</v>
      </c>
      <c r="C222" s="159" t="s">
        <v>746</v>
      </c>
      <c r="D222" s="159" t="s">
        <v>1248</v>
      </c>
    </row>
    <row r="223" spans="2:4" x14ac:dyDescent="0.25">
      <c r="B223" s="71" t="s">
        <v>218</v>
      </c>
      <c r="C223" s="159" t="s">
        <v>790</v>
      </c>
      <c r="D223" s="159" t="s">
        <v>1249</v>
      </c>
    </row>
    <row r="224" spans="2:4" x14ac:dyDescent="0.25">
      <c r="B224" s="207" t="s">
        <v>157</v>
      </c>
      <c r="C224" s="155" t="s">
        <v>715</v>
      </c>
      <c r="D224" s="155" t="s">
        <v>715</v>
      </c>
    </row>
    <row r="225" spans="2:4" ht="26.4" x14ac:dyDescent="0.25">
      <c r="B225" s="71" t="s">
        <v>159</v>
      </c>
      <c r="C225" s="149" t="s">
        <v>884</v>
      </c>
      <c r="D225" s="149" t="s">
        <v>1250</v>
      </c>
    </row>
    <row r="226" spans="2:4" x14ac:dyDescent="0.25">
      <c r="B226" s="207" t="s">
        <v>282</v>
      </c>
      <c r="C226" s="155" t="s">
        <v>791</v>
      </c>
      <c r="D226" s="155" t="s">
        <v>1251</v>
      </c>
    </row>
    <row r="227" spans="2:4" ht="39.6" x14ac:dyDescent="0.25">
      <c r="B227" s="71" t="s">
        <v>284</v>
      </c>
      <c r="C227" s="149" t="s">
        <v>1253</v>
      </c>
      <c r="D227" s="149" t="s">
        <v>1252</v>
      </c>
    </row>
    <row r="228" spans="2:4" x14ac:dyDescent="0.25">
      <c r="B228" s="206" t="s">
        <v>792</v>
      </c>
      <c r="C228" s="122" t="s">
        <v>793</v>
      </c>
      <c r="D228" s="147" t="s">
        <v>1258</v>
      </c>
    </row>
    <row r="229" spans="2:4" x14ac:dyDescent="0.25">
      <c r="B229" s="207" t="s">
        <v>54</v>
      </c>
      <c r="C229" s="155" t="s">
        <v>935</v>
      </c>
      <c r="D229" s="155" t="s">
        <v>1259</v>
      </c>
    </row>
    <row r="230" spans="2:4" ht="26.4" x14ac:dyDescent="0.25">
      <c r="B230" s="71" t="s">
        <v>58</v>
      </c>
      <c r="C230" s="52" t="s">
        <v>796</v>
      </c>
      <c r="D230" s="52" t="s">
        <v>1260</v>
      </c>
    </row>
    <row r="231" spans="2:4" x14ac:dyDescent="0.25">
      <c r="B231" s="207" t="s">
        <v>61</v>
      </c>
      <c r="C231" s="155" t="s">
        <v>794</v>
      </c>
      <c r="D231" s="155" t="s">
        <v>1261</v>
      </c>
    </row>
    <row r="232" spans="2:4" ht="26.4" x14ac:dyDescent="0.25">
      <c r="B232" s="71" t="s">
        <v>63</v>
      </c>
      <c r="C232" s="52" t="s">
        <v>795</v>
      </c>
      <c r="D232" s="52" t="s">
        <v>1262</v>
      </c>
    </row>
    <row r="233" spans="2:4" x14ac:dyDescent="0.25">
      <c r="B233" s="207" t="s">
        <v>64</v>
      </c>
      <c r="C233" s="155" t="s">
        <v>797</v>
      </c>
      <c r="D233" s="155" t="s">
        <v>1263</v>
      </c>
    </row>
    <row r="234" spans="2:4" ht="26.4" x14ac:dyDescent="0.25">
      <c r="B234" s="71" t="s">
        <v>66</v>
      </c>
      <c r="C234" s="52" t="s">
        <v>798</v>
      </c>
      <c r="D234" s="52" t="s">
        <v>1264</v>
      </c>
    </row>
    <row r="235" spans="2:4" x14ac:dyDescent="0.25">
      <c r="B235" s="207" t="s">
        <v>67</v>
      </c>
      <c r="C235" s="155" t="s">
        <v>799</v>
      </c>
      <c r="D235" s="155" t="s">
        <v>1265</v>
      </c>
    </row>
    <row r="236" spans="2:4" ht="26.4" x14ac:dyDescent="0.25">
      <c r="B236" s="71" t="s">
        <v>69</v>
      </c>
      <c r="C236" s="52" t="s">
        <v>800</v>
      </c>
      <c r="D236" s="52" t="s">
        <v>1266</v>
      </c>
    </row>
    <row r="237" spans="2:4" x14ac:dyDescent="0.25">
      <c r="B237" s="207" t="s">
        <v>154</v>
      </c>
      <c r="C237" s="155" t="s">
        <v>801</v>
      </c>
      <c r="D237" s="155" t="s">
        <v>1267</v>
      </c>
    </row>
    <row r="238" spans="2:4" ht="26.4" x14ac:dyDescent="0.25">
      <c r="B238" s="71" t="s">
        <v>156</v>
      </c>
      <c r="C238" s="52" t="s">
        <v>802</v>
      </c>
      <c r="D238" s="52" t="s">
        <v>1268</v>
      </c>
    </row>
    <row r="239" spans="2:4" x14ac:dyDescent="0.25">
      <c r="B239" s="207" t="s">
        <v>157</v>
      </c>
      <c r="C239" s="155" t="s">
        <v>803</v>
      </c>
      <c r="D239" s="155" t="s">
        <v>1269</v>
      </c>
    </row>
    <row r="240" spans="2:4" ht="26.4" x14ac:dyDescent="0.25">
      <c r="B240" s="71" t="s">
        <v>159</v>
      </c>
      <c r="C240" s="52" t="s">
        <v>1270</v>
      </c>
      <c r="D240" s="52" t="s">
        <v>1284</v>
      </c>
    </row>
    <row r="241" spans="2:4" x14ac:dyDescent="0.25">
      <c r="B241" s="71"/>
      <c r="C241" s="52" t="s">
        <v>1290</v>
      </c>
      <c r="D241" s="52" t="s">
        <v>1291</v>
      </c>
    </row>
    <row r="242" spans="2:4" ht="171.6" customHeight="1" x14ac:dyDescent="0.25">
      <c r="B242" s="71" t="s">
        <v>160</v>
      </c>
      <c r="C242" s="52" t="s">
        <v>1282</v>
      </c>
      <c r="D242" s="52" t="s">
        <v>1283</v>
      </c>
    </row>
    <row r="243" spans="2:4" x14ac:dyDescent="0.25">
      <c r="B243" s="207" t="s">
        <v>282</v>
      </c>
      <c r="C243" s="155" t="s">
        <v>804</v>
      </c>
      <c r="D243" s="155" t="s">
        <v>1271</v>
      </c>
    </row>
    <row r="244" spans="2:4" ht="84" customHeight="1" x14ac:dyDescent="0.25">
      <c r="B244" s="71" t="s">
        <v>284</v>
      </c>
      <c r="C244" s="52" t="s">
        <v>1287</v>
      </c>
      <c r="D244" s="52" t="s">
        <v>1288</v>
      </c>
    </row>
    <row r="245" spans="2:4" ht="84" customHeight="1" x14ac:dyDescent="0.25">
      <c r="B245" s="71"/>
      <c r="C245" s="222" t="s">
        <v>1285</v>
      </c>
      <c r="D245" s="222" t="s">
        <v>1286</v>
      </c>
    </row>
    <row r="246" spans="2:4" x14ac:dyDescent="0.25">
      <c r="B246" s="207" t="s">
        <v>285</v>
      </c>
      <c r="C246" s="155" t="s">
        <v>805</v>
      </c>
      <c r="D246" s="155" t="s">
        <v>1272</v>
      </c>
    </row>
    <row r="247" spans="2:4" ht="26.4" x14ac:dyDescent="0.25">
      <c r="B247" s="71" t="s">
        <v>287</v>
      </c>
      <c r="C247" s="52" t="s">
        <v>806</v>
      </c>
      <c r="D247" s="52" t="s">
        <v>1273</v>
      </c>
    </row>
    <row r="248" spans="2:4" ht="26.4" x14ac:dyDescent="0.25">
      <c r="B248" s="71" t="s">
        <v>745</v>
      </c>
      <c r="C248" s="52" t="s">
        <v>807</v>
      </c>
      <c r="D248" s="52" t="s">
        <v>1274</v>
      </c>
    </row>
    <row r="249" spans="2:4" x14ac:dyDescent="0.25">
      <c r="B249" s="207" t="s">
        <v>292</v>
      </c>
      <c r="C249" s="155" t="s">
        <v>1289</v>
      </c>
      <c r="D249" s="155" t="s">
        <v>1275</v>
      </c>
    </row>
    <row r="250" spans="2:4" ht="26.4" x14ac:dyDescent="0.25">
      <c r="B250" s="71" t="s">
        <v>293</v>
      </c>
      <c r="C250" s="52" t="s">
        <v>808</v>
      </c>
      <c r="D250" s="52" t="s">
        <v>1276</v>
      </c>
    </row>
    <row r="251" spans="2:4" x14ac:dyDescent="0.25">
      <c r="B251" s="398" t="s">
        <v>460</v>
      </c>
      <c r="C251" s="52" t="s">
        <v>859</v>
      </c>
      <c r="D251" s="52" t="s">
        <v>1277</v>
      </c>
    </row>
    <row r="252" spans="2:4" ht="118.2" customHeight="1" x14ac:dyDescent="0.25">
      <c r="B252" s="414"/>
      <c r="C252" s="52" t="s">
        <v>1280</v>
      </c>
      <c r="D252" s="52" t="s">
        <v>1278</v>
      </c>
    </row>
    <row r="253" spans="2:4" ht="96.6" customHeight="1" x14ac:dyDescent="0.25">
      <c r="B253" s="399"/>
      <c r="C253" s="52" t="s">
        <v>1281</v>
      </c>
      <c r="D253" s="52" t="s">
        <v>1279</v>
      </c>
    </row>
    <row r="254" spans="2:4" ht="26.4" x14ac:dyDescent="0.25">
      <c r="B254" s="55" t="s">
        <v>270</v>
      </c>
      <c r="C254" s="122" t="s">
        <v>271</v>
      </c>
      <c r="D254" s="205" t="s">
        <v>1305</v>
      </c>
    </row>
    <row r="255" spans="2:4" x14ac:dyDescent="0.25">
      <c r="B255" s="207" t="s">
        <v>54</v>
      </c>
      <c r="C255" s="155" t="s">
        <v>272</v>
      </c>
      <c r="D255" s="155" t="s">
        <v>1306</v>
      </c>
    </row>
    <row r="256" spans="2:4" ht="26.4" x14ac:dyDescent="0.25">
      <c r="B256" s="361" t="s">
        <v>58</v>
      </c>
      <c r="C256" s="149" t="s">
        <v>273</v>
      </c>
      <c r="D256" s="149" t="s">
        <v>1307</v>
      </c>
    </row>
    <row r="257" spans="2:4" ht="79.2" x14ac:dyDescent="0.25">
      <c r="B257" s="361"/>
      <c r="C257" s="133" t="s">
        <v>885</v>
      </c>
      <c r="D257" s="133" t="s">
        <v>1308</v>
      </c>
    </row>
    <row r="258" spans="2:4" ht="26.4" x14ac:dyDescent="0.25">
      <c r="B258" s="361" t="s">
        <v>181</v>
      </c>
      <c r="C258" s="149" t="s">
        <v>276</v>
      </c>
      <c r="D258" s="149" t="s">
        <v>1309</v>
      </c>
    </row>
    <row r="259" spans="2:4" ht="39.6" x14ac:dyDescent="0.25">
      <c r="B259" s="361"/>
      <c r="C259" s="52" t="s">
        <v>277</v>
      </c>
      <c r="D259" s="52" t="s">
        <v>1310</v>
      </c>
    </row>
    <row r="260" spans="2:4" ht="79.2" x14ac:dyDescent="0.25">
      <c r="B260" s="361"/>
      <c r="C260" s="52" t="s">
        <v>886</v>
      </c>
      <c r="D260" s="52" t="s">
        <v>1311</v>
      </c>
    </row>
    <row r="261" spans="2:4" x14ac:dyDescent="0.25">
      <c r="B261" s="207" t="s">
        <v>61</v>
      </c>
      <c r="C261" s="155" t="s">
        <v>278</v>
      </c>
      <c r="D261" s="155" t="s">
        <v>1312</v>
      </c>
    </row>
    <row r="262" spans="2:4" ht="39.6" x14ac:dyDescent="0.25">
      <c r="B262" s="71" t="s">
        <v>63</v>
      </c>
      <c r="C262" s="132" t="s">
        <v>279</v>
      </c>
      <c r="D262" s="132" t="s">
        <v>1313</v>
      </c>
    </row>
    <row r="263" spans="2:4" ht="26.4" x14ac:dyDescent="0.25">
      <c r="B263" s="207" t="s">
        <v>64</v>
      </c>
      <c r="C263" s="202" t="s">
        <v>280</v>
      </c>
      <c r="D263" s="202" t="s">
        <v>1314</v>
      </c>
    </row>
    <row r="264" spans="2:4" ht="26.4" x14ac:dyDescent="0.25">
      <c r="B264" s="71" t="s">
        <v>66</v>
      </c>
      <c r="C264" s="132" t="s">
        <v>281</v>
      </c>
      <c r="D264" s="132" t="s">
        <v>1315</v>
      </c>
    </row>
    <row r="265" spans="2:4" ht="26.4" x14ac:dyDescent="0.25">
      <c r="B265" s="207" t="s">
        <v>67</v>
      </c>
      <c r="C265" s="224" t="s">
        <v>809</v>
      </c>
      <c r="D265" s="224" t="s">
        <v>1292</v>
      </c>
    </row>
    <row r="266" spans="2:4" ht="39.6" x14ac:dyDescent="0.25">
      <c r="B266" s="71" t="s">
        <v>69</v>
      </c>
      <c r="C266" s="149" t="s">
        <v>810</v>
      </c>
      <c r="D266" s="223" t="s">
        <v>1293</v>
      </c>
    </row>
    <row r="267" spans="2:4" x14ac:dyDescent="0.25">
      <c r="B267" s="207" t="s">
        <v>154</v>
      </c>
      <c r="C267" s="155" t="s">
        <v>748</v>
      </c>
      <c r="D267" s="155" t="s">
        <v>1295</v>
      </c>
    </row>
    <row r="268" spans="2:4" x14ac:dyDescent="0.25">
      <c r="B268" s="71" t="s">
        <v>156</v>
      </c>
      <c r="C268" s="149" t="s">
        <v>749</v>
      </c>
      <c r="D268" s="149" t="s">
        <v>1294</v>
      </c>
    </row>
    <row r="269" spans="2:4" ht="39.6" x14ac:dyDescent="0.25">
      <c r="B269" s="71" t="s">
        <v>218</v>
      </c>
      <c r="C269" s="149" t="s">
        <v>812</v>
      </c>
      <c r="D269" s="225" t="s">
        <v>1296</v>
      </c>
    </row>
    <row r="270" spans="2:4" ht="52.8" x14ac:dyDescent="0.25">
      <c r="B270" s="71" t="s">
        <v>219</v>
      </c>
      <c r="C270" s="149" t="s">
        <v>811</v>
      </c>
      <c r="D270" s="225" t="s">
        <v>1297</v>
      </c>
    </row>
    <row r="271" spans="2:4" ht="39.6" x14ac:dyDescent="0.25">
      <c r="B271" s="207" t="s">
        <v>157</v>
      </c>
      <c r="C271" s="202" t="s">
        <v>283</v>
      </c>
      <c r="D271" s="202" t="s">
        <v>1298</v>
      </c>
    </row>
    <row r="272" spans="2:4" ht="118.8" x14ac:dyDescent="0.25">
      <c r="B272" s="71" t="s">
        <v>159</v>
      </c>
      <c r="C272" s="52" t="s">
        <v>887</v>
      </c>
      <c r="D272" s="52" t="s">
        <v>1304</v>
      </c>
    </row>
    <row r="273" spans="2:4" ht="26.4" x14ac:dyDescent="0.25">
      <c r="B273" s="207" t="s">
        <v>282</v>
      </c>
      <c r="C273" s="202" t="s">
        <v>286</v>
      </c>
      <c r="D273" s="202" t="s">
        <v>1299</v>
      </c>
    </row>
    <row r="274" spans="2:4" ht="26.4" x14ac:dyDescent="0.25">
      <c r="B274" s="398" t="s">
        <v>284</v>
      </c>
      <c r="C274" s="149" t="s">
        <v>286</v>
      </c>
      <c r="D274" s="149" t="s">
        <v>1299</v>
      </c>
    </row>
    <row r="275" spans="2:4" ht="79.2" x14ac:dyDescent="0.25">
      <c r="B275" s="414"/>
      <c r="C275" s="52" t="s">
        <v>934</v>
      </c>
      <c r="D275" s="52" t="s">
        <v>1300</v>
      </c>
    </row>
    <row r="276" spans="2:4" ht="52.8" x14ac:dyDescent="0.25">
      <c r="B276" s="414"/>
      <c r="C276" s="52" t="s">
        <v>747</v>
      </c>
      <c r="D276" s="52" t="s">
        <v>1301</v>
      </c>
    </row>
    <row r="277" spans="2:4" ht="52.8" x14ac:dyDescent="0.25">
      <c r="B277" s="414"/>
      <c r="C277" s="52" t="s">
        <v>1008</v>
      </c>
      <c r="D277" s="52" t="s">
        <v>1302</v>
      </c>
    </row>
    <row r="278" spans="2:4" ht="39.6" x14ac:dyDescent="0.25">
      <c r="B278" s="399"/>
      <c r="C278" s="52" t="s">
        <v>291</v>
      </c>
      <c r="D278" s="52" t="s">
        <v>1303</v>
      </c>
    </row>
    <row r="279" spans="2:4" x14ac:dyDescent="0.25">
      <c r="B279" s="226" t="s">
        <v>294</v>
      </c>
      <c r="C279" s="122" t="s">
        <v>295</v>
      </c>
      <c r="D279" s="122" t="s">
        <v>1316</v>
      </c>
    </row>
    <row r="280" spans="2:4" ht="13.2" customHeight="1" x14ac:dyDescent="0.25">
      <c r="B280" s="207" t="s">
        <v>54</v>
      </c>
      <c r="C280" s="202" t="s">
        <v>296</v>
      </c>
      <c r="D280" s="202" t="s">
        <v>1317</v>
      </c>
    </row>
    <row r="281" spans="2:4" ht="26.4" x14ac:dyDescent="0.25">
      <c r="B281" s="71" t="s">
        <v>58</v>
      </c>
      <c r="C281" s="52" t="s">
        <v>297</v>
      </c>
      <c r="D281" s="52" t="s">
        <v>1318</v>
      </c>
    </row>
    <row r="282" spans="2:4" ht="35.4" customHeight="1" x14ac:dyDescent="0.25">
      <c r="B282" s="207" t="s">
        <v>61</v>
      </c>
      <c r="C282" s="202" t="s">
        <v>298</v>
      </c>
      <c r="D282" s="202" t="s">
        <v>1319</v>
      </c>
    </row>
    <row r="283" spans="2:4" ht="25.2" customHeight="1" x14ac:dyDescent="0.25">
      <c r="B283" s="398" t="s">
        <v>63</v>
      </c>
      <c r="C283" s="149" t="s">
        <v>299</v>
      </c>
      <c r="D283" s="149" t="s">
        <v>1320</v>
      </c>
    </row>
    <row r="284" spans="2:4" ht="39.6" x14ac:dyDescent="0.25">
      <c r="B284" s="414"/>
      <c r="C284" s="52" t="s">
        <v>300</v>
      </c>
      <c r="D284" s="52" t="s">
        <v>1321</v>
      </c>
    </row>
    <row r="285" spans="2:4" ht="39.6" x14ac:dyDescent="0.25">
      <c r="B285" s="414"/>
      <c r="C285" s="52" t="s">
        <v>301</v>
      </c>
      <c r="D285" s="52" t="s">
        <v>1322</v>
      </c>
    </row>
    <row r="286" spans="2:4" ht="52.8" x14ac:dyDescent="0.25">
      <c r="B286" s="414"/>
      <c r="C286" s="52" t="s">
        <v>302</v>
      </c>
      <c r="D286" s="52" t="s">
        <v>1323</v>
      </c>
    </row>
    <row r="287" spans="2:4" ht="52.8" x14ac:dyDescent="0.25">
      <c r="B287" s="414"/>
      <c r="C287" s="52" t="s">
        <v>303</v>
      </c>
      <c r="D287" s="52" t="s">
        <v>1324</v>
      </c>
    </row>
    <row r="288" spans="2:4" ht="45" customHeight="1" x14ac:dyDescent="0.25">
      <c r="B288" s="414"/>
      <c r="C288" s="52" t="s">
        <v>304</v>
      </c>
      <c r="D288" s="52" t="s">
        <v>1325</v>
      </c>
    </row>
    <row r="289" spans="2:4" ht="39.6" x14ac:dyDescent="0.25">
      <c r="B289" s="414"/>
      <c r="C289" s="52" t="s">
        <v>305</v>
      </c>
      <c r="D289" s="52" t="s">
        <v>1326</v>
      </c>
    </row>
    <row r="290" spans="2:4" ht="52.8" x14ac:dyDescent="0.25">
      <c r="B290" s="414"/>
      <c r="C290" s="52" t="s">
        <v>750</v>
      </c>
      <c r="D290" s="52" t="s">
        <v>1327</v>
      </c>
    </row>
    <row r="291" spans="2:4" ht="39.6" x14ac:dyDescent="0.25">
      <c r="B291" s="399"/>
      <c r="C291" s="135" t="s">
        <v>816</v>
      </c>
      <c r="D291" s="222" t="s">
        <v>1328</v>
      </c>
    </row>
    <row r="292" spans="2:4" ht="31.95" customHeight="1" x14ac:dyDescent="0.25">
      <c r="B292" s="207" t="s">
        <v>64</v>
      </c>
      <c r="C292" s="202" t="s">
        <v>307</v>
      </c>
      <c r="D292" s="202" t="s">
        <v>1329</v>
      </c>
    </row>
    <row r="293" spans="2:4" x14ac:dyDescent="0.25">
      <c r="B293" s="398" t="s">
        <v>66</v>
      </c>
      <c r="C293" s="149" t="s">
        <v>308</v>
      </c>
      <c r="D293" s="149" t="s">
        <v>1330</v>
      </c>
    </row>
    <row r="294" spans="2:4" ht="79.2" x14ac:dyDescent="0.25">
      <c r="B294" s="414"/>
      <c r="C294" s="52" t="s">
        <v>309</v>
      </c>
      <c r="D294" s="52" t="s">
        <v>1331</v>
      </c>
    </row>
    <row r="295" spans="2:4" ht="52.8" x14ac:dyDescent="0.25">
      <c r="B295" s="414"/>
      <c r="C295" s="52" t="s">
        <v>310</v>
      </c>
      <c r="D295" s="52" t="s">
        <v>1332</v>
      </c>
    </row>
    <row r="296" spans="2:4" ht="52.8" x14ac:dyDescent="0.25">
      <c r="B296" s="414"/>
      <c r="C296" s="52" t="s">
        <v>311</v>
      </c>
      <c r="D296" s="52" t="s">
        <v>1333</v>
      </c>
    </row>
    <row r="297" spans="2:4" ht="79.2" x14ac:dyDescent="0.25">
      <c r="B297" s="414"/>
      <c r="C297" s="52" t="s">
        <v>312</v>
      </c>
      <c r="D297" s="52" t="s">
        <v>1334</v>
      </c>
    </row>
    <row r="298" spans="2:4" ht="39.6" x14ac:dyDescent="0.25">
      <c r="B298" s="414"/>
      <c r="C298" s="52" t="s">
        <v>313</v>
      </c>
      <c r="D298" s="52" t="s">
        <v>1335</v>
      </c>
    </row>
    <row r="299" spans="2:4" ht="52.8" x14ac:dyDescent="0.25">
      <c r="B299" s="414"/>
      <c r="C299" s="52" t="s">
        <v>314</v>
      </c>
      <c r="D299" s="52" t="s">
        <v>1336</v>
      </c>
    </row>
    <row r="300" spans="2:4" ht="52.8" x14ac:dyDescent="0.25">
      <c r="B300" s="414"/>
      <c r="C300" s="52" t="s">
        <v>315</v>
      </c>
      <c r="D300" s="52" t="s">
        <v>1337</v>
      </c>
    </row>
    <row r="301" spans="2:4" ht="52.8" x14ac:dyDescent="0.25">
      <c r="B301" s="414"/>
      <c r="C301" s="52" t="s">
        <v>316</v>
      </c>
      <c r="D301" s="52" t="s">
        <v>1338</v>
      </c>
    </row>
    <row r="302" spans="2:4" ht="52.8" x14ac:dyDescent="0.25">
      <c r="B302" s="414"/>
      <c r="C302" s="52" t="s">
        <v>317</v>
      </c>
      <c r="D302" s="52" t="s">
        <v>1339</v>
      </c>
    </row>
    <row r="303" spans="2:4" ht="79.2" x14ac:dyDescent="0.25">
      <c r="B303" s="414"/>
      <c r="C303" s="52" t="s">
        <v>318</v>
      </c>
      <c r="D303" s="52" t="s">
        <v>1340</v>
      </c>
    </row>
    <row r="304" spans="2:4" ht="79.2" x14ac:dyDescent="0.25">
      <c r="B304" s="399"/>
      <c r="C304" s="52" t="s">
        <v>319</v>
      </c>
      <c r="D304" s="52" t="s">
        <v>1341</v>
      </c>
    </row>
    <row r="305" spans="2:4" ht="166.2" customHeight="1" x14ac:dyDescent="0.25">
      <c r="B305" s="141"/>
      <c r="C305" s="135" t="s">
        <v>936</v>
      </c>
      <c r="D305" s="222" t="s">
        <v>1342</v>
      </c>
    </row>
    <row r="306" spans="2:4" x14ac:dyDescent="0.25">
      <c r="B306" s="207" t="s">
        <v>67</v>
      </c>
      <c r="C306" s="202" t="s">
        <v>320</v>
      </c>
      <c r="D306" s="202" t="s">
        <v>1343</v>
      </c>
    </row>
    <row r="307" spans="2:4" x14ac:dyDescent="0.25">
      <c r="B307" s="361" t="s">
        <v>69</v>
      </c>
      <c r="C307" s="149" t="s">
        <v>321</v>
      </c>
      <c r="D307" s="149" t="s">
        <v>1344</v>
      </c>
    </row>
    <row r="308" spans="2:4" ht="72.599999999999994" customHeight="1" x14ac:dyDescent="0.25">
      <c r="B308" s="361"/>
      <c r="C308" s="52" t="s">
        <v>322</v>
      </c>
      <c r="D308" s="52" t="s">
        <v>1352</v>
      </c>
    </row>
    <row r="309" spans="2:4" ht="67.95" customHeight="1" x14ac:dyDescent="0.25">
      <c r="B309" s="361"/>
      <c r="C309" s="52" t="s">
        <v>323</v>
      </c>
      <c r="D309" s="52" t="s">
        <v>1351</v>
      </c>
    </row>
    <row r="310" spans="2:4" ht="39.6" x14ac:dyDescent="0.25">
      <c r="B310" s="361"/>
      <c r="C310" s="52" t="s">
        <v>324</v>
      </c>
      <c r="D310" s="52" t="s">
        <v>1350</v>
      </c>
    </row>
    <row r="311" spans="2:4" ht="39.6" x14ac:dyDescent="0.25">
      <c r="B311" s="361"/>
      <c r="C311" s="52" t="s">
        <v>325</v>
      </c>
      <c r="D311" s="52" t="s">
        <v>1349</v>
      </c>
    </row>
    <row r="312" spans="2:4" ht="43.2" customHeight="1" x14ac:dyDescent="0.25">
      <c r="B312" s="361"/>
      <c r="C312" s="52" t="s">
        <v>326</v>
      </c>
      <c r="D312" s="52" t="s">
        <v>1348</v>
      </c>
    </row>
    <row r="313" spans="2:4" ht="51" customHeight="1" x14ac:dyDescent="0.25">
      <c r="B313" s="361"/>
      <c r="C313" s="52" t="s">
        <v>327</v>
      </c>
      <c r="D313" s="52" t="s">
        <v>1347</v>
      </c>
    </row>
    <row r="314" spans="2:4" ht="52.8" x14ac:dyDescent="0.25">
      <c r="B314" s="361"/>
      <c r="C314" s="52" t="s">
        <v>328</v>
      </c>
      <c r="D314" s="52" t="s">
        <v>1346</v>
      </c>
    </row>
    <row r="315" spans="2:4" ht="66" x14ac:dyDescent="0.25">
      <c r="B315" s="361"/>
      <c r="C315" s="52" t="s">
        <v>329</v>
      </c>
      <c r="D315" s="52" t="s">
        <v>1345</v>
      </c>
    </row>
    <row r="316" spans="2:4" ht="37.950000000000003" customHeight="1" x14ac:dyDescent="0.25">
      <c r="B316" s="207" t="s">
        <v>154</v>
      </c>
      <c r="C316" s="202" t="s">
        <v>330</v>
      </c>
      <c r="D316" s="202" t="s">
        <v>1353</v>
      </c>
    </row>
    <row r="317" spans="2:4" x14ac:dyDescent="0.25">
      <c r="B317" s="398" t="s">
        <v>156</v>
      </c>
      <c r="C317" s="149" t="s">
        <v>331</v>
      </c>
      <c r="D317" s="149" t="s">
        <v>1354</v>
      </c>
    </row>
    <row r="318" spans="2:4" ht="52.95" customHeight="1" x14ac:dyDescent="0.25">
      <c r="B318" s="414"/>
      <c r="C318" s="52" t="s">
        <v>888</v>
      </c>
      <c r="D318" s="52" t="s">
        <v>1355</v>
      </c>
    </row>
    <row r="319" spans="2:4" ht="34.200000000000003" customHeight="1" x14ac:dyDescent="0.25">
      <c r="B319" s="414"/>
      <c r="C319" s="52" t="s">
        <v>333</v>
      </c>
      <c r="D319" s="52" t="s">
        <v>1356</v>
      </c>
    </row>
    <row r="320" spans="2:4" ht="31.95" customHeight="1" x14ac:dyDescent="0.25">
      <c r="B320" s="414"/>
      <c r="C320" s="52" t="s">
        <v>334</v>
      </c>
      <c r="D320" s="52" t="s">
        <v>1357</v>
      </c>
    </row>
    <row r="321" spans="2:4" ht="39.6" x14ac:dyDescent="0.25">
      <c r="B321" s="414"/>
      <c r="C321" s="52" t="s">
        <v>335</v>
      </c>
      <c r="D321" s="52" t="s">
        <v>1358</v>
      </c>
    </row>
    <row r="322" spans="2:4" ht="26.4" x14ac:dyDescent="0.25">
      <c r="B322" s="399"/>
      <c r="C322" s="52" t="s">
        <v>336</v>
      </c>
      <c r="D322" s="52" t="s">
        <v>1359</v>
      </c>
    </row>
    <row r="323" spans="2:4" ht="26.4" x14ac:dyDescent="0.25">
      <c r="B323" s="207" t="s">
        <v>157</v>
      </c>
      <c r="C323" s="202" t="s">
        <v>337</v>
      </c>
      <c r="D323" s="202" t="s">
        <v>1360</v>
      </c>
    </row>
    <row r="324" spans="2:4" x14ac:dyDescent="0.25">
      <c r="B324" s="361" t="s">
        <v>159</v>
      </c>
      <c r="C324" s="149" t="s">
        <v>338</v>
      </c>
      <c r="D324" s="149" t="s">
        <v>1361</v>
      </c>
    </row>
    <row r="325" spans="2:4" ht="52.8" x14ac:dyDescent="0.25">
      <c r="B325" s="361"/>
      <c r="C325" s="52" t="s">
        <v>339</v>
      </c>
      <c r="D325" s="52" t="s">
        <v>1362</v>
      </c>
    </row>
    <row r="326" spans="2:4" ht="39.6" x14ac:dyDescent="0.25">
      <c r="B326" s="361"/>
      <c r="C326" s="52" t="s">
        <v>340</v>
      </c>
      <c r="D326" s="52" t="s">
        <v>1363</v>
      </c>
    </row>
    <row r="327" spans="2:4" ht="39.6" x14ac:dyDescent="0.25">
      <c r="B327" s="361"/>
      <c r="C327" s="52" t="s">
        <v>341</v>
      </c>
      <c r="D327" s="52" t="s">
        <v>1364</v>
      </c>
    </row>
    <row r="328" spans="2:4" x14ac:dyDescent="0.25">
      <c r="B328" s="207" t="s">
        <v>282</v>
      </c>
      <c r="C328" s="202" t="s">
        <v>342</v>
      </c>
      <c r="D328" s="202" t="s">
        <v>1365</v>
      </c>
    </row>
    <row r="329" spans="2:4" x14ac:dyDescent="0.25">
      <c r="B329" s="361" t="s">
        <v>284</v>
      </c>
      <c r="C329" s="149" t="s">
        <v>343</v>
      </c>
      <c r="D329" s="149" t="s">
        <v>1366</v>
      </c>
    </row>
    <row r="330" spans="2:4" ht="66" x14ac:dyDescent="0.25">
      <c r="B330" s="361"/>
      <c r="C330" s="52" t="s">
        <v>344</v>
      </c>
      <c r="D330" s="52" t="s">
        <v>1367</v>
      </c>
    </row>
    <row r="331" spans="2:4" ht="52.8" x14ac:dyDescent="0.25">
      <c r="B331" s="361"/>
      <c r="C331" s="52" t="s">
        <v>345</v>
      </c>
      <c r="D331" s="52" t="s">
        <v>1368</v>
      </c>
    </row>
    <row r="332" spans="2:4" x14ac:dyDescent="0.25">
      <c r="B332" s="207" t="s">
        <v>285</v>
      </c>
      <c r="C332" s="202" t="s">
        <v>817</v>
      </c>
      <c r="D332" s="202" t="s">
        <v>1369</v>
      </c>
    </row>
    <row r="333" spans="2:4" ht="26.4" x14ac:dyDescent="0.25">
      <c r="B333" s="160" t="s">
        <v>287</v>
      </c>
      <c r="C333" s="149" t="s">
        <v>818</v>
      </c>
      <c r="D333" s="149" t="s">
        <v>1366</v>
      </c>
    </row>
    <row r="334" spans="2:4" x14ac:dyDescent="0.25">
      <c r="B334" s="207" t="s">
        <v>292</v>
      </c>
      <c r="C334" s="155" t="s">
        <v>813</v>
      </c>
      <c r="D334" s="155" t="s">
        <v>1372</v>
      </c>
    </row>
    <row r="335" spans="2:4" ht="104.4" customHeight="1" x14ac:dyDescent="0.25">
      <c r="B335" s="162" t="s">
        <v>814</v>
      </c>
      <c r="C335" s="149" t="s">
        <v>937</v>
      </c>
      <c r="D335" s="149" t="s">
        <v>1370</v>
      </c>
    </row>
    <row r="336" spans="2:4" x14ac:dyDescent="0.25">
      <c r="B336" s="207" t="s">
        <v>448</v>
      </c>
      <c r="C336" s="155" t="s">
        <v>342</v>
      </c>
      <c r="D336" s="155" t="s">
        <v>1373</v>
      </c>
    </row>
    <row r="337" spans="2:4" ht="89.4" customHeight="1" x14ac:dyDescent="0.25">
      <c r="B337" s="163" t="s">
        <v>815</v>
      </c>
      <c r="C337" s="149" t="s">
        <v>938</v>
      </c>
      <c r="D337" s="149" t="s">
        <v>1371</v>
      </c>
    </row>
    <row r="338" spans="2:4" x14ac:dyDescent="0.25">
      <c r="B338" s="226" t="s">
        <v>346</v>
      </c>
      <c r="C338" s="122" t="s">
        <v>197</v>
      </c>
      <c r="D338" s="122" t="s">
        <v>1156</v>
      </c>
    </row>
    <row r="339" spans="2:4" x14ac:dyDescent="0.25">
      <c r="B339" s="207" t="s">
        <v>54</v>
      </c>
      <c r="C339" s="202" t="s">
        <v>347</v>
      </c>
      <c r="D339" s="202" t="s">
        <v>1374</v>
      </c>
    </row>
    <row r="340" spans="2:4" ht="26.4" x14ac:dyDescent="0.25">
      <c r="B340" s="376" t="s">
        <v>58</v>
      </c>
      <c r="C340" s="149" t="s">
        <v>348</v>
      </c>
      <c r="D340" s="149" t="s">
        <v>1375</v>
      </c>
    </row>
    <row r="341" spans="2:4" ht="26.4" x14ac:dyDescent="0.25">
      <c r="B341" s="376"/>
      <c r="C341" s="135" t="s">
        <v>881</v>
      </c>
      <c r="D341" s="135" t="s">
        <v>1376</v>
      </c>
    </row>
    <row r="342" spans="2:4" ht="66" x14ac:dyDescent="0.25">
      <c r="B342" s="376"/>
      <c r="C342" s="135" t="s">
        <v>350</v>
      </c>
      <c r="D342" s="135" t="s">
        <v>1377</v>
      </c>
    </row>
    <row r="343" spans="2:4" x14ac:dyDescent="0.25">
      <c r="B343" s="505" t="s">
        <v>181</v>
      </c>
      <c r="C343" s="148" t="s">
        <v>351</v>
      </c>
      <c r="D343" s="148" t="s">
        <v>1378</v>
      </c>
    </row>
    <row r="344" spans="2:4" ht="26.4" x14ac:dyDescent="0.25">
      <c r="B344" s="506"/>
      <c r="C344" s="135" t="s">
        <v>881</v>
      </c>
      <c r="D344" s="135" t="s">
        <v>1379</v>
      </c>
    </row>
    <row r="345" spans="2:4" ht="79.2" x14ac:dyDescent="0.25">
      <c r="B345" s="507"/>
      <c r="C345" s="135" t="s">
        <v>353</v>
      </c>
      <c r="D345" s="135" t="s">
        <v>1380</v>
      </c>
    </row>
    <row r="346" spans="2:4" ht="26.4" x14ac:dyDescent="0.25">
      <c r="B346" s="376" t="s">
        <v>246</v>
      </c>
      <c r="C346" s="149" t="s">
        <v>354</v>
      </c>
      <c r="D346" s="149" t="s">
        <v>1381</v>
      </c>
    </row>
    <row r="347" spans="2:4" ht="26.4" x14ac:dyDescent="0.25">
      <c r="B347" s="376"/>
      <c r="C347" s="135" t="s">
        <v>881</v>
      </c>
      <c r="D347" s="135" t="s">
        <v>1382</v>
      </c>
    </row>
    <row r="348" spans="2:4" ht="92.4" x14ac:dyDescent="0.25">
      <c r="B348" s="376"/>
      <c r="C348" s="135" t="s">
        <v>356</v>
      </c>
      <c r="D348" s="135" t="s">
        <v>1383</v>
      </c>
    </row>
    <row r="349" spans="2:4" x14ac:dyDescent="0.25">
      <c r="B349" s="376" t="s">
        <v>250</v>
      </c>
      <c r="C349" s="149" t="s">
        <v>357</v>
      </c>
      <c r="D349" s="149" t="s">
        <v>1384</v>
      </c>
    </row>
    <row r="350" spans="2:4" ht="26.4" x14ac:dyDescent="0.25">
      <c r="B350" s="376"/>
      <c r="C350" s="135" t="s">
        <v>881</v>
      </c>
      <c r="D350" s="135" t="s">
        <v>1385</v>
      </c>
    </row>
    <row r="351" spans="2:4" ht="92.4" x14ac:dyDescent="0.25">
      <c r="B351" s="376"/>
      <c r="C351" s="135" t="s">
        <v>359</v>
      </c>
      <c r="D351" s="135" t="s">
        <v>1386</v>
      </c>
    </row>
    <row r="352" spans="2:4" x14ac:dyDescent="0.25">
      <c r="B352" s="207" t="s">
        <v>61</v>
      </c>
      <c r="C352" s="202" t="s">
        <v>360</v>
      </c>
      <c r="D352" s="202" t="s">
        <v>1387</v>
      </c>
    </row>
    <row r="353" spans="1:4" ht="13.2" customHeight="1" x14ac:dyDescent="0.25">
      <c r="B353" s="160" t="s">
        <v>63</v>
      </c>
      <c r="C353" s="135" t="s">
        <v>939</v>
      </c>
      <c r="D353" s="135" t="s">
        <v>1388</v>
      </c>
    </row>
    <row r="354" spans="1:4" ht="39.6" x14ac:dyDescent="0.25">
      <c r="B354" s="160" t="s">
        <v>186</v>
      </c>
      <c r="C354" s="135" t="s">
        <v>940</v>
      </c>
      <c r="D354" s="149" t="s">
        <v>1389</v>
      </c>
    </row>
    <row r="355" spans="1:4" ht="26.4" x14ac:dyDescent="0.25">
      <c r="B355" s="160" t="s">
        <v>255</v>
      </c>
      <c r="C355" s="135" t="s">
        <v>941</v>
      </c>
      <c r="D355" s="135" t="s">
        <v>1390</v>
      </c>
    </row>
    <row r="356" spans="1:4" ht="39.6" x14ac:dyDescent="0.25">
      <c r="B356" s="160" t="s">
        <v>256</v>
      </c>
      <c r="C356" s="135" t="s">
        <v>942</v>
      </c>
      <c r="D356" s="135" t="s">
        <v>1391</v>
      </c>
    </row>
    <row r="357" spans="1:4" ht="39.6" x14ac:dyDescent="0.25">
      <c r="B357" s="160" t="s">
        <v>257</v>
      </c>
      <c r="C357" s="135" t="s">
        <v>943</v>
      </c>
      <c r="D357" s="149" t="s">
        <v>1392</v>
      </c>
    </row>
    <row r="358" spans="1:4" x14ac:dyDescent="0.25">
      <c r="B358" s="207" t="s">
        <v>64</v>
      </c>
      <c r="C358" s="202" t="s">
        <v>751</v>
      </c>
      <c r="D358" s="202" t="s">
        <v>1393</v>
      </c>
    </row>
    <row r="359" spans="1:4" x14ac:dyDescent="0.25">
      <c r="A359" s="227"/>
      <c r="B359" s="19" t="s">
        <v>66</v>
      </c>
      <c r="C359" s="52" t="s">
        <v>752</v>
      </c>
      <c r="D359" s="52" t="s">
        <v>1394</v>
      </c>
    </row>
    <row r="360" spans="1:4" ht="26.4" x14ac:dyDescent="0.25">
      <c r="A360" s="227"/>
      <c r="B360" s="71" t="s">
        <v>188</v>
      </c>
      <c r="C360" s="52" t="s">
        <v>753</v>
      </c>
      <c r="D360" s="52" t="s">
        <v>1395</v>
      </c>
    </row>
    <row r="361" spans="1:4" ht="118.8" x14ac:dyDescent="0.25">
      <c r="A361" s="227"/>
      <c r="B361" s="71" t="s">
        <v>755</v>
      </c>
      <c r="C361" s="52" t="s">
        <v>754</v>
      </c>
      <c r="D361" s="52" t="s">
        <v>1396</v>
      </c>
    </row>
    <row r="362" spans="1:4" x14ac:dyDescent="0.25">
      <c r="B362" s="226" t="s">
        <v>362</v>
      </c>
      <c r="C362" s="122" t="s">
        <v>363</v>
      </c>
      <c r="D362" s="122" t="s">
        <v>1397</v>
      </c>
    </row>
    <row r="363" spans="1:4" ht="26.4" customHeight="1" x14ac:dyDescent="0.25">
      <c r="B363" s="207" t="s">
        <v>54</v>
      </c>
      <c r="C363" s="202" t="s">
        <v>364</v>
      </c>
      <c r="D363" s="202" t="s">
        <v>1398</v>
      </c>
    </row>
    <row r="364" spans="1:4" ht="39.6" x14ac:dyDescent="0.25">
      <c r="B364" s="160" t="s">
        <v>58</v>
      </c>
      <c r="C364" s="135" t="s">
        <v>1401</v>
      </c>
      <c r="D364" s="149" t="s">
        <v>1400</v>
      </c>
    </row>
    <row r="365" spans="1:4" ht="66" x14ac:dyDescent="0.25">
      <c r="B365" s="160" t="s">
        <v>181</v>
      </c>
      <c r="C365" s="135" t="s">
        <v>944</v>
      </c>
      <c r="D365" s="135" t="s">
        <v>1399</v>
      </c>
    </row>
    <row r="366" spans="1:4" ht="26.4" customHeight="1" x14ac:dyDescent="0.25">
      <c r="B366" s="207" t="s">
        <v>61</v>
      </c>
      <c r="C366" s="202" t="s">
        <v>365</v>
      </c>
      <c r="D366" s="202" t="s">
        <v>1402</v>
      </c>
    </row>
    <row r="367" spans="1:4" ht="26.4" x14ac:dyDescent="0.25">
      <c r="B367" s="160" t="s">
        <v>63</v>
      </c>
      <c r="C367" s="135" t="s">
        <v>1404</v>
      </c>
      <c r="D367" s="149" t="s">
        <v>1403</v>
      </c>
    </row>
    <row r="368" spans="1:4" ht="26.4" x14ac:dyDescent="0.25">
      <c r="B368" s="160" t="s">
        <v>186</v>
      </c>
      <c r="C368" s="135" t="s">
        <v>1406</v>
      </c>
      <c r="D368" s="149" t="s">
        <v>1405</v>
      </c>
    </row>
    <row r="369" spans="1:4" x14ac:dyDescent="0.25">
      <c r="B369" s="160" t="s">
        <v>255</v>
      </c>
      <c r="C369" s="149" t="s">
        <v>1408</v>
      </c>
      <c r="D369" s="149" t="s">
        <v>1407</v>
      </c>
    </row>
    <row r="370" spans="1:4" ht="39.6" x14ac:dyDescent="0.25">
      <c r="B370" s="160" t="s">
        <v>256</v>
      </c>
      <c r="C370" s="135" t="s">
        <v>1410</v>
      </c>
      <c r="D370" s="149" t="s">
        <v>1409</v>
      </c>
    </row>
    <row r="371" spans="1:4" ht="26.4" x14ac:dyDescent="0.25">
      <c r="B371" s="160" t="s">
        <v>257</v>
      </c>
      <c r="C371" s="135" t="s">
        <v>1412</v>
      </c>
      <c r="D371" s="135" t="s">
        <v>1411</v>
      </c>
    </row>
    <row r="372" spans="1:4" ht="105.6" x14ac:dyDescent="0.25">
      <c r="B372" s="160" t="s">
        <v>258</v>
      </c>
      <c r="C372" s="135" t="s">
        <v>947</v>
      </c>
      <c r="D372" s="135" t="s">
        <v>1413</v>
      </c>
    </row>
    <row r="373" spans="1:4" ht="211.2" x14ac:dyDescent="0.25">
      <c r="B373" s="160" t="s">
        <v>259</v>
      </c>
      <c r="C373" s="135" t="s">
        <v>1414</v>
      </c>
      <c r="D373" s="135" t="s">
        <v>1415</v>
      </c>
    </row>
    <row r="374" spans="1:4" ht="62.4" customHeight="1" x14ac:dyDescent="0.25">
      <c r="B374" s="160" t="s">
        <v>366</v>
      </c>
      <c r="C374" s="135" t="s">
        <v>948</v>
      </c>
      <c r="D374" s="135" t="s">
        <v>1416</v>
      </c>
    </row>
    <row r="375" spans="1:4" x14ac:dyDescent="0.25">
      <c r="B375" s="207" t="s">
        <v>64</v>
      </c>
      <c r="C375" s="202" t="s">
        <v>367</v>
      </c>
      <c r="D375" s="202" t="s">
        <v>1417</v>
      </c>
    </row>
    <row r="376" spans="1:4" ht="160.80000000000001" x14ac:dyDescent="0.25">
      <c r="B376" s="160" t="s">
        <v>66</v>
      </c>
      <c r="C376" s="149" t="s">
        <v>945</v>
      </c>
      <c r="D376" s="149" t="s">
        <v>1418</v>
      </c>
    </row>
    <row r="377" spans="1:4" ht="26.4" x14ac:dyDescent="0.25">
      <c r="B377" s="376" t="s">
        <v>188</v>
      </c>
      <c r="C377" s="135" t="s">
        <v>946</v>
      </c>
      <c r="D377" s="135" t="s">
        <v>1419</v>
      </c>
    </row>
    <row r="378" spans="1:4" ht="52.8" x14ac:dyDescent="0.25">
      <c r="B378" s="376"/>
      <c r="C378" s="135" t="s">
        <v>368</v>
      </c>
      <c r="D378" s="135" t="s">
        <v>1420</v>
      </c>
    </row>
    <row r="379" spans="1:4" ht="26.4" x14ac:dyDescent="0.25">
      <c r="B379" s="376"/>
      <c r="C379" s="135" t="s">
        <v>369</v>
      </c>
      <c r="D379" s="135" t="s">
        <v>1421</v>
      </c>
    </row>
    <row r="380" spans="1:4" x14ac:dyDescent="0.25">
      <c r="A380" s="122"/>
      <c r="B380" s="226" t="s">
        <v>1423</v>
      </c>
      <c r="C380" s="122" t="s">
        <v>373</v>
      </c>
      <c r="D380" s="122" t="s">
        <v>1422</v>
      </c>
    </row>
    <row r="381" spans="1:4" ht="13.2" customHeight="1" x14ac:dyDescent="0.25">
      <c r="B381" s="207" t="s">
        <v>54</v>
      </c>
      <c r="C381" s="202" t="s">
        <v>374</v>
      </c>
      <c r="D381" s="202" t="s">
        <v>1424</v>
      </c>
    </row>
    <row r="382" spans="1:4" x14ac:dyDescent="0.25">
      <c r="A382" s="253" t="s">
        <v>1812</v>
      </c>
      <c r="B382" s="71" t="s">
        <v>58</v>
      </c>
      <c r="C382" s="73" t="s">
        <v>1426</v>
      </c>
      <c r="D382" s="73" t="s">
        <v>1425</v>
      </c>
    </row>
    <row r="383" spans="1:4" ht="52.8" x14ac:dyDescent="0.25">
      <c r="B383" s="71" t="s">
        <v>181</v>
      </c>
      <c r="C383" s="73" t="s">
        <v>666</v>
      </c>
      <c r="D383" s="73" t="s">
        <v>1427</v>
      </c>
    </row>
    <row r="384" spans="1:4" ht="66" x14ac:dyDescent="0.25">
      <c r="B384" s="71" t="s">
        <v>246</v>
      </c>
      <c r="C384" s="52" t="s">
        <v>1429</v>
      </c>
      <c r="D384" s="52" t="s">
        <v>1428</v>
      </c>
    </row>
    <row r="385" spans="2:5" ht="39.6" x14ac:dyDescent="0.25">
      <c r="B385" s="71" t="s">
        <v>250</v>
      </c>
      <c r="C385" s="52" t="s">
        <v>728</v>
      </c>
      <c r="D385" s="52" t="s">
        <v>1430</v>
      </c>
    </row>
    <row r="386" spans="2:5" ht="52.8" x14ac:dyDescent="0.25">
      <c r="B386" s="71" t="s">
        <v>121</v>
      </c>
      <c r="C386" s="52" t="s">
        <v>1432</v>
      </c>
      <c r="D386" s="52" t="s">
        <v>1431</v>
      </c>
    </row>
    <row r="387" spans="2:5" ht="26.4" customHeight="1" x14ac:dyDescent="0.25">
      <c r="B387" s="207" t="s">
        <v>61</v>
      </c>
      <c r="C387" s="202" t="s">
        <v>375</v>
      </c>
      <c r="D387" s="202" t="s">
        <v>1433</v>
      </c>
    </row>
    <row r="388" spans="2:5" ht="39.6" x14ac:dyDescent="0.25">
      <c r="B388" s="71" t="s">
        <v>63</v>
      </c>
      <c r="C388" s="52" t="s">
        <v>756</v>
      </c>
      <c r="D388" s="52" t="s">
        <v>1434</v>
      </c>
    </row>
    <row r="389" spans="2:5" ht="52.8" x14ac:dyDescent="0.25">
      <c r="B389" s="71" t="s">
        <v>186</v>
      </c>
      <c r="C389" s="52" t="s">
        <v>1436</v>
      </c>
      <c r="D389" s="52" t="s">
        <v>1435</v>
      </c>
    </row>
    <row r="390" spans="2:5" ht="66" x14ac:dyDescent="0.25">
      <c r="B390" s="71" t="s">
        <v>255</v>
      </c>
      <c r="C390" s="52" t="s">
        <v>1438</v>
      </c>
      <c r="D390" s="52" t="s">
        <v>1437</v>
      </c>
    </row>
    <row r="391" spans="2:5" ht="52.8" x14ac:dyDescent="0.25">
      <c r="B391" s="71" t="s">
        <v>256</v>
      </c>
      <c r="C391" s="52" t="s">
        <v>757</v>
      </c>
      <c r="D391" s="52" t="s">
        <v>1439</v>
      </c>
    </row>
    <row r="392" spans="2:5" ht="39.6" x14ac:dyDescent="0.25">
      <c r="B392" s="71" t="s">
        <v>257</v>
      </c>
      <c r="C392" s="52" t="s">
        <v>1441</v>
      </c>
      <c r="D392" s="52" t="s">
        <v>1440</v>
      </c>
    </row>
    <row r="393" spans="2:5" ht="66" x14ac:dyDescent="0.25">
      <c r="B393" s="71" t="s">
        <v>258</v>
      </c>
      <c r="C393" s="52" t="s">
        <v>1443</v>
      </c>
      <c r="D393" s="52" t="s">
        <v>1442</v>
      </c>
    </row>
    <row r="394" spans="2:5" ht="79.2" x14ac:dyDescent="0.25">
      <c r="B394" s="71" t="s">
        <v>259</v>
      </c>
      <c r="C394" s="52" t="s">
        <v>675</v>
      </c>
      <c r="D394" s="52" t="s">
        <v>1445</v>
      </c>
    </row>
    <row r="395" spans="2:5" ht="52.8" x14ac:dyDescent="0.25">
      <c r="B395" s="71" t="s">
        <v>366</v>
      </c>
      <c r="C395" s="52" t="s">
        <v>674</v>
      </c>
      <c r="D395" s="52" t="s">
        <v>1444</v>
      </c>
    </row>
    <row r="396" spans="2:5" ht="13.2" customHeight="1" x14ac:dyDescent="0.25">
      <c r="B396" s="207" t="s">
        <v>64</v>
      </c>
      <c r="C396" s="202" t="s">
        <v>819</v>
      </c>
      <c r="D396" s="202" t="s">
        <v>1449</v>
      </c>
    </row>
    <row r="397" spans="2:5" ht="26.4" x14ac:dyDescent="0.25">
      <c r="B397" s="71" t="s">
        <v>66</v>
      </c>
      <c r="C397" s="52" t="s">
        <v>820</v>
      </c>
      <c r="D397" s="52" t="s">
        <v>1448</v>
      </c>
    </row>
    <row r="398" spans="2:5" ht="39.6" x14ac:dyDescent="0.25">
      <c r="B398" s="207" t="s">
        <v>67</v>
      </c>
      <c r="C398" s="230" t="s">
        <v>672</v>
      </c>
      <c r="D398" s="230" t="s">
        <v>1446</v>
      </c>
    </row>
    <row r="399" spans="2:5" ht="119.4" thickBot="1" x14ac:dyDescent="0.3">
      <c r="B399" s="121" t="s">
        <v>69</v>
      </c>
      <c r="C399" s="58" t="s">
        <v>673</v>
      </c>
      <c r="D399" s="58" t="s">
        <v>1447</v>
      </c>
    </row>
    <row r="400" spans="2:5" x14ac:dyDescent="0.25">
      <c r="B400" s="231" t="s">
        <v>378</v>
      </c>
      <c r="C400" s="189" t="s">
        <v>379</v>
      </c>
      <c r="D400" s="189" t="s">
        <v>1470</v>
      </c>
      <c r="E400" s="216"/>
    </row>
    <row r="401" spans="1:4" x14ac:dyDescent="0.25">
      <c r="B401" s="207" t="s">
        <v>54</v>
      </c>
      <c r="C401" s="202" t="s">
        <v>380</v>
      </c>
      <c r="D401" s="202" t="s">
        <v>1450</v>
      </c>
    </row>
    <row r="402" spans="1:4" ht="26.4" x14ac:dyDescent="0.25">
      <c r="B402" s="71" t="s">
        <v>58</v>
      </c>
      <c r="C402" s="52" t="s">
        <v>949</v>
      </c>
      <c r="D402" s="52" t="s">
        <v>1451</v>
      </c>
    </row>
    <row r="403" spans="1:4" x14ac:dyDescent="0.25">
      <c r="B403" s="71" t="s">
        <v>181</v>
      </c>
      <c r="C403" s="132" t="s">
        <v>1452</v>
      </c>
      <c r="D403" s="132" t="s">
        <v>1453</v>
      </c>
    </row>
    <row r="404" spans="1:4" ht="26.4" x14ac:dyDescent="0.25">
      <c r="B404" s="71" t="s">
        <v>246</v>
      </c>
      <c r="C404" s="52" t="s">
        <v>950</v>
      </c>
      <c r="D404" s="52" t="s">
        <v>1454</v>
      </c>
    </row>
    <row r="405" spans="1:4" ht="26.4" x14ac:dyDescent="0.25">
      <c r="B405" s="71" t="s">
        <v>250</v>
      </c>
      <c r="C405" s="52" t="s">
        <v>951</v>
      </c>
      <c r="D405" s="52" t="s">
        <v>1455</v>
      </c>
    </row>
    <row r="406" spans="1:4" ht="26.4" x14ac:dyDescent="0.25">
      <c r="B406" s="71" t="s">
        <v>121</v>
      </c>
      <c r="C406" s="52" t="s">
        <v>952</v>
      </c>
      <c r="D406" s="52" t="s">
        <v>1456</v>
      </c>
    </row>
    <row r="407" spans="1:4" x14ac:dyDescent="0.25">
      <c r="B407" s="207" t="s">
        <v>61</v>
      </c>
      <c r="C407" s="202" t="s">
        <v>381</v>
      </c>
      <c r="D407" s="202" t="s">
        <v>1457</v>
      </c>
    </row>
    <row r="408" spans="1:4" ht="52.8" x14ac:dyDescent="0.25">
      <c r="B408" s="71" t="s">
        <v>63</v>
      </c>
      <c r="C408" s="52" t="s">
        <v>953</v>
      </c>
      <c r="D408" s="52" t="s">
        <v>1458</v>
      </c>
    </row>
    <row r="409" spans="1:4" x14ac:dyDescent="0.25">
      <c r="B409" s="207" t="s">
        <v>64</v>
      </c>
      <c r="C409" s="202" t="s">
        <v>382</v>
      </c>
      <c r="D409" s="202" t="s">
        <v>1459</v>
      </c>
    </row>
    <row r="410" spans="1:4" ht="78.599999999999994" customHeight="1" x14ac:dyDescent="0.25">
      <c r="B410" s="71" t="s">
        <v>66</v>
      </c>
      <c r="C410" s="52" t="s">
        <v>1460</v>
      </c>
      <c r="D410" s="52" t="s">
        <v>1461</v>
      </c>
    </row>
    <row r="411" spans="1:4" ht="39.6" x14ac:dyDescent="0.25">
      <c r="A411" s="253" t="s">
        <v>1812</v>
      </c>
      <c r="B411" s="398" t="s">
        <v>188</v>
      </c>
      <c r="C411" s="54" t="s">
        <v>1819</v>
      </c>
      <c r="D411" s="54" t="s">
        <v>1825</v>
      </c>
    </row>
    <row r="412" spans="1:4" ht="158.4" x14ac:dyDescent="0.25">
      <c r="A412" s="253" t="s">
        <v>1812</v>
      </c>
      <c r="B412" s="399"/>
      <c r="C412" s="133" t="s">
        <v>1816</v>
      </c>
      <c r="D412" s="133" t="s">
        <v>1826</v>
      </c>
    </row>
    <row r="413" spans="1:4" x14ac:dyDescent="0.25">
      <c r="B413" s="207" t="s">
        <v>67</v>
      </c>
      <c r="C413" s="202" t="s">
        <v>823</v>
      </c>
      <c r="D413" s="202" t="s">
        <v>1462</v>
      </c>
    </row>
    <row r="414" spans="1:4" ht="92.4" x14ac:dyDescent="0.25">
      <c r="B414" s="71" t="s">
        <v>69</v>
      </c>
      <c r="C414" s="52" t="s">
        <v>955</v>
      </c>
      <c r="D414" s="52" t="s">
        <v>1464</v>
      </c>
    </row>
    <row r="415" spans="1:4" x14ac:dyDescent="0.25">
      <c r="B415" s="207" t="s">
        <v>154</v>
      </c>
      <c r="C415" s="202" t="s">
        <v>821</v>
      </c>
      <c r="D415" s="202" t="s">
        <v>1463</v>
      </c>
    </row>
    <row r="416" spans="1:4" ht="52.8" x14ac:dyDescent="0.25">
      <c r="B416" s="71" t="s">
        <v>156</v>
      </c>
      <c r="C416" s="52" t="s">
        <v>956</v>
      </c>
      <c r="D416" s="52" t="s">
        <v>1465</v>
      </c>
    </row>
    <row r="417" spans="1:5" x14ac:dyDescent="0.25">
      <c r="B417" s="207" t="s">
        <v>157</v>
      </c>
      <c r="C417" s="202" t="s">
        <v>1817</v>
      </c>
      <c r="D417" s="202" t="s">
        <v>1466</v>
      </c>
    </row>
    <row r="418" spans="1:5" ht="66" x14ac:dyDescent="0.25">
      <c r="B418" s="71" t="s">
        <v>159</v>
      </c>
      <c r="C418" s="52" t="s">
        <v>954</v>
      </c>
      <c r="D418" s="52" t="s">
        <v>1467</v>
      </c>
    </row>
    <row r="419" spans="1:5" ht="39.6" x14ac:dyDescent="0.25">
      <c r="A419" s="253" t="s">
        <v>1812</v>
      </c>
      <c r="B419" s="398" t="s">
        <v>160</v>
      </c>
      <c r="C419" s="54" t="s">
        <v>758</v>
      </c>
      <c r="D419" s="54" t="s">
        <v>1468</v>
      </c>
    </row>
    <row r="420" spans="1:5" ht="103.95" customHeight="1" x14ac:dyDescent="0.25">
      <c r="A420" s="253" t="s">
        <v>1812</v>
      </c>
      <c r="B420" s="399"/>
      <c r="C420" s="52" t="s">
        <v>1818</v>
      </c>
      <c r="D420" s="52" t="s">
        <v>1827</v>
      </c>
    </row>
    <row r="421" spans="1:5" ht="13.2" customHeight="1" x14ac:dyDescent="0.25">
      <c r="B421" s="207" t="s">
        <v>282</v>
      </c>
      <c r="C421" s="202" t="s">
        <v>822</v>
      </c>
      <c r="D421" s="202" t="s">
        <v>1469</v>
      </c>
    </row>
    <row r="422" spans="1:5" ht="26.4" x14ac:dyDescent="0.25">
      <c r="B422" s="71" t="s">
        <v>284</v>
      </c>
      <c r="C422" s="52" t="s">
        <v>1472</v>
      </c>
      <c r="D422" s="52" t="s">
        <v>1471</v>
      </c>
    </row>
    <row r="423" spans="1:5" x14ac:dyDescent="0.25">
      <c r="B423" s="55" t="s">
        <v>391</v>
      </c>
      <c r="C423" s="122" t="s">
        <v>392</v>
      </c>
      <c r="D423" s="122" t="s">
        <v>1473</v>
      </c>
      <c r="E423" s="147"/>
    </row>
    <row r="424" spans="1:5" x14ac:dyDescent="0.25">
      <c r="B424" s="207" t="s">
        <v>54</v>
      </c>
      <c r="C424" s="202" t="s">
        <v>393</v>
      </c>
      <c r="D424" s="202" t="s">
        <v>1474</v>
      </c>
    </row>
    <row r="425" spans="1:5" ht="26.4" x14ac:dyDescent="0.25">
      <c r="B425" s="71" t="s">
        <v>58</v>
      </c>
      <c r="C425" s="52" t="s">
        <v>957</v>
      </c>
      <c r="D425" s="52" t="s">
        <v>1475</v>
      </c>
    </row>
    <row r="426" spans="1:5" ht="26.4" x14ac:dyDescent="0.25">
      <c r="B426" s="71" t="s">
        <v>181</v>
      </c>
      <c r="C426" s="132" t="s">
        <v>889</v>
      </c>
      <c r="D426" s="132" t="s">
        <v>1476</v>
      </c>
    </row>
    <row r="427" spans="1:5" ht="13.2" customHeight="1" x14ac:dyDescent="0.25">
      <c r="B427" s="71" t="s">
        <v>246</v>
      </c>
      <c r="C427" s="132" t="s">
        <v>966</v>
      </c>
      <c r="D427" s="132" t="s">
        <v>1477</v>
      </c>
    </row>
    <row r="428" spans="1:5" ht="26.4" x14ac:dyDescent="0.25">
      <c r="B428" s="71" t="s">
        <v>250</v>
      </c>
      <c r="C428" s="132" t="s">
        <v>973</v>
      </c>
      <c r="D428" s="132" t="s">
        <v>1478</v>
      </c>
    </row>
    <row r="429" spans="1:5" ht="26.4" x14ac:dyDescent="0.25">
      <c r="B429" s="71" t="s">
        <v>121</v>
      </c>
      <c r="C429" s="132" t="s">
        <v>967</v>
      </c>
      <c r="D429" s="132" t="s">
        <v>1479</v>
      </c>
    </row>
    <row r="430" spans="1:5" ht="26.4" customHeight="1" x14ac:dyDescent="0.25">
      <c r="B430" s="71" t="s">
        <v>824</v>
      </c>
      <c r="C430" s="132" t="s">
        <v>968</v>
      </c>
      <c r="D430" s="132" t="s">
        <v>1480</v>
      </c>
    </row>
    <row r="431" spans="1:5" ht="13.2" customHeight="1" x14ac:dyDescent="0.25">
      <c r="B431" s="207" t="s">
        <v>61</v>
      </c>
      <c r="C431" s="202" t="s">
        <v>394</v>
      </c>
      <c r="D431" s="202" t="s">
        <v>1481</v>
      </c>
    </row>
    <row r="432" spans="1:5" ht="52.8" x14ac:dyDescent="0.25">
      <c r="B432" s="71" t="s">
        <v>63</v>
      </c>
      <c r="C432" s="52" t="s">
        <v>963</v>
      </c>
      <c r="D432" s="52" t="s">
        <v>1482</v>
      </c>
    </row>
    <row r="433" spans="2:4" ht="13.2" customHeight="1" x14ac:dyDescent="0.25">
      <c r="B433" s="207" t="s">
        <v>64</v>
      </c>
      <c r="C433" s="202" t="s">
        <v>395</v>
      </c>
      <c r="D433" s="202" t="s">
        <v>1483</v>
      </c>
    </row>
    <row r="434" spans="2:4" ht="39.6" x14ac:dyDescent="0.25">
      <c r="B434" s="71" t="s">
        <v>66</v>
      </c>
      <c r="C434" s="146" t="s">
        <v>958</v>
      </c>
      <c r="D434" s="146" t="s">
        <v>1484</v>
      </c>
    </row>
    <row r="435" spans="2:4" ht="39.6" x14ac:dyDescent="0.25">
      <c r="B435" s="71" t="s">
        <v>188</v>
      </c>
      <c r="C435" s="52" t="s">
        <v>1485</v>
      </c>
      <c r="D435" s="52" t="s">
        <v>1486</v>
      </c>
    </row>
    <row r="436" spans="2:4" ht="39.6" x14ac:dyDescent="0.25">
      <c r="B436" s="71" t="s">
        <v>150</v>
      </c>
      <c r="C436" s="52" t="s">
        <v>969</v>
      </c>
      <c r="D436" s="52" t="s">
        <v>1487</v>
      </c>
    </row>
    <row r="437" spans="2:4" ht="39.6" x14ac:dyDescent="0.25">
      <c r="B437" s="71" t="s">
        <v>377</v>
      </c>
      <c r="C437" s="52" t="s">
        <v>964</v>
      </c>
      <c r="D437" s="52" t="s">
        <v>1488</v>
      </c>
    </row>
    <row r="438" spans="2:4" ht="26.4" x14ac:dyDescent="0.25">
      <c r="B438" s="71" t="s">
        <v>189</v>
      </c>
      <c r="C438" s="52" t="s">
        <v>970</v>
      </c>
      <c r="D438" s="132" t="s">
        <v>1489</v>
      </c>
    </row>
    <row r="439" spans="2:4" ht="13.2" customHeight="1" x14ac:dyDescent="0.25">
      <c r="B439" s="71" t="s">
        <v>190</v>
      </c>
      <c r="C439" s="52" t="s">
        <v>965</v>
      </c>
      <c r="D439" s="52" t="s">
        <v>1490</v>
      </c>
    </row>
    <row r="440" spans="2:4" ht="118.8" x14ac:dyDescent="0.25">
      <c r="B440" s="71" t="s">
        <v>396</v>
      </c>
      <c r="C440" s="52" t="s">
        <v>1492</v>
      </c>
      <c r="D440" s="52" t="s">
        <v>1491</v>
      </c>
    </row>
    <row r="441" spans="2:4" x14ac:dyDescent="0.25">
      <c r="B441" s="207" t="s">
        <v>67</v>
      </c>
      <c r="C441" s="202" t="s">
        <v>397</v>
      </c>
      <c r="D441" s="202" t="s">
        <v>1493</v>
      </c>
    </row>
    <row r="442" spans="2:4" ht="52.8" x14ac:dyDescent="0.25">
      <c r="B442" s="71" t="s">
        <v>69</v>
      </c>
      <c r="C442" s="52" t="s">
        <v>959</v>
      </c>
      <c r="D442" s="52" t="s">
        <v>1494</v>
      </c>
    </row>
    <row r="443" spans="2:4" ht="79.2" x14ac:dyDescent="0.25">
      <c r="B443" s="71" t="s">
        <v>78</v>
      </c>
      <c r="C443" s="52" t="s">
        <v>960</v>
      </c>
      <c r="D443" s="52" t="s">
        <v>1495</v>
      </c>
    </row>
    <row r="444" spans="2:4" x14ac:dyDescent="0.25">
      <c r="B444" s="207" t="s">
        <v>154</v>
      </c>
      <c r="C444" s="202" t="s">
        <v>398</v>
      </c>
      <c r="D444" s="202" t="s">
        <v>1496</v>
      </c>
    </row>
    <row r="445" spans="2:4" x14ac:dyDescent="0.25">
      <c r="B445" s="71" t="s">
        <v>156</v>
      </c>
      <c r="C445" s="146" t="s">
        <v>1497</v>
      </c>
      <c r="D445" s="146" t="s">
        <v>1498</v>
      </c>
    </row>
    <row r="446" spans="2:4" ht="26.4" x14ac:dyDescent="0.25">
      <c r="B446" s="361" t="s">
        <v>218</v>
      </c>
      <c r="C446" s="68" t="s">
        <v>399</v>
      </c>
      <c r="D446" s="68" t="s">
        <v>1499</v>
      </c>
    </row>
    <row r="447" spans="2:4" ht="39.6" x14ac:dyDescent="0.25">
      <c r="B447" s="361"/>
      <c r="C447" s="52" t="s">
        <v>400</v>
      </c>
      <c r="D447" s="52" t="s">
        <v>1500</v>
      </c>
    </row>
    <row r="448" spans="2:4" ht="66" x14ac:dyDescent="0.25">
      <c r="B448" s="361"/>
      <c r="C448" s="52" t="s">
        <v>401</v>
      </c>
      <c r="D448" s="52" t="s">
        <v>1501</v>
      </c>
    </row>
    <row r="449" spans="2:5" ht="52.8" x14ac:dyDescent="0.25">
      <c r="B449" s="71" t="s">
        <v>219</v>
      </c>
      <c r="C449" s="52" t="s">
        <v>971</v>
      </c>
      <c r="D449" s="52" t="s">
        <v>1502</v>
      </c>
    </row>
    <row r="450" spans="2:5" ht="52.8" x14ac:dyDescent="0.25">
      <c r="B450" s="71" t="s">
        <v>220</v>
      </c>
      <c r="C450" s="52" t="s">
        <v>972</v>
      </c>
      <c r="D450" s="52" t="s">
        <v>1503</v>
      </c>
    </row>
    <row r="451" spans="2:5" ht="26.4" x14ac:dyDescent="0.25">
      <c r="B451" s="71" t="s">
        <v>221</v>
      </c>
      <c r="C451" s="132" t="s">
        <v>826</v>
      </c>
      <c r="D451" s="132" t="s">
        <v>1504</v>
      </c>
    </row>
    <row r="452" spans="2:5" ht="66" x14ac:dyDescent="0.25">
      <c r="B452" s="71" t="s">
        <v>679</v>
      </c>
      <c r="C452" s="52" t="s">
        <v>961</v>
      </c>
      <c r="D452" s="52" t="s">
        <v>1505</v>
      </c>
    </row>
    <row r="453" spans="2:5" ht="26.4" x14ac:dyDescent="0.25">
      <c r="B453" s="71" t="s">
        <v>825</v>
      </c>
      <c r="C453" s="132" t="s">
        <v>1509</v>
      </c>
      <c r="D453" s="132" t="s">
        <v>1510</v>
      </c>
    </row>
    <row r="454" spans="2:5" x14ac:dyDescent="0.25">
      <c r="B454" s="207" t="s">
        <v>157</v>
      </c>
      <c r="C454" s="202" t="s">
        <v>402</v>
      </c>
      <c r="D454" s="202" t="s">
        <v>1506</v>
      </c>
    </row>
    <row r="455" spans="2:5" ht="92.4" x14ac:dyDescent="0.25">
      <c r="B455" s="71" t="s">
        <v>159</v>
      </c>
      <c r="C455" s="52" t="s">
        <v>962</v>
      </c>
      <c r="D455" s="52" t="s">
        <v>1507</v>
      </c>
    </row>
    <row r="456" spans="2:5" ht="118.8" x14ac:dyDescent="0.25">
      <c r="B456" s="71" t="s">
        <v>160</v>
      </c>
      <c r="C456" s="68" t="s">
        <v>853</v>
      </c>
      <c r="D456" s="68" t="s">
        <v>1508</v>
      </c>
    </row>
    <row r="457" spans="2:5" x14ac:dyDescent="0.25">
      <c r="B457" s="55" t="s">
        <v>411</v>
      </c>
      <c r="C457" s="122" t="s">
        <v>412</v>
      </c>
      <c r="D457" s="122" t="s">
        <v>1511</v>
      </c>
      <c r="E457" s="147"/>
    </row>
    <row r="458" spans="2:5" ht="26.4" x14ac:dyDescent="0.25">
      <c r="B458" s="207" t="s">
        <v>54</v>
      </c>
      <c r="C458" s="202" t="s">
        <v>413</v>
      </c>
      <c r="D458" s="202" t="s">
        <v>1512</v>
      </c>
    </row>
    <row r="459" spans="2:5" ht="79.2" x14ac:dyDescent="0.25">
      <c r="B459" s="57" t="s">
        <v>58</v>
      </c>
      <c r="C459" s="52" t="s">
        <v>974</v>
      </c>
      <c r="D459" s="52" t="s">
        <v>1513</v>
      </c>
    </row>
    <row r="460" spans="2:5" x14ac:dyDescent="0.25">
      <c r="B460" s="207" t="s">
        <v>61</v>
      </c>
      <c r="C460" s="202" t="s">
        <v>759</v>
      </c>
      <c r="D460" s="202" t="s">
        <v>1514</v>
      </c>
    </row>
    <row r="461" spans="2:5" x14ac:dyDescent="0.25">
      <c r="B461" s="361" t="s">
        <v>63</v>
      </c>
      <c r="C461" s="147" t="s">
        <v>760</v>
      </c>
      <c r="D461" s="147" t="s">
        <v>1515</v>
      </c>
    </row>
    <row r="462" spans="2:5" ht="79.2" x14ac:dyDescent="0.25">
      <c r="B462" s="361"/>
      <c r="C462" s="52" t="s">
        <v>1009</v>
      </c>
      <c r="D462" s="52" t="s">
        <v>1516</v>
      </c>
    </row>
    <row r="463" spans="2:5" ht="92.4" x14ac:dyDescent="0.25">
      <c r="B463" s="71" t="s">
        <v>186</v>
      </c>
      <c r="C463" s="52" t="s">
        <v>1011</v>
      </c>
      <c r="D463" s="52" t="s">
        <v>1517</v>
      </c>
    </row>
    <row r="464" spans="2:5" ht="26.4" x14ac:dyDescent="0.25">
      <c r="B464" s="71" t="s">
        <v>255</v>
      </c>
      <c r="C464" s="52" t="s">
        <v>975</v>
      </c>
      <c r="D464" s="52" t="s">
        <v>1518</v>
      </c>
    </row>
    <row r="465" spans="2:5" x14ac:dyDescent="0.25">
      <c r="B465" s="207" t="s">
        <v>64</v>
      </c>
      <c r="C465" s="202" t="s">
        <v>761</v>
      </c>
      <c r="D465" s="202" t="s">
        <v>1519</v>
      </c>
    </row>
    <row r="466" spans="2:5" ht="118.8" x14ac:dyDescent="0.25">
      <c r="B466" s="71" t="s">
        <v>66</v>
      </c>
      <c r="C466" s="52" t="s">
        <v>1010</v>
      </c>
      <c r="D466" s="52" t="s">
        <v>1520</v>
      </c>
    </row>
    <row r="467" spans="2:5" ht="39.6" customHeight="1" x14ac:dyDescent="0.25">
      <c r="B467" s="207" t="s">
        <v>67</v>
      </c>
      <c r="C467" s="202" t="s">
        <v>420</v>
      </c>
      <c r="D467" s="202" t="s">
        <v>1521</v>
      </c>
    </row>
    <row r="468" spans="2:5" ht="79.2" x14ac:dyDescent="0.25">
      <c r="B468" s="71" t="s">
        <v>69</v>
      </c>
      <c r="C468" s="52" t="s">
        <v>976</v>
      </c>
      <c r="D468" s="52" t="s">
        <v>1522</v>
      </c>
    </row>
    <row r="469" spans="2:5" ht="105.6" x14ac:dyDescent="0.25">
      <c r="B469" s="71" t="s">
        <v>78</v>
      </c>
      <c r="C469" s="52" t="s">
        <v>977</v>
      </c>
      <c r="D469" s="52" t="s">
        <v>1523</v>
      </c>
    </row>
    <row r="470" spans="2:5" ht="26.4" x14ac:dyDescent="0.25">
      <c r="B470" s="55" t="s">
        <v>421</v>
      </c>
      <c r="C470" s="122" t="s">
        <v>422</v>
      </c>
      <c r="D470" s="205" t="s">
        <v>1524</v>
      </c>
      <c r="E470" s="147"/>
    </row>
    <row r="471" spans="2:5" x14ac:dyDescent="0.25">
      <c r="B471" s="207" t="s">
        <v>54</v>
      </c>
      <c r="C471" s="202" t="s">
        <v>423</v>
      </c>
      <c r="D471" s="202" t="s">
        <v>1525</v>
      </c>
    </row>
    <row r="472" spans="2:5" ht="26.4" x14ac:dyDescent="0.25">
      <c r="B472" s="71" t="s">
        <v>58</v>
      </c>
      <c r="C472" s="132" t="s">
        <v>435</v>
      </c>
      <c r="D472" s="132" t="s">
        <v>1526</v>
      </c>
    </row>
    <row r="473" spans="2:5" ht="13.2" customHeight="1" x14ac:dyDescent="0.25">
      <c r="B473" s="207" t="s">
        <v>61</v>
      </c>
      <c r="C473" s="202" t="s">
        <v>436</v>
      </c>
      <c r="D473" s="202" t="s">
        <v>1527</v>
      </c>
    </row>
    <row r="474" spans="2:5" ht="52.8" x14ac:dyDescent="0.25">
      <c r="B474" s="71" t="s">
        <v>63</v>
      </c>
      <c r="C474" s="52" t="s">
        <v>978</v>
      </c>
      <c r="D474" s="52" t="s">
        <v>1528</v>
      </c>
    </row>
    <row r="475" spans="2:5" ht="211.2" x14ac:dyDescent="0.25">
      <c r="B475" s="71" t="s">
        <v>437</v>
      </c>
      <c r="C475" s="52" t="s">
        <v>566</v>
      </c>
      <c r="D475" s="52" t="s">
        <v>1529</v>
      </c>
    </row>
    <row r="476" spans="2:5" ht="26.4" x14ac:dyDescent="0.25">
      <c r="B476" s="207" t="s">
        <v>64</v>
      </c>
      <c r="C476" s="202" t="s">
        <v>763</v>
      </c>
      <c r="D476" s="202" t="s">
        <v>1530</v>
      </c>
    </row>
    <row r="477" spans="2:5" x14ac:dyDescent="0.25">
      <c r="B477" s="361" t="s">
        <v>66</v>
      </c>
      <c r="C477" s="132" t="s">
        <v>762</v>
      </c>
      <c r="D477" s="132" t="s">
        <v>1531</v>
      </c>
    </row>
    <row r="478" spans="2:5" ht="102.6" customHeight="1" x14ac:dyDescent="0.25">
      <c r="B478" s="361"/>
      <c r="C478" s="52" t="s">
        <v>1532</v>
      </c>
      <c r="D478" s="52" t="s">
        <v>1533</v>
      </c>
    </row>
    <row r="479" spans="2:5" ht="79.2" x14ac:dyDescent="0.25">
      <c r="B479" s="71" t="s">
        <v>188</v>
      </c>
      <c r="C479" s="52" t="s">
        <v>764</v>
      </c>
      <c r="D479" s="52" t="s">
        <v>1534</v>
      </c>
    </row>
    <row r="480" spans="2:5" x14ac:dyDescent="0.25">
      <c r="B480" s="207" t="s">
        <v>67</v>
      </c>
      <c r="C480" s="202" t="s">
        <v>442</v>
      </c>
      <c r="D480" s="202" t="s">
        <v>1535</v>
      </c>
    </row>
    <row r="481" spans="2:4" ht="105.6" x14ac:dyDescent="0.25">
      <c r="B481" s="71" t="s">
        <v>69</v>
      </c>
      <c r="C481" s="52" t="s">
        <v>1537</v>
      </c>
      <c r="D481" s="52" t="s">
        <v>1536</v>
      </c>
    </row>
    <row r="482" spans="2:4" ht="13.2" customHeight="1" x14ac:dyDescent="0.25">
      <c r="B482" s="207" t="s">
        <v>154</v>
      </c>
      <c r="C482" s="202" t="s">
        <v>443</v>
      </c>
      <c r="D482" s="202" t="s">
        <v>1538</v>
      </c>
    </row>
    <row r="483" spans="2:4" ht="79.2" x14ac:dyDescent="0.25">
      <c r="B483" s="71" t="s">
        <v>156</v>
      </c>
      <c r="C483" s="52" t="s">
        <v>979</v>
      </c>
      <c r="D483" s="52" t="s">
        <v>1539</v>
      </c>
    </row>
    <row r="484" spans="2:4" ht="39.6" x14ac:dyDescent="0.25">
      <c r="B484" s="71" t="s">
        <v>218</v>
      </c>
      <c r="C484" s="52" t="s">
        <v>1540</v>
      </c>
      <c r="D484" s="52" t="s">
        <v>1541</v>
      </c>
    </row>
    <row r="485" spans="2:4" ht="13.2" customHeight="1" x14ac:dyDescent="0.25">
      <c r="B485" s="207" t="s">
        <v>157</v>
      </c>
      <c r="C485" s="202" t="s">
        <v>444</v>
      </c>
      <c r="D485" s="202" t="s">
        <v>1542</v>
      </c>
    </row>
    <row r="486" spans="2:4" ht="118.8" x14ac:dyDescent="0.25">
      <c r="B486" s="71" t="s">
        <v>159</v>
      </c>
      <c r="C486" s="52" t="s">
        <v>980</v>
      </c>
      <c r="D486" s="52" t="s">
        <v>1543</v>
      </c>
    </row>
    <row r="487" spans="2:4" ht="13.2" customHeight="1" x14ac:dyDescent="0.25">
      <c r="B487" s="207" t="s">
        <v>282</v>
      </c>
      <c r="C487" s="202" t="s">
        <v>445</v>
      </c>
      <c r="D487" s="202" t="s">
        <v>1544</v>
      </c>
    </row>
    <row r="488" spans="2:4" ht="66" x14ac:dyDescent="0.25">
      <c r="B488" s="71" t="s">
        <v>284</v>
      </c>
      <c r="C488" s="52" t="s">
        <v>981</v>
      </c>
      <c r="D488" s="52" t="s">
        <v>1545</v>
      </c>
    </row>
    <row r="489" spans="2:4" x14ac:dyDescent="0.25">
      <c r="B489" s="207" t="s">
        <v>285</v>
      </c>
      <c r="C489" s="202" t="s">
        <v>446</v>
      </c>
      <c r="D489" s="202" t="s">
        <v>1546</v>
      </c>
    </row>
    <row r="490" spans="2:4" ht="79.2" x14ac:dyDescent="0.25">
      <c r="B490" s="71" t="s">
        <v>287</v>
      </c>
      <c r="C490" s="52" t="s">
        <v>982</v>
      </c>
      <c r="D490" s="52" t="s">
        <v>1547</v>
      </c>
    </row>
    <row r="491" spans="2:4" s="214" customFormat="1" ht="26.4" x14ac:dyDescent="0.25">
      <c r="B491" s="207" t="s">
        <v>292</v>
      </c>
      <c r="C491" s="202" t="s">
        <v>447</v>
      </c>
      <c r="D491" s="202" t="s">
        <v>1548</v>
      </c>
    </row>
    <row r="492" spans="2:4" ht="26.4" x14ac:dyDescent="0.25">
      <c r="B492" s="71" t="s">
        <v>293</v>
      </c>
      <c r="C492" s="52" t="s">
        <v>1549</v>
      </c>
      <c r="D492" s="52" t="s">
        <v>1550</v>
      </c>
    </row>
    <row r="493" spans="2:4" ht="118.8" x14ac:dyDescent="0.25">
      <c r="B493" s="19" t="s">
        <v>460</v>
      </c>
      <c r="C493" s="52" t="s">
        <v>983</v>
      </c>
      <c r="D493" s="52" t="s">
        <v>1551</v>
      </c>
    </row>
    <row r="494" spans="2:4" x14ac:dyDescent="0.25">
      <c r="B494" s="207" t="s">
        <v>448</v>
      </c>
      <c r="C494" s="202" t="s">
        <v>449</v>
      </c>
      <c r="D494" s="202" t="s">
        <v>1552</v>
      </c>
    </row>
    <row r="495" spans="2:4" ht="26.4" x14ac:dyDescent="0.25">
      <c r="B495" s="19" t="s">
        <v>459</v>
      </c>
      <c r="C495" s="132" t="s">
        <v>450</v>
      </c>
      <c r="D495" s="132" t="s">
        <v>1553</v>
      </c>
    </row>
    <row r="496" spans="2:4" ht="66" x14ac:dyDescent="0.25">
      <c r="B496" s="71" t="s">
        <v>458</v>
      </c>
      <c r="C496" s="52" t="s">
        <v>1554</v>
      </c>
      <c r="D496" s="52" t="s">
        <v>1555</v>
      </c>
    </row>
    <row r="497" spans="2:5" ht="26.4" x14ac:dyDescent="0.25">
      <c r="B497" s="55" t="s">
        <v>454</v>
      </c>
      <c r="C497" s="122" t="s">
        <v>455</v>
      </c>
      <c r="D497" s="205" t="s">
        <v>1556</v>
      </c>
      <c r="E497" s="147"/>
    </row>
    <row r="498" spans="2:5" ht="13.2" customHeight="1" x14ac:dyDescent="0.25">
      <c r="B498" s="207" t="s">
        <v>54</v>
      </c>
      <c r="C498" s="202" t="s">
        <v>456</v>
      </c>
      <c r="D498" s="202" t="s">
        <v>1557</v>
      </c>
    </row>
    <row r="499" spans="2:5" ht="79.2" x14ac:dyDescent="0.25">
      <c r="B499" s="71" t="s">
        <v>58</v>
      </c>
      <c r="C499" s="52" t="s">
        <v>984</v>
      </c>
      <c r="D499" s="52" t="s">
        <v>1558</v>
      </c>
    </row>
    <row r="500" spans="2:5" ht="13.2" customHeight="1" x14ac:dyDescent="0.25">
      <c r="B500" s="207" t="s">
        <v>61</v>
      </c>
      <c r="C500" s="202" t="s">
        <v>461</v>
      </c>
      <c r="D500" s="202" t="s">
        <v>1559</v>
      </c>
    </row>
    <row r="501" spans="2:5" ht="26.4" x14ac:dyDescent="0.25">
      <c r="B501" s="71" t="s">
        <v>63</v>
      </c>
      <c r="C501" s="132" t="s">
        <v>1561</v>
      </c>
      <c r="D501" s="132" t="s">
        <v>1560</v>
      </c>
    </row>
    <row r="502" spans="2:5" ht="52.95" customHeight="1" x14ac:dyDescent="0.25">
      <c r="B502" s="71" t="s">
        <v>186</v>
      </c>
      <c r="C502" s="132" t="s">
        <v>827</v>
      </c>
      <c r="D502" s="132" t="s">
        <v>1562</v>
      </c>
    </row>
    <row r="503" spans="2:5" ht="39.6" x14ac:dyDescent="0.25">
      <c r="B503" s="71" t="s">
        <v>255</v>
      </c>
      <c r="C503" s="132" t="s">
        <v>828</v>
      </c>
      <c r="D503" s="132" t="s">
        <v>1563</v>
      </c>
    </row>
    <row r="504" spans="2:5" x14ac:dyDescent="0.25">
      <c r="B504" s="207" t="s">
        <v>64</v>
      </c>
      <c r="C504" s="202" t="s">
        <v>462</v>
      </c>
      <c r="D504" s="202" t="s">
        <v>1564</v>
      </c>
    </row>
    <row r="505" spans="2:5" ht="26.4" x14ac:dyDescent="0.25">
      <c r="B505" s="71" t="s">
        <v>66</v>
      </c>
      <c r="C505" s="52" t="s">
        <v>985</v>
      </c>
      <c r="D505" s="52" t="s">
        <v>1565</v>
      </c>
    </row>
    <row r="506" spans="2:5" ht="13.2" customHeight="1" x14ac:dyDescent="0.25">
      <c r="B506" s="207" t="s">
        <v>67</v>
      </c>
      <c r="C506" s="202" t="s">
        <v>463</v>
      </c>
      <c r="D506" s="202" t="s">
        <v>1566</v>
      </c>
    </row>
    <row r="507" spans="2:5" ht="26.4" x14ac:dyDescent="0.25">
      <c r="B507" s="71" t="s">
        <v>69</v>
      </c>
      <c r="C507" s="132" t="s">
        <v>465</v>
      </c>
      <c r="D507" s="132" t="s">
        <v>1567</v>
      </c>
    </row>
    <row r="508" spans="2:5" ht="26.4" customHeight="1" x14ac:dyDescent="0.25">
      <c r="B508" s="207" t="s">
        <v>154</v>
      </c>
      <c r="C508" s="202" t="s">
        <v>466</v>
      </c>
      <c r="D508" s="202" t="s">
        <v>1568</v>
      </c>
    </row>
    <row r="509" spans="2:5" ht="26.4" x14ac:dyDescent="0.25">
      <c r="B509" s="71" t="s">
        <v>156</v>
      </c>
      <c r="C509" s="132" t="s">
        <v>467</v>
      </c>
      <c r="D509" s="132" t="s">
        <v>1569</v>
      </c>
    </row>
    <row r="510" spans="2:5" ht="26.4" customHeight="1" x14ac:dyDescent="0.25">
      <c r="B510" s="207" t="s">
        <v>157</v>
      </c>
      <c r="C510" s="202" t="s">
        <v>469</v>
      </c>
      <c r="D510" s="202" t="s">
        <v>1570</v>
      </c>
    </row>
    <row r="511" spans="2:5" ht="26.4" x14ac:dyDescent="0.25">
      <c r="B511" s="71" t="s">
        <v>159</v>
      </c>
      <c r="C511" s="132" t="s">
        <v>470</v>
      </c>
      <c r="D511" s="132" t="s">
        <v>1571</v>
      </c>
    </row>
    <row r="512" spans="2:5" x14ac:dyDescent="0.25">
      <c r="B512" s="207" t="s">
        <v>282</v>
      </c>
      <c r="C512" s="202" t="s">
        <v>471</v>
      </c>
      <c r="D512" s="202" t="s">
        <v>1572</v>
      </c>
    </row>
    <row r="513" spans="2:5" x14ac:dyDescent="0.25">
      <c r="B513" s="361" t="s">
        <v>284</v>
      </c>
      <c r="C513" s="147" t="s">
        <v>464</v>
      </c>
      <c r="D513" s="147" t="s">
        <v>1573</v>
      </c>
    </row>
    <row r="514" spans="2:5" ht="66" x14ac:dyDescent="0.25">
      <c r="B514" s="361"/>
      <c r="C514" s="52" t="s">
        <v>472</v>
      </c>
      <c r="D514" s="52" t="s">
        <v>1574</v>
      </c>
    </row>
    <row r="515" spans="2:5" ht="66.599999999999994" thickBot="1" x14ac:dyDescent="0.3">
      <c r="B515" s="361"/>
      <c r="C515" s="52" t="s">
        <v>473</v>
      </c>
      <c r="D515" s="52" t="s">
        <v>1575</v>
      </c>
    </row>
    <row r="516" spans="2:5" x14ac:dyDescent="0.25">
      <c r="B516" s="49" t="s">
        <v>474</v>
      </c>
      <c r="C516" s="189" t="s">
        <v>475</v>
      </c>
      <c r="D516" s="189" t="s">
        <v>1598</v>
      </c>
      <c r="E516" s="216"/>
    </row>
    <row r="517" spans="2:5" x14ac:dyDescent="0.25">
      <c r="B517" s="207" t="s">
        <v>54</v>
      </c>
      <c r="C517" s="202" t="s">
        <v>476</v>
      </c>
      <c r="D517" s="202" t="s">
        <v>1576</v>
      </c>
    </row>
    <row r="518" spans="2:5" x14ac:dyDescent="0.25">
      <c r="B518" s="361" t="s">
        <v>58</v>
      </c>
      <c r="C518" s="147" t="s">
        <v>477</v>
      </c>
      <c r="D518" s="147" t="s">
        <v>1577</v>
      </c>
    </row>
    <row r="519" spans="2:5" ht="26.4" x14ac:dyDescent="0.25">
      <c r="B519" s="361"/>
      <c r="C519" s="52" t="s">
        <v>986</v>
      </c>
      <c r="D519" s="52" t="s">
        <v>1578</v>
      </c>
    </row>
    <row r="520" spans="2:5" ht="52.8" x14ac:dyDescent="0.25">
      <c r="B520" s="361"/>
      <c r="C520" s="52" t="s">
        <v>1012</v>
      </c>
      <c r="D520" s="52" t="s">
        <v>1579</v>
      </c>
    </row>
    <row r="521" spans="2:5" x14ac:dyDescent="0.25">
      <c r="B521" s="207" t="s">
        <v>61</v>
      </c>
      <c r="C521" s="202" t="s">
        <v>480</v>
      </c>
      <c r="D521" s="202" t="s">
        <v>1580</v>
      </c>
    </row>
    <row r="522" spans="2:5" ht="52.8" x14ac:dyDescent="0.25">
      <c r="B522" s="71" t="s">
        <v>63</v>
      </c>
      <c r="C522" s="132" t="s">
        <v>481</v>
      </c>
      <c r="D522" s="132" t="s">
        <v>1581</v>
      </c>
    </row>
    <row r="523" spans="2:5" ht="26.4" x14ac:dyDescent="0.25">
      <c r="B523" s="71" t="s">
        <v>186</v>
      </c>
      <c r="C523" s="132" t="s">
        <v>482</v>
      </c>
      <c r="D523" s="132" t="s">
        <v>1582</v>
      </c>
    </row>
    <row r="524" spans="2:5" x14ac:dyDescent="0.25">
      <c r="B524" s="361" t="s">
        <v>255</v>
      </c>
      <c r="C524" s="132" t="s">
        <v>483</v>
      </c>
      <c r="D524" s="132" t="s">
        <v>1583</v>
      </c>
    </row>
    <row r="525" spans="2:5" ht="92.4" x14ac:dyDescent="0.25">
      <c r="B525" s="361"/>
      <c r="C525" s="52" t="s">
        <v>484</v>
      </c>
      <c r="D525" s="52" t="s">
        <v>1584</v>
      </c>
    </row>
    <row r="526" spans="2:5" ht="79.2" x14ac:dyDescent="0.25">
      <c r="B526" s="361"/>
      <c r="C526" s="52" t="s">
        <v>485</v>
      </c>
      <c r="D526" s="52" t="s">
        <v>1585</v>
      </c>
    </row>
    <row r="527" spans="2:5" ht="52.8" x14ac:dyDescent="0.25">
      <c r="B527" s="361"/>
      <c r="C527" s="52" t="s">
        <v>486</v>
      </c>
      <c r="D527" s="52" t="s">
        <v>1586</v>
      </c>
    </row>
    <row r="528" spans="2:5" ht="13.2" customHeight="1" x14ac:dyDescent="0.25">
      <c r="B528" s="207" t="s">
        <v>64</v>
      </c>
      <c r="C528" s="202" t="s">
        <v>487</v>
      </c>
      <c r="D528" s="202" t="s">
        <v>1587</v>
      </c>
    </row>
    <row r="529" spans="2:5" ht="26.4" x14ac:dyDescent="0.25">
      <c r="B529" s="71" t="s">
        <v>66</v>
      </c>
      <c r="C529" s="52" t="s">
        <v>987</v>
      </c>
      <c r="D529" s="52" t="s">
        <v>1588</v>
      </c>
    </row>
    <row r="530" spans="2:5" ht="26.4" x14ac:dyDescent="0.25">
      <c r="B530" s="71" t="s">
        <v>188</v>
      </c>
      <c r="C530" s="52" t="s">
        <v>988</v>
      </c>
      <c r="D530" s="52" t="s">
        <v>1589</v>
      </c>
    </row>
    <row r="531" spans="2:5" ht="26.4" x14ac:dyDescent="0.25">
      <c r="B531" s="544" t="s">
        <v>150</v>
      </c>
      <c r="C531" s="132" t="s">
        <v>488</v>
      </c>
      <c r="D531" s="132" t="s">
        <v>1590</v>
      </c>
    </row>
    <row r="532" spans="2:5" ht="39.6" x14ac:dyDescent="0.25">
      <c r="B532" s="545"/>
      <c r="C532" s="234" t="s">
        <v>1591</v>
      </c>
      <c r="D532" s="192" t="s">
        <v>1592</v>
      </c>
    </row>
    <row r="533" spans="2:5" ht="79.2" x14ac:dyDescent="0.25">
      <c r="B533" s="545"/>
      <c r="C533" s="52" t="s">
        <v>890</v>
      </c>
      <c r="D533" s="52" t="s">
        <v>1596</v>
      </c>
    </row>
    <row r="534" spans="2:5" ht="79.2" x14ac:dyDescent="0.25">
      <c r="B534" s="545"/>
      <c r="C534" s="52" t="s">
        <v>891</v>
      </c>
      <c r="D534" s="52" t="s">
        <v>1595</v>
      </c>
    </row>
    <row r="535" spans="2:5" ht="79.2" x14ac:dyDescent="0.25">
      <c r="B535" s="545"/>
      <c r="C535" s="52" t="s">
        <v>892</v>
      </c>
      <c r="D535" s="52" t="s">
        <v>1594</v>
      </c>
    </row>
    <row r="536" spans="2:5" ht="105.6" x14ac:dyDescent="0.25">
      <c r="B536" s="545"/>
      <c r="C536" s="52" t="s">
        <v>492</v>
      </c>
      <c r="D536" s="52" t="s">
        <v>1593</v>
      </c>
    </row>
    <row r="537" spans="2:5" x14ac:dyDescent="0.25">
      <c r="C537" s="52" t="s">
        <v>1834</v>
      </c>
      <c r="D537" s="52" t="s">
        <v>1835</v>
      </c>
    </row>
    <row r="538" spans="2:5" x14ac:dyDescent="0.25">
      <c r="B538" s="55" t="s">
        <v>495</v>
      </c>
      <c r="C538" s="122" t="s">
        <v>496</v>
      </c>
      <c r="D538" s="122" t="s">
        <v>1597</v>
      </c>
      <c r="E538" s="147"/>
    </row>
    <row r="539" spans="2:5" ht="184.95" customHeight="1" x14ac:dyDescent="0.25">
      <c r="C539" s="202" t="s">
        <v>989</v>
      </c>
      <c r="D539" s="202" t="s">
        <v>1599</v>
      </c>
    </row>
    <row r="540" spans="2:5" ht="26.4" x14ac:dyDescent="0.25">
      <c r="B540" s="71" t="s">
        <v>58</v>
      </c>
      <c r="C540" s="135" t="s">
        <v>1618</v>
      </c>
      <c r="D540" s="135" t="s">
        <v>1618</v>
      </c>
    </row>
    <row r="541" spans="2:5" ht="39.6" x14ac:dyDescent="0.25">
      <c r="B541" s="71" t="s">
        <v>181</v>
      </c>
      <c r="C541" s="135" t="s">
        <v>1623</v>
      </c>
      <c r="D541" s="135" t="s">
        <v>1624</v>
      </c>
    </row>
    <row r="542" spans="2:5" ht="26.4" x14ac:dyDescent="0.25">
      <c r="B542" s="71" t="s">
        <v>246</v>
      </c>
      <c r="C542" s="135" t="s">
        <v>1625</v>
      </c>
      <c r="D542" s="135" t="s">
        <v>1626</v>
      </c>
    </row>
    <row r="543" spans="2:5" ht="26.4" x14ac:dyDescent="0.25">
      <c r="B543" s="71" t="s">
        <v>250</v>
      </c>
      <c r="C543" s="135" t="s">
        <v>1622</v>
      </c>
      <c r="D543" s="135" t="s">
        <v>1619</v>
      </c>
    </row>
    <row r="544" spans="2:5" ht="118.8" x14ac:dyDescent="0.25">
      <c r="C544" s="202" t="s">
        <v>686</v>
      </c>
      <c r="D544" s="235" t="s">
        <v>1600</v>
      </c>
    </row>
    <row r="545" spans="2:4" ht="39.6" x14ac:dyDescent="0.25">
      <c r="B545" s="71" t="s">
        <v>63</v>
      </c>
      <c r="C545" s="135" t="s">
        <v>1618</v>
      </c>
      <c r="D545" s="135" t="s">
        <v>1613</v>
      </c>
    </row>
    <row r="546" spans="2:4" ht="39.6" x14ac:dyDescent="0.25">
      <c r="B546" s="71" t="s">
        <v>186</v>
      </c>
      <c r="C546" s="135" t="s">
        <v>1617</v>
      </c>
      <c r="D546" s="135" t="s">
        <v>1614</v>
      </c>
    </row>
    <row r="547" spans="2:4" ht="39.6" x14ac:dyDescent="0.25">
      <c r="B547" s="71" t="s">
        <v>255</v>
      </c>
      <c r="C547" s="135" t="s">
        <v>1616</v>
      </c>
      <c r="D547" s="135" t="s">
        <v>1615</v>
      </c>
    </row>
    <row r="548" spans="2:4" ht="39.6" x14ac:dyDescent="0.25">
      <c r="B548" s="71" t="s">
        <v>256</v>
      </c>
      <c r="C548" s="135" t="s">
        <v>1620</v>
      </c>
      <c r="D548" s="135" t="s">
        <v>1619</v>
      </c>
    </row>
    <row r="549" spans="2:4" ht="118.8" x14ac:dyDescent="0.25">
      <c r="C549" s="210" t="s">
        <v>687</v>
      </c>
      <c r="D549" s="210" t="s">
        <v>1601</v>
      </c>
    </row>
    <row r="550" spans="2:4" ht="39.6" x14ac:dyDescent="0.25">
      <c r="B550" s="71" t="s">
        <v>66</v>
      </c>
      <c r="C550" s="135" t="s">
        <v>1613</v>
      </c>
      <c r="D550" s="135" t="s">
        <v>1618</v>
      </c>
    </row>
    <row r="551" spans="2:4" ht="39.6" x14ac:dyDescent="0.25">
      <c r="B551" s="71" t="s">
        <v>188</v>
      </c>
      <c r="C551" s="135" t="s">
        <v>1617</v>
      </c>
      <c r="D551" s="135" t="s">
        <v>1614</v>
      </c>
    </row>
    <row r="552" spans="2:4" ht="26.4" x14ac:dyDescent="0.25">
      <c r="B552" s="71" t="s">
        <v>150</v>
      </c>
      <c r="C552" s="135" t="s">
        <v>1625</v>
      </c>
      <c r="D552" s="135" t="s">
        <v>1615</v>
      </c>
    </row>
    <row r="553" spans="2:4" ht="26.4" x14ac:dyDescent="0.25">
      <c r="B553" s="71" t="s">
        <v>377</v>
      </c>
      <c r="C553" s="135" t="s">
        <v>1622</v>
      </c>
      <c r="D553" s="135" t="s">
        <v>1619</v>
      </c>
    </row>
    <row r="554" spans="2:4" ht="99" customHeight="1" x14ac:dyDescent="0.25">
      <c r="C554" s="210" t="s">
        <v>688</v>
      </c>
      <c r="D554" s="210" t="s">
        <v>1602</v>
      </c>
    </row>
    <row r="555" spans="2:4" ht="26.4" x14ac:dyDescent="0.25">
      <c r="B555" s="71" t="s">
        <v>69</v>
      </c>
      <c r="C555" s="135" t="s">
        <v>1618</v>
      </c>
      <c r="D555" s="135" t="s">
        <v>1621</v>
      </c>
    </row>
    <row r="556" spans="2:4" ht="158.4" x14ac:dyDescent="0.25">
      <c r="C556" s="135" t="s">
        <v>990</v>
      </c>
      <c r="D556" s="234" t="s">
        <v>1629</v>
      </c>
    </row>
    <row r="557" spans="2:4" ht="132" x14ac:dyDescent="0.25">
      <c r="C557" s="135" t="s">
        <v>991</v>
      </c>
      <c r="D557" s="234" t="s">
        <v>1630</v>
      </c>
    </row>
    <row r="558" spans="2:4" ht="145.19999999999999" x14ac:dyDescent="0.25">
      <c r="C558" s="135" t="s">
        <v>992</v>
      </c>
      <c r="D558" s="234" t="s">
        <v>1631</v>
      </c>
    </row>
    <row r="559" spans="2:4" ht="145.19999999999999" x14ac:dyDescent="0.25">
      <c r="C559" s="135" t="s">
        <v>993</v>
      </c>
      <c r="D559" s="234" t="s">
        <v>1632</v>
      </c>
    </row>
    <row r="560" spans="2:4" ht="26.4" x14ac:dyDescent="0.25">
      <c r="B560" s="71" t="s">
        <v>78</v>
      </c>
      <c r="C560" s="135" t="s">
        <v>1628</v>
      </c>
      <c r="D560" s="135" t="s">
        <v>1627</v>
      </c>
    </row>
    <row r="561" spans="2:5" ht="26.4" x14ac:dyDescent="0.25">
      <c r="B561" s="71" t="s">
        <v>214</v>
      </c>
      <c r="C561" s="135" t="s">
        <v>1625</v>
      </c>
      <c r="D561" s="135" t="s">
        <v>1615</v>
      </c>
    </row>
    <row r="562" spans="2:5" ht="26.4" x14ac:dyDescent="0.25">
      <c r="B562" s="71" t="s">
        <v>215</v>
      </c>
      <c r="C562" s="135" t="s">
        <v>1622</v>
      </c>
      <c r="D562" s="135" t="s">
        <v>1619</v>
      </c>
    </row>
    <row r="563" spans="2:5" ht="26.4" x14ac:dyDescent="0.25">
      <c r="C563" s="202" t="s">
        <v>579</v>
      </c>
      <c r="D563" s="202" t="s">
        <v>1603</v>
      </c>
    </row>
    <row r="564" spans="2:5" ht="52.8" x14ac:dyDescent="0.25">
      <c r="B564" s="71" t="s">
        <v>156</v>
      </c>
      <c r="C564" s="135" t="s">
        <v>1605</v>
      </c>
      <c r="D564" s="135" t="s">
        <v>1604</v>
      </c>
    </row>
    <row r="565" spans="2:5" ht="26.4" x14ac:dyDescent="0.25">
      <c r="B565" s="71" t="s">
        <v>218</v>
      </c>
      <c r="C565" s="135" t="s">
        <v>1607</v>
      </c>
      <c r="D565" s="135" t="s">
        <v>1606</v>
      </c>
    </row>
    <row r="566" spans="2:5" ht="39.6" x14ac:dyDescent="0.25">
      <c r="B566" s="71" t="s">
        <v>219</v>
      </c>
      <c r="C566" s="135" t="s">
        <v>1609</v>
      </c>
      <c r="D566" s="135" t="s">
        <v>1608</v>
      </c>
    </row>
    <row r="567" spans="2:5" ht="26.4" x14ac:dyDescent="0.25">
      <c r="C567" s="202" t="s">
        <v>580</v>
      </c>
      <c r="D567" s="202" t="s">
        <v>1610</v>
      </c>
    </row>
    <row r="568" spans="2:5" ht="158.4" x14ac:dyDescent="0.25">
      <c r="B568" s="71" t="s">
        <v>159</v>
      </c>
      <c r="C568" s="52" t="s">
        <v>1612</v>
      </c>
      <c r="D568" s="52" t="s">
        <v>1611</v>
      </c>
    </row>
    <row r="569" spans="2:5" x14ac:dyDescent="0.25">
      <c r="B569" s="55" t="s">
        <v>497</v>
      </c>
      <c r="C569" s="122" t="s">
        <v>498</v>
      </c>
      <c r="D569" s="122" t="s">
        <v>1633</v>
      </c>
      <c r="E569" s="147"/>
    </row>
    <row r="570" spans="2:5" ht="13.2" customHeight="1" x14ac:dyDescent="0.25">
      <c r="C570" s="202" t="s">
        <v>499</v>
      </c>
      <c r="D570" s="202" t="s">
        <v>1633</v>
      </c>
    </row>
    <row r="571" spans="2:5" ht="26.4" x14ac:dyDescent="0.25">
      <c r="B571" s="160" t="s">
        <v>58</v>
      </c>
      <c r="C571" s="149" t="s">
        <v>500</v>
      </c>
      <c r="D571" s="149" t="s">
        <v>1634</v>
      </c>
    </row>
    <row r="572" spans="2:5" ht="13.2" customHeight="1" x14ac:dyDescent="0.25">
      <c r="C572" s="202" t="s">
        <v>501</v>
      </c>
      <c r="D572" s="202" t="s">
        <v>1635</v>
      </c>
    </row>
    <row r="573" spans="2:5" x14ac:dyDescent="0.25">
      <c r="B573" s="542" t="s">
        <v>63</v>
      </c>
      <c r="C573" s="148" t="s">
        <v>502</v>
      </c>
      <c r="D573" s="148" t="s">
        <v>1636</v>
      </c>
    </row>
    <row r="574" spans="2:5" ht="39.6" x14ac:dyDescent="0.25">
      <c r="B574" s="543"/>
      <c r="C574" s="135" t="s">
        <v>503</v>
      </c>
      <c r="D574" s="135" t="s">
        <v>1637</v>
      </c>
    </row>
    <row r="575" spans="2:5" ht="52.8" x14ac:dyDescent="0.25">
      <c r="B575" s="543"/>
      <c r="C575" s="135" t="s">
        <v>504</v>
      </c>
      <c r="D575" s="135" t="s">
        <v>1638</v>
      </c>
    </row>
    <row r="576" spans="2:5" ht="39.6" x14ac:dyDescent="0.25">
      <c r="B576" s="543"/>
      <c r="C576" s="135" t="s">
        <v>1002</v>
      </c>
      <c r="D576" s="236" t="s">
        <v>1639</v>
      </c>
    </row>
    <row r="577" spans="2:5" ht="13.2" customHeight="1" x14ac:dyDescent="0.25">
      <c r="C577" s="202" t="s">
        <v>506</v>
      </c>
      <c r="D577" s="202" t="s">
        <v>1640</v>
      </c>
    </row>
    <row r="578" spans="2:5" ht="26.4" x14ac:dyDescent="0.25">
      <c r="B578" s="376" t="s">
        <v>66</v>
      </c>
      <c r="C578" s="149" t="s">
        <v>507</v>
      </c>
      <c r="D578" s="149" t="s">
        <v>1641</v>
      </c>
    </row>
    <row r="579" spans="2:5" ht="52.8" x14ac:dyDescent="0.25">
      <c r="B579" s="376"/>
      <c r="C579" s="135" t="s">
        <v>508</v>
      </c>
      <c r="D579" s="135" t="s">
        <v>1642</v>
      </c>
    </row>
    <row r="580" spans="2:5" ht="79.2" x14ac:dyDescent="0.25">
      <c r="B580" s="376"/>
      <c r="C580" s="135" t="s">
        <v>509</v>
      </c>
      <c r="D580" s="135" t="s">
        <v>1643</v>
      </c>
    </row>
    <row r="581" spans="2:5" ht="52.8" x14ac:dyDescent="0.25">
      <c r="B581" s="376"/>
      <c r="C581" s="135" t="s">
        <v>510</v>
      </c>
      <c r="D581" s="135" t="s">
        <v>1644</v>
      </c>
    </row>
    <row r="582" spans="2:5" ht="39.6" x14ac:dyDescent="0.25">
      <c r="B582" s="376"/>
      <c r="C582" s="135" t="s">
        <v>511</v>
      </c>
      <c r="D582" s="135" t="s">
        <v>1645</v>
      </c>
    </row>
    <row r="583" spans="2:5" ht="66" x14ac:dyDescent="0.25">
      <c r="B583" s="376"/>
      <c r="C583" s="135" t="s">
        <v>512</v>
      </c>
      <c r="D583" s="135" t="s">
        <v>1646</v>
      </c>
    </row>
    <row r="584" spans="2:5" ht="13.2" customHeight="1" x14ac:dyDescent="0.25">
      <c r="C584" s="202" t="s">
        <v>513</v>
      </c>
      <c r="D584" s="202" t="s">
        <v>1647</v>
      </c>
    </row>
    <row r="585" spans="2:5" ht="26.4" x14ac:dyDescent="0.25">
      <c r="B585" s="160" t="s">
        <v>69</v>
      </c>
      <c r="C585" s="149" t="s">
        <v>514</v>
      </c>
      <c r="D585" s="149" t="s">
        <v>1648</v>
      </c>
    </row>
    <row r="586" spans="2:5" ht="13.2" customHeight="1" x14ac:dyDescent="0.25">
      <c r="C586" s="202" t="s">
        <v>515</v>
      </c>
      <c r="D586" s="202" t="s">
        <v>1649</v>
      </c>
    </row>
    <row r="587" spans="2:5" ht="26.4" x14ac:dyDescent="0.25">
      <c r="B587" s="376" t="s">
        <v>156</v>
      </c>
      <c r="C587" s="149" t="s">
        <v>516</v>
      </c>
      <c r="D587" s="149" t="s">
        <v>1650</v>
      </c>
    </row>
    <row r="588" spans="2:5" ht="66" x14ac:dyDescent="0.25">
      <c r="B588" s="376"/>
      <c r="C588" s="135" t="s">
        <v>517</v>
      </c>
      <c r="D588" s="135" t="s">
        <v>1651</v>
      </c>
    </row>
    <row r="589" spans="2:5" ht="145.19999999999999" x14ac:dyDescent="0.25">
      <c r="B589" s="376"/>
      <c r="C589" s="135" t="s">
        <v>518</v>
      </c>
      <c r="D589" s="135" t="s">
        <v>1652</v>
      </c>
    </row>
    <row r="590" spans="2:5" ht="79.2" x14ac:dyDescent="0.25">
      <c r="B590" s="376"/>
      <c r="C590" s="135" t="s">
        <v>519</v>
      </c>
      <c r="D590" s="135" t="s">
        <v>1653</v>
      </c>
    </row>
    <row r="591" spans="2:5" ht="39.6" x14ac:dyDescent="0.25">
      <c r="B591" s="376"/>
      <c r="C591" s="135" t="s">
        <v>520</v>
      </c>
      <c r="D591" s="135" t="s">
        <v>1654</v>
      </c>
    </row>
    <row r="592" spans="2:5" x14ac:dyDescent="0.25">
      <c r="B592" s="55" t="s">
        <v>522</v>
      </c>
      <c r="C592" s="122" t="s">
        <v>523</v>
      </c>
      <c r="D592" s="122" t="s">
        <v>523</v>
      </c>
      <c r="E592" s="147"/>
    </row>
    <row r="593" spans="2:4" ht="13.2" customHeight="1" x14ac:dyDescent="0.25">
      <c r="C593" s="202" t="s">
        <v>524</v>
      </c>
      <c r="D593" s="202" t="s">
        <v>1655</v>
      </c>
    </row>
    <row r="594" spans="2:4" ht="26.4" x14ac:dyDescent="0.25">
      <c r="B594" s="71" t="s">
        <v>58</v>
      </c>
      <c r="C594" s="135" t="s">
        <v>994</v>
      </c>
      <c r="D594" s="149" t="s">
        <v>1656</v>
      </c>
    </row>
    <row r="595" spans="2:4" ht="39.6" x14ac:dyDescent="0.25">
      <c r="B595" s="71" t="s">
        <v>181</v>
      </c>
      <c r="C595" s="135" t="s">
        <v>995</v>
      </c>
      <c r="D595" s="135" t="s">
        <v>1657</v>
      </c>
    </row>
    <row r="596" spans="2:4" ht="26.4" x14ac:dyDescent="0.25">
      <c r="B596" s="71" t="s">
        <v>246</v>
      </c>
      <c r="C596" s="135" t="s">
        <v>996</v>
      </c>
      <c r="D596" s="135" t="s">
        <v>1658</v>
      </c>
    </row>
    <row r="597" spans="2:4" ht="39.6" x14ac:dyDescent="0.25">
      <c r="B597" s="71" t="s">
        <v>250</v>
      </c>
      <c r="C597" s="135" t="s">
        <v>1660</v>
      </c>
      <c r="D597" s="135" t="s">
        <v>1659</v>
      </c>
    </row>
    <row r="598" spans="2:4" ht="26.4" x14ac:dyDescent="0.25">
      <c r="B598" s="71" t="s">
        <v>121</v>
      </c>
      <c r="C598" s="135" t="s">
        <v>997</v>
      </c>
      <c r="D598" s="135" t="s">
        <v>1661</v>
      </c>
    </row>
    <row r="599" spans="2:4" ht="26.4" x14ac:dyDescent="0.25">
      <c r="C599" s="202" t="s">
        <v>525</v>
      </c>
      <c r="D599" s="202" t="s">
        <v>1662</v>
      </c>
    </row>
    <row r="600" spans="2:4" ht="145.19999999999999" x14ac:dyDescent="0.25">
      <c r="B600" s="160" t="s">
        <v>63</v>
      </c>
      <c r="C600" s="135" t="s">
        <v>998</v>
      </c>
      <c r="D600" s="135" t="s">
        <v>1663</v>
      </c>
    </row>
    <row r="601" spans="2:4" ht="66" x14ac:dyDescent="0.25">
      <c r="B601" s="160" t="s">
        <v>186</v>
      </c>
      <c r="C601" s="135" t="s">
        <v>999</v>
      </c>
      <c r="D601" s="135" t="s">
        <v>1664</v>
      </c>
    </row>
    <row r="602" spans="2:4" ht="36" customHeight="1" x14ac:dyDescent="0.25">
      <c r="C602" s="202" t="s">
        <v>526</v>
      </c>
      <c r="D602" s="202" t="s">
        <v>1665</v>
      </c>
    </row>
    <row r="603" spans="2:4" ht="132" x14ac:dyDescent="0.25">
      <c r="B603" s="160" t="s">
        <v>66</v>
      </c>
      <c r="C603" s="135" t="s">
        <v>1000</v>
      </c>
      <c r="D603" s="135" t="s">
        <v>1666</v>
      </c>
    </row>
    <row r="604" spans="2:4" ht="145.19999999999999" x14ac:dyDescent="0.25">
      <c r="B604" s="160" t="s">
        <v>188</v>
      </c>
      <c r="C604" s="135" t="s">
        <v>1001</v>
      </c>
      <c r="D604" s="135" t="s">
        <v>1667</v>
      </c>
    </row>
    <row r="605" spans="2:4" x14ac:dyDescent="0.25">
      <c r="B605" s="55" t="s">
        <v>829</v>
      </c>
      <c r="C605" s="122" t="s">
        <v>830</v>
      </c>
      <c r="D605" s="122" t="s">
        <v>1668</v>
      </c>
    </row>
    <row r="606" spans="2:4" ht="13.2" customHeight="1" x14ac:dyDescent="0.25">
      <c r="C606" s="202" t="s">
        <v>831</v>
      </c>
      <c r="D606" s="202" t="s">
        <v>1669</v>
      </c>
    </row>
    <row r="607" spans="2:4" ht="39.6" x14ac:dyDescent="0.25">
      <c r="B607" s="160" t="s">
        <v>58</v>
      </c>
      <c r="C607" s="135" t="s">
        <v>1671</v>
      </c>
      <c r="D607" s="135" t="s">
        <v>1670</v>
      </c>
    </row>
    <row r="608" spans="2:4" ht="13.2" customHeight="1" x14ac:dyDescent="0.25">
      <c r="C608" s="202" t="s">
        <v>832</v>
      </c>
      <c r="D608" s="202" t="s">
        <v>1681</v>
      </c>
    </row>
    <row r="609" spans="2:4" ht="39.6" x14ac:dyDescent="0.25">
      <c r="B609" s="160" t="s">
        <v>63</v>
      </c>
      <c r="C609" s="135" t="s">
        <v>1672</v>
      </c>
      <c r="D609" s="135" t="s">
        <v>1682</v>
      </c>
    </row>
    <row r="610" spans="2:4" ht="13.2" customHeight="1" x14ac:dyDescent="0.25">
      <c r="C610" s="202" t="s">
        <v>833</v>
      </c>
      <c r="D610" s="202" t="s">
        <v>1683</v>
      </c>
    </row>
    <row r="611" spans="2:4" ht="39.6" x14ac:dyDescent="0.25">
      <c r="B611" s="160" t="s">
        <v>66</v>
      </c>
      <c r="C611" s="135" t="s">
        <v>1673</v>
      </c>
      <c r="D611" s="135" t="s">
        <v>1684</v>
      </c>
    </row>
    <row r="612" spans="2:4" ht="13.2" customHeight="1" x14ac:dyDescent="0.25">
      <c r="C612" s="202" t="s">
        <v>834</v>
      </c>
      <c r="D612" s="202" t="s">
        <v>1685</v>
      </c>
    </row>
    <row r="613" spans="2:4" ht="39.6" x14ac:dyDescent="0.25">
      <c r="B613" s="160" t="s">
        <v>69</v>
      </c>
      <c r="C613" s="135" t="s">
        <v>1674</v>
      </c>
      <c r="D613" s="135" t="s">
        <v>1686</v>
      </c>
    </row>
    <row r="614" spans="2:4" ht="13.2" customHeight="1" x14ac:dyDescent="0.25">
      <c r="C614" s="202" t="s">
        <v>835</v>
      </c>
      <c r="D614" s="202" t="s">
        <v>1687</v>
      </c>
    </row>
    <row r="615" spans="2:4" ht="39.6" x14ac:dyDescent="0.25">
      <c r="B615" s="160" t="s">
        <v>156</v>
      </c>
      <c r="C615" s="135" t="s">
        <v>1675</v>
      </c>
      <c r="D615" s="135" t="s">
        <v>1688</v>
      </c>
    </row>
    <row r="616" spans="2:4" ht="13.2" customHeight="1" x14ac:dyDescent="0.25">
      <c r="C616" s="202" t="s">
        <v>836</v>
      </c>
      <c r="D616" s="202" t="s">
        <v>1689</v>
      </c>
    </row>
    <row r="617" spans="2:4" ht="39.6" x14ac:dyDescent="0.25">
      <c r="B617" s="160" t="s">
        <v>159</v>
      </c>
      <c r="C617" s="135" t="s">
        <v>1676</v>
      </c>
      <c r="D617" s="135" t="s">
        <v>1690</v>
      </c>
    </row>
    <row r="618" spans="2:4" ht="13.2" customHeight="1" x14ac:dyDescent="0.25">
      <c r="C618" s="202" t="s">
        <v>837</v>
      </c>
      <c r="D618" s="202" t="s">
        <v>1691</v>
      </c>
    </row>
    <row r="619" spans="2:4" ht="39.6" x14ac:dyDescent="0.25">
      <c r="B619" s="160" t="s">
        <v>284</v>
      </c>
      <c r="C619" s="135" t="s">
        <v>1677</v>
      </c>
      <c r="D619" s="149" t="s">
        <v>1692</v>
      </c>
    </row>
    <row r="620" spans="2:4" ht="13.2" customHeight="1" x14ac:dyDescent="0.25">
      <c r="C620" s="202" t="s">
        <v>838</v>
      </c>
      <c r="D620" s="202" t="s">
        <v>1693</v>
      </c>
    </row>
    <row r="621" spans="2:4" ht="39.6" x14ac:dyDescent="0.25">
      <c r="B621" s="160" t="s">
        <v>287</v>
      </c>
      <c r="C621" s="135" t="s">
        <v>1678</v>
      </c>
      <c r="D621" s="135" t="s">
        <v>1694</v>
      </c>
    </row>
    <row r="622" spans="2:4" ht="13.2" customHeight="1" x14ac:dyDescent="0.25">
      <c r="C622" s="202" t="s">
        <v>839</v>
      </c>
      <c r="D622" s="202" t="s">
        <v>1695</v>
      </c>
    </row>
    <row r="623" spans="2:4" ht="39.6" x14ac:dyDescent="0.25">
      <c r="B623" s="160" t="s">
        <v>293</v>
      </c>
      <c r="C623" s="135" t="s">
        <v>1679</v>
      </c>
      <c r="D623" s="149" t="s">
        <v>1696</v>
      </c>
    </row>
    <row r="624" spans="2:4" ht="13.2" customHeight="1" x14ac:dyDescent="0.25">
      <c r="C624" s="202" t="s">
        <v>840</v>
      </c>
      <c r="D624" s="202" t="s">
        <v>1697</v>
      </c>
    </row>
    <row r="625" spans="2:4" ht="52.8" x14ac:dyDescent="0.25">
      <c r="B625" s="160" t="s">
        <v>459</v>
      </c>
      <c r="C625" s="135" t="s">
        <v>1680</v>
      </c>
      <c r="D625" s="135" t="s">
        <v>1698</v>
      </c>
    </row>
    <row r="626" spans="2:4" ht="92.4" x14ac:dyDescent="0.25">
      <c r="B626" s="237"/>
      <c r="C626" s="228" t="s">
        <v>842</v>
      </c>
      <c r="D626" s="228" t="s">
        <v>1699</v>
      </c>
    </row>
    <row r="627" spans="2:4" x14ac:dyDescent="0.25">
      <c r="B627" s="55" t="s">
        <v>536</v>
      </c>
      <c r="C627" s="122" t="s">
        <v>537</v>
      </c>
      <c r="D627" s="122" t="s">
        <v>1700</v>
      </c>
    </row>
    <row r="628" spans="2:4" ht="13.2" customHeight="1" x14ac:dyDescent="0.25">
      <c r="C628" s="202" t="s">
        <v>765</v>
      </c>
      <c r="D628" s="202" t="s">
        <v>1701</v>
      </c>
    </row>
    <row r="629" spans="2:4" ht="79.2" x14ac:dyDescent="0.25">
      <c r="B629" s="160" t="s">
        <v>58</v>
      </c>
      <c r="C629" s="135" t="s">
        <v>1003</v>
      </c>
      <c r="D629" s="135" t="s">
        <v>1702</v>
      </c>
    </row>
    <row r="630" spans="2:4" ht="158.4" x14ac:dyDescent="0.25">
      <c r="B630" s="160" t="s">
        <v>181</v>
      </c>
      <c r="C630" s="149" t="s">
        <v>1703</v>
      </c>
      <c r="D630" s="149" t="s">
        <v>1704</v>
      </c>
    </row>
    <row r="631" spans="2:4" x14ac:dyDescent="0.25">
      <c r="C631" s="202" t="s">
        <v>539</v>
      </c>
      <c r="D631" s="202" t="s">
        <v>1705</v>
      </c>
    </row>
    <row r="632" spans="2:4" ht="52.8" x14ac:dyDescent="0.25">
      <c r="B632" s="160" t="s">
        <v>63</v>
      </c>
      <c r="C632" s="135" t="s">
        <v>1706</v>
      </c>
      <c r="D632" s="135" t="s">
        <v>1707</v>
      </c>
    </row>
    <row r="633" spans="2:4" ht="92.4" x14ac:dyDescent="0.25">
      <c r="B633" s="71" t="s">
        <v>186</v>
      </c>
      <c r="C633" s="52" t="s">
        <v>544</v>
      </c>
      <c r="D633" s="52" t="s">
        <v>1708</v>
      </c>
    </row>
    <row r="634" spans="2:4" x14ac:dyDescent="0.25">
      <c r="C634" s="202" t="s">
        <v>540</v>
      </c>
      <c r="D634" s="202" t="s">
        <v>1709</v>
      </c>
    </row>
    <row r="635" spans="2:4" ht="52.8" x14ac:dyDescent="0.25">
      <c r="B635" s="71" t="s">
        <v>66</v>
      </c>
      <c r="C635" s="52" t="s">
        <v>1710</v>
      </c>
      <c r="D635" s="52" t="s">
        <v>1711</v>
      </c>
    </row>
    <row r="636" spans="2:4" x14ac:dyDescent="0.25">
      <c r="C636" s="202" t="s">
        <v>541</v>
      </c>
      <c r="D636" s="202" t="s">
        <v>1713</v>
      </c>
    </row>
    <row r="637" spans="2:4" ht="52.8" x14ac:dyDescent="0.25">
      <c r="B637" s="71" t="s">
        <v>69</v>
      </c>
      <c r="C637" s="52" t="s">
        <v>1712</v>
      </c>
      <c r="D637" s="52" t="s">
        <v>1714</v>
      </c>
    </row>
    <row r="638" spans="2:4" ht="79.2" x14ac:dyDescent="0.25">
      <c r="B638" s="57" t="s">
        <v>542</v>
      </c>
      <c r="C638" s="52" t="s">
        <v>598</v>
      </c>
      <c r="D638" s="52" t="s">
        <v>1715</v>
      </c>
    </row>
    <row r="639" spans="2:4" ht="13.2" customHeight="1" x14ac:dyDescent="0.25">
      <c r="C639" s="202" t="s">
        <v>543</v>
      </c>
      <c r="D639" s="202" t="s">
        <v>1716</v>
      </c>
    </row>
    <row r="640" spans="2:4" ht="66" x14ac:dyDescent="0.25">
      <c r="B640" s="71" t="s">
        <v>156</v>
      </c>
      <c r="C640" s="52" t="s">
        <v>1717</v>
      </c>
      <c r="D640" s="52" t="s">
        <v>1718</v>
      </c>
    </row>
    <row r="641" spans="2:5" ht="118.8" x14ac:dyDescent="0.25">
      <c r="B641" s="57" t="s">
        <v>694</v>
      </c>
      <c r="C641" s="52" t="s">
        <v>695</v>
      </c>
      <c r="D641" s="52" t="s">
        <v>1719</v>
      </c>
    </row>
    <row r="642" spans="2:5" x14ac:dyDescent="0.25">
      <c r="B642" s="55" t="s">
        <v>545</v>
      </c>
      <c r="C642" s="122" t="s">
        <v>546</v>
      </c>
      <c r="D642" s="122" t="s">
        <v>1720</v>
      </c>
      <c r="E642" s="147"/>
    </row>
    <row r="643" spans="2:5" ht="13.2" customHeight="1" x14ac:dyDescent="0.25">
      <c r="C643" s="232" t="s">
        <v>547</v>
      </c>
      <c r="D643" s="232" t="s">
        <v>1721</v>
      </c>
    </row>
    <row r="644" spans="2:5" ht="39.6" x14ac:dyDescent="0.25">
      <c r="B644" s="160" t="s">
        <v>58</v>
      </c>
      <c r="C644" s="135" t="s">
        <v>1723</v>
      </c>
      <c r="D644" s="135" t="s">
        <v>1722</v>
      </c>
    </row>
    <row r="645" spans="2:5" ht="26.4" x14ac:dyDescent="0.25">
      <c r="B645" s="160" t="s">
        <v>181</v>
      </c>
      <c r="C645" s="135" t="s">
        <v>1725</v>
      </c>
      <c r="D645" s="135" t="s">
        <v>1724</v>
      </c>
    </row>
    <row r="646" spans="2:5" ht="39.6" x14ac:dyDescent="0.25">
      <c r="B646" s="160" t="s">
        <v>246</v>
      </c>
      <c r="C646" s="135" t="s">
        <v>1727</v>
      </c>
      <c r="D646" s="149" t="s">
        <v>1726</v>
      </c>
    </row>
    <row r="647" spans="2:5" ht="26.4" x14ac:dyDescent="0.25">
      <c r="B647" s="160" t="s">
        <v>250</v>
      </c>
      <c r="C647" s="135" t="s">
        <v>1728</v>
      </c>
      <c r="D647" s="135" t="s">
        <v>1729</v>
      </c>
    </row>
    <row r="648" spans="2:5" ht="26.4" x14ac:dyDescent="0.25">
      <c r="B648" s="71" t="s">
        <v>121</v>
      </c>
      <c r="C648" s="135" t="s">
        <v>1730</v>
      </c>
      <c r="D648" s="149" t="s">
        <v>1731</v>
      </c>
    </row>
    <row r="649" spans="2:5" ht="13.2" customHeight="1" x14ac:dyDescent="0.25">
      <c r="C649" s="202" t="s">
        <v>548</v>
      </c>
      <c r="D649" s="202" t="s">
        <v>1732</v>
      </c>
    </row>
    <row r="650" spans="2:5" x14ac:dyDescent="0.25">
      <c r="B650" s="376" t="s">
        <v>63</v>
      </c>
      <c r="C650" s="149" t="s">
        <v>549</v>
      </c>
      <c r="D650" s="149" t="s">
        <v>1733</v>
      </c>
    </row>
    <row r="651" spans="2:5" ht="52.8" x14ac:dyDescent="0.25">
      <c r="B651" s="376"/>
      <c r="C651" s="135" t="s">
        <v>550</v>
      </c>
      <c r="D651" s="135" t="s">
        <v>1740</v>
      </c>
    </row>
    <row r="652" spans="2:5" ht="52.8" x14ac:dyDescent="0.25">
      <c r="B652" s="376"/>
      <c r="C652" s="135" t="s">
        <v>766</v>
      </c>
      <c r="D652" s="135" t="s">
        <v>1741</v>
      </c>
    </row>
    <row r="653" spans="2:5" ht="52.8" x14ac:dyDescent="0.25">
      <c r="B653" s="376"/>
      <c r="C653" s="135" t="s">
        <v>767</v>
      </c>
      <c r="D653" s="135" t="s">
        <v>1742</v>
      </c>
    </row>
    <row r="654" spans="2:5" ht="79.2" x14ac:dyDescent="0.25">
      <c r="B654" s="240"/>
      <c r="C654" s="52" t="s">
        <v>843</v>
      </c>
      <c r="D654" s="236" t="s">
        <v>1739</v>
      </c>
    </row>
    <row r="655" spans="2:5" ht="79.2" x14ac:dyDescent="0.25">
      <c r="B655" s="240"/>
      <c r="C655" s="52" t="s">
        <v>844</v>
      </c>
      <c r="D655" s="236" t="s">
        <v>1738</v>
      </c>
    </row>
    <row r="656" spans="2:5" ht="39.6" x14ac:dyDescent="0.25">
      <c r="B656" s="240"/>
      <c r="C656" s="52" t="s">
        <v>845</v>
      </c>
      <c r="D656" s="236" t="s">
        <v>1737</v>
      </c>
    </row>
    <row r="657" spans="2:4" ht="66" x14ac:dyDescent="0.25">
      <c r="B657" s="240"/>
      <c r="C657" s="52" t="s">
        <v>846</v>
      </c>
      <c r="D657" s="236" t="s">
        <v>1736</v>
      </c>
    </row>
    <row r="658" spans="2:4" ht="52.8" x14ac:dyDescent="0.25">
      <c r="B658" s="240"/>
      <c r="C658" s="52" t="s">
        <v>847</v>
      </c>
      <c r="D658" s="236" t="s">
        <v>1735</v>
      </c>
    </row>
    <row r="659" spans="2:4" ht="79.2" x14ac:dyDescent="0.25">
      <c r="B659" s="240"/>
      <c r="C659" s="52" t="s">
        <v>848</v>
      </c>
      <c r="D659" s="236" t="s">
        <v>1734</v>
      </c>
    </row>
    <row r="660" spans="2:4" ht="13.2" customHeight="1" x14ac:dyDescent="0.25">
      <c r="C660" s="202" t="s">
        <v>553</v>
      </c>
      <c r="D660" s="202" t="s">
        <v>1743</v>
      </c>
    </row>
    <row r="661" spans="2:4" ht="39.6" x14ac:dyDescent="0.25">
      <c r="B661" s="160" t="s">
        <v>66</v>
      </c>
      <c r="C661" s="135" t="s">
        <v>1745</v>
      </c>
      <c r="D661" s="135" t="s">
        <v>1744</v>
      </c>
    </row>
    <row r="662" spans="2:4" ht="39.6" x14ac:dyDescent="0.25">
      <c r="B662" s="160" t="s">
        <v>188</v>
      </c>
      <c r="C662" s="135" t="s">
        <v>1746</v>
      </c>
      <c r="D662" s="135" t="s">
        <v>1747</v>
      </c>
    </row>
    <row r="663" spans="2:4" ht="52.8" x14ac:dyDescent="0.25">
      <c r="B663" s="160" t="s">
        <v>150</v>
      </c>
      <c r="C663" s="135" t="s">
        <v>1006</v>
      </c>
      <c r="D663" s="149" t="s">
        <v>1748</v>
      </c>
    </row>
    <row r="664" spans="2:4" ht="13.2" customHeight="1" x14ac:dyDescent="0.25">
      <c r="C664" s="202" t="s">
        <v>554</v>
      </c>
      <c r="D664" s="202" t="s">
        <v>1749</v>
      </c>
    </row>
    <row r="665" spans="2:4" ht="118.8" x14ac:dyDescent="0.25">
      <c r="B665" s="160" t="s">
        <v>69</v>
      </c>
      <c r="C665" s="150" t="s">
        <v>1751</v>
      </c>
      <c r="D665" s="150" t="s">
        <v>1750</v>
      </c>
    </row>
    <row r="666" spans="2:4" ht="79.2" x14ac:dyDescent="0.25">
      <c r="B666" s="160" t="s">
        <v>78</v>
      </c>
      <c r="C666" s="135" t="s">
        <v>1753</v>
      </c>
      <c r="D666" s="135" t="s">
        <v>1752</v>
      </c>
    </row>
    <row r="667" spans="2:4" ht="13.2" customHeight="1" x14ac:dyDescent="0.25">
      <c r="C667" s="202" t="s">
        <v>555</v>
      </c>
      <c r="D667" s="202" t="s">
        <v>1754</v>
      </c>
    </row>
    <row r="668" spans="2:4" ht="66.599999999999994" thickBot="1" x14ac:dyDescent="0.3">
      <c r="B668" s="165" t="s">
        <v>156</v>
      </c>
      <c r="C668" s="166" t="s">
        <v>1004</v>
      </c>
      <c r="D668" s="166" t="s">
        <v>1755</v>
      </c>
    </row>
    <row r="669" spans="2:4" ht="13.2" customHeight="1" x14ac:dyDescent="0.25">
      <c r="C669" s="241" t="s">
        <v>849</v>
      </c>
      <c r="D669" s="241" t="s">
        <v>849</v>
      </c>
    </row>
    <row r="670" spans="2:4" ht="26.4" x14ac:dyDescent="0.25">
      <c r="B670" s="160" t="s">
        <v>159</v>
      </c>
      <c r="C670" s="135" t="s">
        <v>1756</v>
      </c>
      <c r="D670" s="135" t="s">
        <v>1757</v>
      </c>
    </row>
    <row r="671" spans="2:4" ht="79.2" x14ac:dyDescent="0.25">
      <c r="B671" s="233" t="s">
        <v>160</v>
      </c>
      <c r="C671" s="167" t="s">
        <v>1005</v>
      </c>
      <c r="D671" s="167" t="s">
        <v>1758</v>
      </c>
    </row>
    <row r="672" spans="2:4" ht="13.2" customHeight="1" x14ac:dyDescent="0.25">
      <c r="C672" s="241" t="s">
        <v>850</v>
      </c>
      <c r="D672" s="241" t="s">
        <v>1759</v>
      </c>
    </row>
    <row r="673" spans="2:4" ht="79.8" thickBot="1" x14ac:dyDescent="0.3">
      <c r="B673" s="121" t="s">
        <v>851</v>
      </c>
      <c r="C673" s="58" t="s">
        <v>852</v>
      </c>
      <c r="D673" s="58" t="s">
        <v>1760</v>
      </c>
    </row>
  </sheetData>
  <mergeCells count="50">
    <mergeCell ref="B650:B653"/>
    <mergeCell ref="B251:B253"/>
    <mergeCell ref="B274:B278"/>
    <mergeCell ref="B256:B257"/>
    <mergeCell ref="B258:B260"/>
    <mergeCell ref="B587:B591"/>
    <mergeCell ref="B573:B576"/>
    <mergeCell ref="B578:B583"/>
    <mergeCell ref="B524:B527"/>
    <mergeCell ref="B531:B536"/>
    <mergeCell ref="B293:B304"/>
    <mergeCell ref="B317:B322"/>
    <mergeCell ref="B283:B291"/>
    <mergeCell ref="B340:B342"/>
    <mergeCell ref="B346:B348"/>
    <mergeCell ref="B349:B351"/>
    <mergeCell ref="B196:B198"/>
    <mergeCell ref="B199:B201"/>
    <mergeCell ref="B202:B204"/>
    <mergeCell ref="B205:B207"/>
    <mergeCell ref="B4:B6"/>
    <mergeCell ref="B8:B9"/>
    <mergeCell ref="B15:B17"/>
    <mergeCell ref="B20:B25"/>
    <mergeCell ref="B26:B27"/>
    <mergeCell ref="B54:B56"/>
    <mergeCell ref="B49:B53"/>
    <mergeCell ref="B136:B139"/>
    <mergeCell ref="B116:B119"/>
    <mergeCell ref="B128:B131"/>
    <mergeCell ref="B133:B134"/>
    <mergeCell ref="B90:B92"/>
    <mergeCell ref="B100:B102"/>
    <mergeCell ref="B104:B105"/>
    <mergeCell ref="B76:B77"/>
    <mergeCell ref="B58:B60"/>
    <mergeCell ref="B64:B66"/>
    <mergeCell ref="B68:B69"/>
    <mergeCell ref="B518:B520"/>
    <mergeCell ref="B513:B515"/>
    <mergeCell ref="B477:B478"/>
    <mergeCell ref="B446:B448"/>
    <mergeCell ref="B461:B462"/>
    <mergeCell ref="B411:B412"/>
    <mergeCell ref="B419:B420"/>
    <mergeCell ref="B377:B379"/>
    <mergeCell ref="B343:B345"/>
    <mergeCell ref="B307:B315"/>
    <mergeCell ref="B324:B327"/>
    <mergeCell ref="B329:B331"/>
  </mergeCells>
  <phoneticPr fontId="20"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FF00"/>
  </sheetPr>
  <dimension ref="B2:E43"/>
  <sheetViews>
    <sheetView workbookViewId="0">
      <selection activeCell="B3" sqref="B3"/>
    </sheetView>
  </sheetViews>
  <sheetFormatPr defaultColWidth="11.5546875" defaultRowHeight="13.2" x14ac:dyDescent="0.25"/>
  <cols>
    <col min="1" max="1" width="1.6640625" customWidth="1"/>
    <col min="2" max="2" width="25.6640625" customWidth="1"/>
    <col min="3" max="5" width="30.6640625" customWidth="1"/>
  </cols>
  <sheetData>
    <row r="2" spans="2:5" ht="15.6" x14ac:dyDescent="0.3">
      <c r="B2" s="3" t="s">
        <v>609</v>
      </c>
    </row>
    <row r="3" spans="2:5" ht="15.6" x14ac:dyDescent="0.3">
      <c r="B3" s="3" t="s">
        <v>703</v>
      </c>
    </row>
    <row r="4" spans="2:5" ht="15.6" x14ac:dyDescent="0.3">
      <c r="B4" s="3" t="s">
        <v>698</v>
      </c>
    </row>
    <row r="5" spans="2:5" x14ac:dyDescent="0.25">
      <c r="B5" s="2" t="s">
        <v>26</v>
      </c>
    </row>
    <row r="7" spans="2:5" x14ac:dyDescent="0.25">
      <c r="B7" s="5" t="s">
        <v>0</v>
      </c>
      <c r="C7" s="549" t="str">
        <f>Deckblatt!C5</f>
        <v>SQ Stadtquartier V2020</v>
      </c>
      <c r="D7" s="549"/>
      <c r="E7" s="549"/>
    </row>
    <row r="8" spans="2:5" x14ac:dyDescent="0.25">
      <c r="B8" s="5" t="s">
        <v>1</v>
      </c>
      <c r="C8" s="549">
        <f>Deckblatt!C6</f>
        <v>0</v>
      </c>
      <c r="D8" s="549"/>
      <c r="E8" s="549"/>
    </row>
    <row r="9" spans="2:5" x14ac:dyDescent="0.25">
      <c r="B9" s="5" t="s">
        <v>2</v>
      </c>
      <c r="C9" s="549" t="str">
        <f>Deckblatt!C7</f>
        <v>Superquartier</v>
      </c>
      <c r="D9" s="549"/>
      <c r="E9" s="549"/>
    </row>
    <row r="10" spans="2:5" x14ac:dyDescent="0.25">
      <c r="B10" s="5" t="s">
        <v>4</v>
      </c>
      <c r="C10" s="549">
        <f>Deckblatt!C9</f>
        <v>0</v>
      </c>
      <c r="D10" s="549"/>
      <c r="E10" s="549"/>
    </row>
    <row r="12" spans="2:5" x14ac:dyDescent="0.25">
      <c r="B12" s="548" t="s">
        <v>610</v>
      </c>
      <c r="C12" s="8" t="s">
        <v>618</v>
      </c>
      <c r="D12" s="8" t="s">
        <v>619</v>
      </c>
      <c r="E12" s="8" t="s">
        <v>620</v>
      </c>
    </row>
    <row r="13" spans="2:5" x14ac:dyDescent="0.25">
      <c r="B13" s="548"/>
      <c r="C13" s="8" t="s">
        <v>621</v>
      </c>
      <c r="D13" s="8" t="s">
        <v>621</v>
      </c>
      <c r="E13" s="8" t="s">
        <v>621</v>
      </c>
    </row>
    <row r="14" spans="2:5" x14ac:dyDescent="0.25">
      <c r="B14" s="6" t="s">
        <v>611</v>
      </c>
      <c r="C14" s="1"/>
      <c r="D14" s="1"/>
      <c r="E14" s="1"/>
    </row>
    <row r="15" spans="2:5" x14ac:dyDescent="0.25">
      <c r="B15" s="7" t="s">
        <v>612</v>
      </c>
      <c r="C15" s="1"/>
      <c r="D15" s="1"/>
      <c r="E15" s="1"/>
    </row>
    <row r="16" spans="2:5" x14ac:dyDescent="0.25">
      <c r="B16" s="7" t="s">
        <v>613</v>
      </c>
      <c r="C16" s="1"/>
      <c r="D16" s="1"/>
      <c r="E16" s="1"/>
    </row>
    <row r="17" spans="2:5" x14ac:dyDescent="0.25">
      <c r="B17" s="547" t="s">
        <v>614</v>
      </c>
      <c r="C17" s="546"/>
      <c r="D17" s="546"/>
      <c r="E17" s="546"/>
    </row>
    <row r="18" spans="2:5" x14ac:dyDescent="0.25">
      <c r="B18" s="547"/>
      <c r="C18" s="546"/>
      <c r="D18" s="546"/>
      <c r="E18" s="546"/>
    </row>
    <row r="19" spans="2:5" x14ac:dyDescent="0.25">
      <c r="B19" s="547"/>
      <c r="C19" s="546"/>
      <c r="D19" s="546"/>
      <c r="E19" s="546"/>
    </row>
    <row r="20" spans="2:5" x14ac:dyDescent="0.25">
      <c r="B20" s="6" t="s">
        <v>615</v>
      </c>
      <c r="C20" s="1"/>
      <c r="D20" s="1"/>
      <c r="E20" s="1"/>
    </row>
    <row r="21" spans="2:5" x14ac:dyDescent="0.25">
      <c r="B21" s="7" t="s">
        <v>612</v>
      </c>
      <c r="C21" s="1"/>
      <c r="D21" s="1"/>
      <c r="E21" s="1"/>
    </row>
    <row r="22" spans="2:5" x14ac:dyDescent="0.25">
      <c r="B22" s="7" t="s">
        <v>613</v>
      </c>
      <c r="C22" s="1"/>
      <c r="D22" s="1"/>
      <c r="E22" s="1"/>
    </row>
    <row r="23" spans="2:5" x14ac:dyDescent="0.25">
      <c r="B23" s="547" t="s">
        <v>614</v>
      </c>
      <c r="C23" s="546"/>
      <c r="D23" s="546"/>
      <c r="E23" s="546"/>
    </row>
    <row r="24" spans="2:5" x14ac:dyDescent="0.25">
      <c r="B24" s="547"/>
      <c r="C24" s="546"/>
      <c r="D24" s="546"/>
      <c r="E24" s="546"/>
    </row>
    <row r="25" spans="2:5" x14ac:dyDescent="0.25">
      <c r="B25" s="547"/>
      <c r="C25" s="546"/>
      <c r="D25" s="546"/>
      <c r="E25" s="546"/>
    </row>
    <row r="26" spans="2:5" x14ac:dyDescent="0.25">
      <c r="B26" s="6" t="s">
        <v>616</v>
      </c>
      <c r="C26" s="1"/>
      <c r="D26" s="1"/>
      <c r="E26" s="1"/>
    </row>
    <row r="27" spans="2:5" x14ac:dyDescent="0.25">
      <c r="B27" s="7" t="s">
        <v>612</v>
      </c>
      <c r="C27" s="1"/>
      <c r="D27" s="1"/>
      <c r="E27" s="1"/>
    </row>
    <row r="28" spans="2:5" x14ac:dyDescent="0.25">
      <c r="B28" s="7" t="s">
        <v>613</v>
      </c>
      <c r="C28" s="1"/>
      <c r="D28" s="1"/>
      <c r="E28" s="1"/>
    </row>
    <row r="29" spans="2:5" x14ac:dyDescent="0.25">
      <c r="B29" s="547" t="s">
        <v>614</v>
      </c>
      <c r="C29" s="546"/>
      <c r="D29" s="546"/>
      <c r="E29" s="546"/>
    </row>
    <row r="30" spans="2:5" x14ac:dyDescent="0.25">
      <c r="B30" s="547"/>
      <c r="C30" s="546"/>
      <c r="D30" s="546"/>
      <c r="E30" s="546"/>
    </row>
    <row r="31" spans="2:5" x14ac:dyDescent="0.25">
      <c r="B31" s="547"/>
      <c r="C31" s="546"/>
      <c r="D31" s="546"/>
      <c r="E31" s="546"/>
    </row>
    <row r="32" spans="2:5" x14ac:dyDescent="0.25">
      <c r="B32" s="7"/>
      <c r="C32" s="1"/>
      <c r="D32" s="1"/>
      <c r="E32" s="1"/>
    </row>
    <row r="33" spans="2:5" x14ac:dyDescent="0.25">
      <c r="B33" s="6" t="s">
        <v>617</v>
      </c>
      <c r="C33" s="1"/>
      <c r="D33" s="1"/>
      <c r="E33" s="1"/>
    </row>
    <row r="34" spans="2:5" x14ac:dyDescent="0.25">
      <c r="B34" s="7" t="s">
        <v>612</v>
      </c>
      <c r="C34" s="1"/>
      <c r="D34" s="1"/>
      <c r="E34" s="1"/>
    </row>
    <row r="35" spans="2:5" x14ac:dyDescent="0.25">
      <c r="B35" s="7" t="s">
        <v>613</v>
      </c>
      <c r="C35" s="1"/>
      <c r="D35" s="1"/>
      <c r="E35" s="1"/>
    </row>
    <row r="36" spans="2:5" x14ac:dyDescent="0.25">
      <c r="B36" s="547" t="s">
        <v>614</v>
      </c>
      <c r="C36" s="546"/>
      <c r="D36" s="546"/>
      <c r="E36" s="546"/>
    </row>
    <row r="37" spans="2:5" x14ac:dyDescent="0.25">
      <c r="B37" s="547"/>
      <c r="C37" s="546"/>
      <c r="D37" s="546"/>
      <c r="E37" s="546"/>
    </row>
    <row r="38" spans="2:5" x14ac:dyDescent="0.25">
      <c r="B38" s="547"/>
      <c r="C38" s="546"/>
      <c r="D38" s="546"/>
      <c r="E38" s="546"/>
    </row>
    <row r="40" spans="2:5" x14ac:dyDescent="0.25">
      <c r="B40" s="550" t="s">
        <v>622</v>
      </c>
      <c r="C40" s="550"/>
      <c r="D40" s="550"/>
      <c r="E40" s="9">
        <f>'SQ_Auditoreingaben '!$M$2</f>
        <v>0.83399999999999996</v>
      </c>
    </row>
    <row r="41" spans="2:5" x14ac:dyDescent="0.25">
      <c r="B41" s="550" t="s">
        <v>623</v>
      </c>
      <c r="C41" s="550"/>
      <c r="D41" s="550"/>
      <c r="E41" s="9" t="e">
        <f>#REF!</f>
        <v>#REF!</v>
      </c>
    </row>
    <row r="42" spans="2:5" x14ac:dyDescent="0.25">
      <c r="B42" s="550" t="s">
        <v>624</v>
      </c>
      <c r="C42" s="550"/>
      <c r="D42" s="550"/>
      <c r="E42" s="9" t="e">
        <f>#REF!</f>
        <v>#REF!</v>
      </c>
    </row>
    <row r="43" spans="2:5" x14ac:dyDescent="0.25">
      <c r="B43" s="550" t="s">
        <v>625</v>
      </c>
      <c r="C43" s="550"/>
      <c r="D43" s="550"/>
      <c r="E43" s="9"/>
    </row>
  </sheetData>
  <mergeCells count="25">
    <mergeCell ref="B40:D40"/>
    <mergeCell ref="B41:D41"/>
    <mergeCell ref="B42:D42"/>
    <mergeCell ref="B43:D43"/>
    <mergeCell ref="B29:B31"/>
    <mergeCell ref="B36:B38"/>
    <mergeCell ref="C29:C31"/>
    <mergeCell ref="D29:D31"/>
    <mergeCell ref="B12:B13"/>
    <mergeCell ref="C7:E7"/>
    <mergeCell ref="C8:E8"/>
    <mergeCell ref="C9:E9"/>
    <mergeCell ref="C10:E10"/>
    <mergeCell ref="E29:E31"/>
    <mergeCell ref="C36:C38"/>
    <mergeCell ref="D36:D38"/>
    <mergeCell ref="E36:E38"/>
    <mergeCell ref="B17:B19"/>
    <mergeCell ref="C17:C19"/>
    <mergeCell ref="D17:D19"/>
    <mergeCell ref="E17:E19"/>
    <mergeCell ref="C23:C25"/>
    <mergeCell ref="D23:D25"/>
    <mergeCell ref="E23:E25"/>
    <mergeCell ref="B23:B25"/>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3" tint="0.79998168889431442"/>
  </sheetPr>
  <dimension ref="B1:X553"/>
  <sheetViews>
    <sheetView zoomScale="85" zoomScaleNormal="85" workbookViewId="0">
      <selection activeCell="O5" sqref="O5"/>
    </sheetView>
  </sheetViews>
  <sheetFormatPr defaultColWidth="11.44140625" defaultRowHeight="13.2" outlineLevelCol="1" x14ac:dyDescent="0.25"/>
  <cols>
    <col min="1" max="1" width="1.6640625" style="17" customWidth="1"/>
    <col min="2" max="2" width="8.6640625" style="17" customWidth="1"/>
    <col min="3" max="3" width="3.6640625" style="17" customWidth="1"/>
    <col min="4" max="4" width="8.6640625" style="17" customWidth="1"/>
    <col min="5" max="5" width="60.6640625" style="17" customWidth="1"/>
    <col min="6" max="11" width="12.6640625" style="17" customWidth="1"/>
    <col min="12" max="13" width="3.6640625" style="17" customWidth="1"/>
    <col min="14" max="14" width="6.6640625" style="17" customWidth="1"/>
    <col min="15" max="15" width="12.6640625" style="17" customWidth="1"/>
    <col min="16" max="16" width="36.6640625" style="17" customWidth="1"/>
    <col min="17" max="17" width="1.6640625" style="17" customWidth="1"/>
    <col min="18" max="23" width="11.44140625" style="34" hidden="1" customWidth="1" outlineLevel="1"/>
    <col min="24" max="24" width="11.44140625" style="17" collapsed="1"/>
    <col min="25" max="16384" width="11.44140625" style="17"/>
  </cols>
  <sheetData>
    <row r="1" spans="2:23" ht="13.8" thickBot="1" x14ac:dyDescent="0.3"/>
    <row r="2" spans="2:23" ht="26.1" customHeight="1" x14ac:dyDescent="0.25">
      <c r="B2" s="467" t="s">
        <v>1</v>
      </c>
      <c r="C2" s="457"/>
      <c r="D2" s="457"/>
      <c r="E2" s="557">
        <f>Deckblatt!C6</f>
        <v>0</v>
      </c>
      <c r="F2" s="558"/>
      <c r="G2" s="559"/>
      <c r="H2" s="36" t="s">
        <v>37</v>
      </c>
      <c r="I2" s="118">
        <f>ROUNDDOWN(V10,3)</f>
        <v>0</v>
      </c>
      <c r="J2" s="36" t="s">
        <v>39</v>
      </c>
      <c r="K2" s="37">
        <f>ROUNDDOWN(V334,3)</f>
        <v>0</v>
      </c>
      <c r="L2" s="447" t="s">
        <v>41</v>
      </c>
      <c r="M2" s="448"/>
      <c r="N2" s="508"/>
      <c r="O2" s="511">
        <f>ROUNDDOWN(W10,3)</f>
        <v>0</v>
      </c>
      <c r="R2" s="420" t="s">
        <v>43</v>
      </c>
      <c r="S2" s="421"/>
      <c r="T2" s="421"/>
      <c r="U2" s="421"/>
      <c r="V2" s="421"/>
      <c r="W2" s="422"/>
    </row>
    <row r="3" spans="2:23" ht="26.1" customHeight="1" thickBot="1" x14ac:dyDescent="0.3">
      <c r="B3" s="468" t="s">
        <v>2</v>
      </c>
      <c r="C3" s="469"/>
      <c r="D3" s="469"/>
      <c r="E3" s="560" t="str">
        <f>Deckblatt!C7</f>
        <v>Superquartier</v>
      </c>
      <c r="F3" s="561"/>
      <c r="G3" s="562"/>
      <c r="H3" s="39" t="s">
        <v>38</v>
      </c>
      <c r="I3" s="119">
        <f>ROUNDDOWN(V97,3)</f>
        <v>0</v>
      </c>
      <c r="J3" s="40" t="s">
        <v>40</v>
      </c>
      <c r="K3" s="41">
        <f>ROUNDDOWN(V438,3)</f>
        <v>0</v>
      </c>
      <c r="L3" s="450"/>
      <c r="M3" s="451"/>
      <c r="N3" s="509"/>
      <c r="O3" s="512"/>
      <c r="R3" s="423"/>
      <c r="S3" s="424"/>
      <c r="T3" s="424"/>
      <c r="U3" s="424"/>
      <c r="V3" s="424"/>
      <c r="W3" s="425"/>
    </row>
    <row r="4" spans="2:23" ht="26.1" customHeight="1" thickBot="1" x14ac:dyDescent="0.3">
      <c r="B4" s="402" t="s">
        <v>4</v>
      </c>
      <c r="C4" s="403"/>
      <c r="D4" s="403"/>
      <c r="E4" s="563">
        <f>Deckblatt!C9</f>
        <v>0</v>
      </c>
      <c r="F4" s="564"/>
      <c r="G4" s="565"/>
      <c r="H4" s="43" t="s">
        <v>42</v>
      </c>
      <c r="I4" s="120">
        <f>ROUNDDOWN(V166,3)</f>
        <v>0</v>
      </c>
      <c r="J4" s="44"/>
      <c r="K4" s="34"/>
      <c r="L4" s="453"/>
      <c r="M4" s="454"/>
      <c r="N4" s="510"/>
      <c r="O4" s="513"/>
      <c r="R4" s="426"/>
      <c r="S4" s="427"/>
      <c r="T4" s="427"/>
      <c r="U4" s="427"/>
      <c r="V4" s="427"/>
      <c r="W4" s="428"/>
    </row>
    <row r="5" spans="2:23" ht="13.8" thickBot="1" x14ac:dyDescent="0.3"/>
    <row r="6" spans="2:23" ht="13.8" thickBot="1" x14ac:dyDescent="0.3">
      <c r="B6" s="429" t="s">
        <v>51</v>
      </c>
      <c r="C6" s="430"/>
      <c r="D6" s="431"/>
      <c r="E6" s="566" t="s">
        <v>47</v>
      </c>
      <c r="F6" s="567"/>
      <c r="G6" s="568"/>
      <c r="H6" s="410" t="s">
        <v>50</v>
      </c>
      <c r="I6" s="411"/>
      <c r="J6" s="429" t="s">
        <v>48</v>
      </c>
      <c r="K6" s="462"/>
      <c r="L6" s="551" t="s">
        <v>49</v>
      </c>
      <c r="M6" s="552"/>
      <c r="N6" s="552"/>
      <c r="O6" s="553"/>
      <c r="P6" s="46" t="s">
        <v>26</v>
      </c>
    </row>
    <row r="7" spans="2:23" ht="13.8" thickBot="1" x14ac:dyDescent="0.3"/>
    <row r="8" spans="2:23" ht="48" customHeight="1" x14ac:dyDescent="0.25">
      <c r="B8" s="404" t="s">
        <v>30</v>
      </c>
      <c r="C8" s="406" t="s">
        <v>31</v>
      </c>
      <c r="D8" s="406"/>
      <c r="E8" s="406" t="s">
        <v>32</v>
      </c>
      <c r="F8" s="554" t="s">
        <v>59</v>
      </c>
      <c r="G8" s="406"/>
      <c r="H8" s="554" t="s">
        <v>700</v>
      </c>
      <c r="I8" s="406"/>
      <c r="J8" s="406"/>
      <c r="K8" s="555" t="s">
        <v>36</v>
      </c>
      <c r="L8" s="555" t="s">
        <v>699</v>
      </c>
      <c r="M8" s="554" t="s">
        <v>60</v>
      </c>
      <c r="N8" s="406"/>
      <c r="O8" s="406"/>
      <c r="P8" s="408"/>
      <c r="R8" s="440" t="s">
        <v>80</v>
      </c>
      <c r="S8" s="432" t="s">
        <v>597</v>
      </c>
      <c r="T8" s="432" t="s">
        <v>45</v>
      </c>
      <c r="U8" s="432" t="s">
        <v>44</v>
      </c>
      <c r="V8" s="432" t="s">
        <v>46</v>
      </c>
      <c r="W8" s="470" t="s">
        <v>29</v>
      </c>
    </row>
    <row r="9" spans="2:23" ht="48" customHeight="1" thickBot="1" x14ac:dyDescent="0.3">
      <c r="B9" s="405"/>
      <c r="C9" s="407"/>
      <c r="D9" s="407"/>
      <c r="E9" s="407"/>
      <c r="F9" s="48" t="s">
        <v>33</v>
      </c>
      <c r="G9" s="48" t="s">
        <v>34</v>
      </c>
      <c r="H9" s="48" t="s">
        <v>33</v>
      </c>
      <c r="I9" s="48" t="s">
        <v>34</v>
      </c>
      <c r="J9" s="48" t="s">
        <v>35</v>
      </c>
      <c r="K9" s="556"/>
      <c r="L9" s="590"/>
      <c r="M9" s="407"/>
      <c r="N9" s="407"/>
      <c r="O9" s="407"/>
      <c r="P9" s="409"/>
      <c r="R9" s="441"/>
      <c r="S9" s="433"/>
      <c r="T9" s="433"/>
      <c r="U9" s="433"/>
      <c r="V9" s="433"/>
      <c r="W9" s="471"/>
    </row>
    <row r="10" spans="2:23" x14ac:dyDescent="0.25">
      <c r="B10" s="63" t="s">
        <v>52</v>
      </c>
      <c r="C10" s="483" t="s">
        <v>53</v>
      </c>
      <c r="D10" s="483"/>
      <c r="E10" s="483"/>
      <c r="F10" s="100">
        <f>'SQ_Auditoreingaben '!F12</f>
        <v>106</v>
      </c>
      <c r="G10" s="489"/>
      <c r="H10" s="101">
        <f>S10</f>
        <v>0</v>
      </c>
      <c r="I10" s="489"/>
      <c r="J10" s="65">
        <v>130</v>
      </c>
      <c r="K10" s="65">
        <v>10</v>
      </c>
      <c r="L10" s="102"/>
      <c r="M10" s="591"/>
      <c r="N10" s="591"/>
      <c r="O10" s="591"/>
      <c r="P10" s="592"/>
      <c r="R10" s="18">
        <f>IF(I10&gt;J10,J10,I10)</f>
        <v>0</v>
      </c>
      <c r="S10" s="493">
        <f>IF(SUM(IF(R13+R14+R15&gt;10,10,R13+R14+R15),R17,R19)&gt;100,100+R22+R23+R24,SUM(IF(R13+R14+R15&gt;10,10,R13+R14+R15),R17,R19,R22,R23,R24))</f>
        <v>0</v>
      </c>
      <c r="T10" s="474">
        <f>S10/100</f>
        <v>0</v>
      </c>
      <c r="U10" s="474">
        <v>0.2</v>
      </c>
      <c r="V10" s="343">
        <f>IF((T10*K10+T25*K25+T39*K39+T50*K50+T71*K71+T80*K80)/(K10+K25+K39+K50+K71+K80)&gt;1,1,(T10*K10+T25*K25+T39*K39+T50*K50+T71*K71+T80*K80)/(K10+K25+K39+K50+K71+K80))</f>
        <v>0</v>
      </c>
      <c r="W10" s="343">
        <f>(1/5*V10+1/5*V97+1/5*V166+1/5*V334+1/5*V438)</f>
        <v>0</v>
      </c>
    </row>
    <row r="11" spans="2:23" x14ac:dyDescent="0.25">
      <c r="B11" s="375"/>
      <c r="C11" s="351" t="s">
        <v>54</v>
      </c>
      <c r="D11" s="354" t="s">
        <v>55</v>
      </c>
      <c r="E11" s="354"/>
      <c r="F11" s="362"/>
      <c r="G11" s="356"/>
      <c r="H11" s="362"/>
      <c r="I11" s="356"/>
      <c r="J11" s="21">
        <v>10</v>
      </c>
      <c r="K11" s="356"/>
      <c r="L11" s="80"/>
      <c r="M11" s="570"/>
      <c r="N11" s="570"/>
      <c r="O11" s="570"/>
      <c r="P11" s="571"/>
      <c r="R11" s="18">
        <f t="shared" ref="R11:R74" si="0">IF(I11&gt;J11,J11,I11)</f>
        <v>0</v>
      </c>
      <c r="S11" s="493"/>
      <c r="T11" s="474"/>
      <c r="U11" s="474"/>
      <c r="V11" s="344"/>
      <c r="W11" s="475"/>
    </row>
    <row r="12" spans="2:23" x14ac:dyDescent="0.25">
      <c r="B12" s="375"/>
      <c r="C12" s="351"/>
      <c r="D12" s="361" t="s">
        <v>58</v>
      </c>
      <c r="E12" s="81" t="s">
        <v>57</v>
      </c>
      <c r="F12" s="362"/>
      <c r="G12" s="356"/>
      <c r="H12" s="362"/>
      <c r="I12" s="356"/>
      <c r="J12" s="21">
        <v>10</v>
      </c>
      <c r="K12" s="356"/>
      <c r="L12" s="80"/>
      <c r="M12" s="570"/>
      <c r="N12" s="570"/>
      <c r="O12" s="570"/>
      <c r="P12" s="571"/>
      <c r="R12" s="18">
        <f t="shared" si="0"/>
        <v>0</v>
      </c>
      <c r="S12" s="493"/>
      <c r="T12" s="474"/>
      <c r="U12" s="474"/>
      <c r="V12" s="344"/>
      <c r="W12" s="475"/>
    </row>
    <row r="13" spans="2:23" ht="145.19999999999999" x14ac:dyDescent="0.25">
      <c r="B13" s="375"/>
      <c r="C13" s="351"/>
      <c r="D13" s="361"/>
      <c r="E13" s="77" t="s">
        <v>70</v>
      </c>
      <c r="F13" s="362"/>
      <c r="G13" s="82" t="e">
        <f>'SQ_Auditoreingaben '!#REF!</f>
        <v>#REF!</v>
      </c>
      <c r="H13" s="362"/>
      <c r="I13" s="69"/>
      <c r="J13" s="18">
        <v>8</v>
      </c>
      <c r="K13" s="356"/>
      <c r="L13" s="80"/>
      <c r="M13" s="570"/>
      <c r="N13" s="570"/>
      <c r="O13" s="570"/>
      <c r="P13" s="571"/>
      <c r="R13" s="18">
        <f t="shared" si="0"/>
        <v>0</v>
      </c>
      <c r="S13" s="493"/>
      <c r="T13" s="474"/>
      <c r="U13" s="474"/>
      <c r="V13" s="344"/>
      <c r="W13" s="475"/>
    </row>
    <row r="14" spans="2:23" ht="105.6" x14ac:dyDescent="0.25">
      <c r="B14" s="375"/>
      <c r="C14" s="351"/>
      <c r="D14" s="361"/>
      <c r="E14" s="77" t="s">
        <v>71</v>
      </c>
      <c r="F14" s="362"/>
      <c r="G14" s="82">
        <f>'SQ_Auditoreingaben '!G15</f>
        <v>0</v>
      </c>
      <c r="H14" s="362"/>
      <c r="I14" s="69"/>
      <c r="J14" s="18">
        <v>3</v>
      </c>
      <c r="K14" s="356"/>
      <c r="L14" s="80"/>
      <c r="M14" s="570"/>
      <c r="N14" s="570"/>
      <c r="O14" s="570"/>
      <c r="P14" s="571"/>
      <c r="R14" s="18">
        <f t="shared" si="0"/>
        <v>0</v>
      </c>
      <c r="S14" s="493"/>
      <c r="T14" s="474"/>
      <c r="U14" s="474"/>
      <c r="V14" s="344"/>
      <c r="W14" s="475"/>
    </row>
    <row r="15" spans="2:23" ht="92.4" x14ac:dyDescent="0.25">
      <c r="B15" s="375"/>
      <c r="C15" s="351"/>
      <c r="D15" s="361"/>
      <c r="E15" s="77" t="s">
        <v>72</v>
      </c>
      <c r="F15" s="362"/>
      <c r="G15" s="82">
        <f>'SQ_Auditoreingaben '!G16</f>
        <v>0</v>
      </c>
      <c r="H15" s="362"/>
      <c r="I15" s="69"/>
      <c r="J15" s="18">
        <v>2</v>
      </c>
      <c r="K15" s="356"/>
      <c r="L15" s="80"/>
      <c r="M15" s="570"/>
      <c r="N15" s="570"/>
      <c r="O15" s="570"/>
      <c r="P15" s="571"/>
      <c r="R15" s="18">
        <f t="shared" si="0"/>
        <v>0</v>
      </c>
      <c r="S15" s="493"/>
      <c r="T15" s="474"/>
      <c r="U15" s="474"/>
      <c r="V15" s="344"/>
      <c r="W15" s="475"/>
    </row>
    <row r="16" spans="2:23" x14ac:dyDescent="0.25">
      <c r="B16" s="375"/>
      <c r="C16" s="351" t="s">
        <v>61</v>
      </c>
      <c r="D16" s="569" t="s">
        <v>62</v>
      </c>
      <c r="E16" s="569"/>
      <c r="F16" s="362"/>
      <c r="G16" s="113"/>
      <c r="H16" s="362"/>
      <c r="I16" s="113"/>
      <c r="J16" s="21">
        <v>10</v>
      </c>
      <c r="K16" s="356"/>
      <c r="L16" s="80"/>
      <c r="M16" s="570"/>
      <c r="N16" s="570"/>
      <c r="O16" s="570"/>
      <c r="P16" s="571"/>
      <c r="R16" s="18">
        <f t="shared" si="0"/>
        <v>0</v>
      </c>
      <c r="S16" s="493"/>
      <c r="T16" s="474"/>
      <c r="U16" s="474"/>
      <c r="V16" s="344"/>
      <c r="W16" s="475"/>
    </row>
    <row r="17" spans="2:23" ht="92.4" x14ac:dyDescent="0.25">
      <c r="B17" s="375"/>
      <c r="C17" s="351"/>
      <c r="D17" s="71" t="s">
        <v>63</v>
      </c>
      <c r="E17" s="83" t="s">
        <v>73</v>
      </c>
      <c r="F17" s="362"/>
      <c r="G17" s="82">
        <f>'SQ_Auditoreingaben '!G19</f>
        <v>4</v>
      </c>
      <c r="H17" s="362"/>
      <c r="I17" s="69"/>
      <c r="J17" s="18">
        <v>10</v>
      </c>
      <c r="K17" s="356"/>
      <c r="L17" s="80"/>
      <c r="M17" s="570"/>
      <c r="N17" s="570"/>
      <c r="O17" s="570"/>
      <c r="P17" s="571"/>
      <c r="R17" s="18">
        <f t="shared" si="0"/>
        <v>0</v>
      </c>
      <c r="S17" s="493"/>
      <c r="T17" s="474"/>
      <c r="U17" s="474"/>
      <c r="V17" s="344"/>
      <c r="W17" s="475"/>
    </row>
    <row r="18" spans="2:23" x14ac:dyDescent="0.25">
      <c r="B18" s="375"/>
      <c r="C18" s="351" t="s">
        <v>64</v>
      </c>
      <c r="D18" s="569" t="s">
        <v>65</v>
      </c>
      <c r="E18" s="569"/>
      <c r="F18" s="362"/>
      <c r="G18" s="113"/>
      <c r="H18" s="362"/>
      <c r="I18" s="113"/>
      <c r="J18" s="21">
        <v>100</v>
      </c>
      <c r="K18" s="356"/>
      <c r="L18" s="80"/>
      <c r="M18" s="570"/>
      <c r="N18" s="570"/>
      <c r="O18" s="570"/>
      <c r="P18" s="571"/>
      <c r="R18" s="18">
        <f t="shared" si="0"/>
        <v>0</v>
      </c>
      <c r="S18" s="493"/>
      <c r="T18" s="474"/>
      <c r="U18" s="474"/>
      <c r="V18" s="344"/>
      <c r="W18" s="475"/>
    </row>
    <row r="19" spans="2:23" ht="39.6" x14ac:dyDescent="0.25">
      <c r="B19" s="375"/>
      <c r="C19" s="351"/>
      <c r="D19" s="71" t="s">
        <v>66</v>
      </c>
      <c r="E19" s="116" t="s">
        <v>74</v>
      </c>
      <c r="F19" s="362"/>
      <c r="G19" s="82">
        <f>'SQ_Auditoreingaben '!G21</f>
        <v>80</v>
      </c>
      <c r="H19" s="362"/>
      <c r="I19" s="69"/>
      <c r="J19" s="18">
        <v>100</v>
      </c>
      <c r="K19" s="356"/>
      <c r="L19" s="80"/>
      <c r="M19" s="570"/>
      <c r="N19" s="570"/>
      <c r="O19" s="570"/>
      <c r="P19" s="571"/>
      <c r="R19" s="18">
        <f t="shared" si="0"/>
        <v>0</v>
      </c>
      <c r="S19" s="493"/>
      <c r="T19" s="474"/>
      <c r="U19" s="474"/>
      <c r="V19" s="344"/>
      <c r="W19" s="475"/>
    </row>
    <row r="20" spans="2:23" x14ac:dyDescent="0.25">
      <c r="B20" s="375"/>
      <c r="C20" s="351" t="s">
        <v>67</v>
      </c>
      <c r="D20" s="412" t="s">
        <v>68</v>
      </c>
      <c r="E20" s="412"/>
      <c r="F20" s="362"/>
      <c r="G20" s="356"/>
      <c r="H20" s="362"/>
      <c r="I20" s="356"/>
      <c r="J20" s="21">
        <v>30</v>
      </c>
      <c r="K20" s="356"/>
      <c r="L20" s="80"/>
      <c r="M20" s="570"/>
      <c r="N20" s="570"/>
      <c r="O20" s="570"/>
      <c r="P20" s="571"/>
      <c r="R20" s="18">
        <f t="shared" si="0"/>
        <v>0</v>
      </c>
      <c r="S20" s="493"/>
      <c r="T20" s="474"/>
      <c r="U20" s="474"/>
      <c r="V20" s="344"/>
      <c r="W20" s="475"/>
    </row>
    <row r="21" spans="2:23" x14ac:dyDescent="0.25">
      <c r="B21" s="375"/>
      <c r="C21" s="351"/>
      <c r="D21" s="361" t="s">
        <v>69</v>
      </c>
      <c r="E21" s="84" t="s">
        <v>76</v>
      </c>
      <c r="F21" s="362"/>
      <c r="G21" s="356"/>
      <c r="H21" s="362"/>
      <c r="I21" s="356"/>
      <c r="J21" s="21">
        <v>28</v>
      </c>
      <c r="K21" s="356"/>
      <c r="L21" s="80"/>
      <c r="M21" s="570"/>
      <c r="N21" s="570"/>
      <c r="O21" s="570"/>
      <c r="P21" s="571"/>
      <c r="R21" s="18">
        <f t="shared" si="0"/>
        <v>0</v>
      </c>
      <c r="S21" s="493"/>
      <c r="T21" s="474"/>
      <c r="U21" s="474"/>
      <c r="V21" s="344"/>
      <c r="W21" s="475"/>
    </row>
    <row r="22" spans="2:23" ht="79.2" x14ac:dyDescent="0.25">
      <c r="B22" s="375"/>
      <c r="C22" s="351"/>
      <c r="D22" s="361"/>
      <c r="E22" s="85" t="s">
        <v>75</v>
      </c>
      <c r="F22" s="362"/>
      <c r="G22" s="82">
        <f>'SQ_Auditoreingaben '!G24</f>
        <v>20</v>
      </c>
      <c r="H22" s="362"/>
      <c r="I22" s="69"/>
      <c r="J22" s="18">
        <v>14</v>
      </c>
      <c r="K22" s="356"/>
      <c r="L22" s="80"/>
      <c r="M22" s="570"/>
      <c r="N22" s="570"/>
      <c r="O22" s="570"/>
      <c r="P22" s="571"/>
      <c r="R22" s="18">
        <f t="shared" si="0"/>
        <v>0</v>
      </c>
      <c r="S22" s="493"/>
      <c r="T22" s="474"/>
      <c r="U22" s="474"/>
      <c r="V22" s="344"/>
      <c r="W22" s="475"/>
    </row>
    <row r="23" spans="2:23" ht="66" x14ac:dyDescent="0.25">
      <c r="B23" s="375"/>
      <c r="C23" s="351"/>
      <c r="D23" s="361"/>
      <c r="E23" s="85" t="s">
        <v>77</v>
      </c>
      <c r="F23" s="362"/>
      <c r="G23" s="82">
        <f>'SQ_Auditoreingaben '!G25</f>
        <v>0</v>
      </c>
      <c r="H23" s="362"/>
      <c r="I23" s="69"/>
      <c r="J23" s="18">
        <v>14</v>
      </c>
      <c r="K23" s="356"/>
      <c r="L23" s="80"/>
      <c r="M23" s="570"/>
      <c r="N23" s="570"/>
      <c r="O23" s="570"/>
      <c r="P23" s="571"/>
      <c r="R23" s="18">
        <f t="shared" si="0"/>
        <v>0</v>
      </c>
      <c r="S23" s="493"/>
      <c r="T23" s="474"/>
      <c r="U23" s="474"/>
      <c r="V23" s="344"/>
      <c r="W23" s="475"/>
    </row>
    <row r="24" spans="2:23" ht="52.8" x14ac:dyDescent="0.25">
      <c r="B24" s="375"/>
      <c r="C24" s="351"/>
      <c r="D24" s="71" t="s">
        <v>78</v>
      </c>
      <c r="E24" s="86" t="s">
        <v>79</v>
      </c>
      <c r="F24" s="362"/>
      <c r="G24" s="82">
        <f>'SQ_Auditoreingaben '!G27</f>
        <v>2</v>
      </c>
      <c r="H24" s="362"/>
      <c r="I24" s="69"/>
      <c r="J24" s="18">
        <v>2</v>
      </c>
      <c r="K24" s="356"/>
      <c r="L24" s="80"/>
      <c r="M24" s="570"/>
      <c r="N24" s="570"/>
      <c r="O24" s="570"/>
      <c r="P24" s="571"/>
      <c r="R24" s="18">
        <f t="shared" si="0"/>
        <v>0</v>
      </c>
      <c r="S24" s="493"/>
      <c r="T24" s="474"/>
      <c r="U24" s="474"/>
      <c r="V24" s="344"/>
      <c r="W24" s="475"/>
    </row>
    <row r="25" spans="2:23" x14ac:dyDescent="0.25">
      <c r="B25" s="55" t="s">
        <v>81</v>
      </c>
      <c r="C25" s="354" t="s">
        <v>82</v>
      </c>
      <c r="D25" s="354"/>
      <c r="E25" s="354"/>
      <c r="F25" s="78">
        <f>'SQ_Auditoreingaben '!F28</f>
        <v>82.5</v>
      </c>
      <c r="G25" s="356"/>
      <c r="H25" s="79">
        <f>S25</f>
        <v>0</v>
      </c>
      <c r="I25" s="356"/>
      <c r="J25" s="21">
        <v>120</v>
      </c>
      <c r="K25" s="115">
        <v>7</v>
      </c>
      <c r="L25" s="80"/>
      <c r="M25" s="570"/>
      <c r="N25" s="570"/>
      <c r="O25" s="570"/>
      <c r="P25" s="571"/>
      <c r="R25" s="18">
        <f t="shared" si="0"/>
        <v>0</v>
      </c>
      <c r="S25" s="337">
        <f>SUM(R27,R28,R29,R30,IF(R32+R33&gt;40,40,R32+R33),R35,R36,R38)</f>
        <v>0</v>
      </c>
      <c r="T25" s="474">
        <f>S25/100</f>
        <v>0</v>
      </c>
      <c r="U25" s="474"/>
      <c r="V25" s="344"/>
      <c r="W25" s="475"/>
    </row>
    <row r="26" spans="2:23" x14ac:dyDescent="0.25">
      <c r="B26" s="375"/>
      <c r="C26" s="351" t="s">
        <v>54</v>
      </c>
      <c r="D26" s="354" t="s">
        <v>83</v>
      </c>
      <c r="E26" s="354"/>
      <c r="F26" s="573"/>
      <c r="G26" s="356"/>
      <c r="H26" s="573"/>
      <c r="I26" s="356"/>
      <c r="J26" s="21">
        <v>30</v>
      </c>
      <c r="K26" s="356"/>
      <c r="L26" s="80"/>
      <c r="M26" s="570"/>
      <c r="N26" s="570"/>
      <c r="O26" s="570"/>
      <c r="P26" s="571"/>
      <c r="R26" s="18">
        <f t="shared" si="0"/>
        <v>0</v>
      </c>
      <c r="S26" s="338"/>
      <c r="T26" s="474"/>
      <c r="U26" s="474"/>
      <c r="V26" s="344"/>
      <c r="W26" s="475"/>
    </row>
    <row r="27" spans="2:23" ht="26.4" x14ac:dyDescent="0.25">
      <c r="B27" s="375"/>
      <c r="C27" s="351"/>
      <c r="D27" s="71" t="s">
        <v>56</v>
      </c>
      <c r="E27" s="77" t="s">
        <v>84</v>
      </c>
      <c r="F27" s="573"/>
      <c r="G27" s="82">
        <f>'SQ_Auditoreingaben '!G30</f>
        <v>30</v>
      </c>
      <c r="H27" s="573"/>
      <c r="I27" s="69"/>
      <c r="J27" s="18">
        <v>7.5</v>
      </c>
      <c r="K27" s="356"/>
      <c r="L27" s="80"/>
      <c r="M27" s="570"/>
      <c r="N27" s="570"/>
      <c r="O27" s="570"/>
      <c r="P27" s="571"/>
      <c r="R27" s="18">
        <f t="shared" si="0"/>
        <v>0</v>
      </c>
      <c r="S27" s="338"/>
      <c r="T27" s="474"/>
      <c r="U27" s="474"/>
      <c r="V27" s="344"/>
      <c r="W27" s="475"/>
    </row>
    <row r="28" spans="2:23" ht="26.4" x14ac:dyDescent="0.25">
      <c r="B28" s="375"/>
      <c r="C28" s="351"/>
      <c r="D28" s="71" t="s">
        <v>88</v>
      </c>
      <c r="E28" s="77" t="s">
        <v>85</v>
      </c>
      <c r="F28" s="573"/>
      <c r="G28" s="82" t="e">
        <f>'SQ_Auditoreingaben '!#REF!</f>
        <v>#REF!</v>
      </c>
      <c r="H28" s="573"/>
      <c r="I28" s="69"/>
      <c r="J28" s="18">
        <v>7.5</v>
      </c>
      <c r="K28" s="356"/>
      <c r="L28" s="80"/>
      <c r="M28" s="570"/>
      <c r="N28" s="570"/>
      <c r="O28" s="570"/>
      <c r="P28" s="571"/>
      <c r="R28" s="18">
        <f t="shared" si="0"/>
        <v>0</v>
      </c>
      <c r="S28" s="338"/>
      <c r="T28" s="474"/>
      <c r="U28" s="474"/>
      <c r="V28" s="344"/>
      <c r="W28" s="475"/>
    </row>
    <row r="29" spans="2:23" ht="39.6" x14ac:dyDescent="0.25">
      <c r="B29" s="375"/>
      <c r="C29" s="351"/>
      <c r="D29" s="71" t="s">
        <v>89</v>
      </c>
      <c r="E29" s="77" t="s">
        <v>86</v>
      </c>
      <c r="F29" s="573"/>
      <c r="G29" s="82" t="e">
        <f>'SQ_Auditoreingaben '!#REF!</f>
        <v>#REF!</v>
      </c>
      <c r="H29" s="573"/>
      <c r="I29" s="69"/>
      <c r="J29" s="18">
        <v>7.5</v>
      </c>
      <c r="K29" s="356"/>
      <c r="L29" s="80"/>
      <c r="M29" s="570"/>
      <c r="N29" s="570"/>
      <c r="O29" s="570"/>
      <c r="P29" s="571"/>
      <c r="R29" s="18">
        <f t="shared" si="0"/>
        <v>0</v>
      </c>
      <c r="S29" s="338"/>
      <c r="T29" s="474"/>
      <c r="U29" s="474"/>
      <c r="V29" s="344"/>
      <c r="W29" s="475"/>
    </row>
    <row r="30" spans="2:23" ht="26.4" x14ac:dyDescent="0.25">
      <c r="B30" s="375"/>
      <c r="C30" s="351"/>
      <c r="D30" s="71" t="s">
        <v>90</v>
      </c>
      <c r="E30" s="77" t="s">
        <v>87</v>
      </c>
      <c r="F30" s="573"/>
      <c r="G30" s="82" t="e">
        <f>'SQ_Auditoreingaben '!#REF!</f>
        <v>#REF!</v>
      </c>
      <c r="H30" s="573"/>
      <c r="I30" s="69"/>
      <c r="J30" s="18">
        <v>7.5</v>
      </c>
      <c r="K30" s="356"/>
      <c r="L30" s="80"/>
      <c r="M30" s="570"/>
      <c r="N30" s="570"/>
      <c r="O30" s="570"/>
      <c r="P30" s="571"/>
      <c r="R30" s="18">
        <f t="shared" si="0"/>
        <v>0</v>
      </c>
      <c r="S30" s="338"/>
      <c r="T30" s="474"/>
      <c r="U30" s="474"/>
      <c r="V30" s="344"/>
      <c r="W30" s="475"/>
    </row>
    <row r="31" spans="2:23" x14ac:dyDescent="0.25">
      <c r="B31" s="375"/>
      <c r="C31" s="351" t="s">
        <v>61</v>
      </c>
      <c r="D31" s="354" t="s">
        <v>91</v>
      </c>
      <c r="E31" s="354"/>
      <c r="F31" s="573"/>
      <c r="G31" s="117"/>
      <c r="H31" s="573"/>
      <c r="I31" s="117"/>
      <c r="J31" s="21">
        <v>40</v>
      </c>
      <c r="K31" s="356"/>
      <c r="L31" s="80"/>
      <c r="M31" s="570"/>
      <c r="N31" s="570"/>
      <c r="O31" s="570"/>
      <c r="P31" s="571"/>
      <c r="R31" s="18">
        <f t="shared" si="0"/>
        <v>0</v>
      </c>
      <c r="S31" s="338"/>
      <c r="T31" s="474"/>
      <c r="U31" s="474"/>
      <c r="V31" s="344"/>
      <c r="W31" s="475"/>
    </row>
    <row r="32" spans="2:23" ht="26.4" x14ac:dyDescent="0.25">
      <c r="B32" s="375"/>
      <c r="C32" s="351"/>
      <c r="D32" s="71" t="s">
        <v>94</v>
      </c>
      <c r="E32" s="77" t="s">
        <v>92</v>
      </c>
      <c r="F32" s="573"/>
      <c r="G32" s="82">
        <f>'SQ_Auditoreingaben '!G32</f>
        <v>25</v>
      </c>
      <c r="H32" s="573"/>
      <c r="I32" s="69"/>
      <c r="J32" s="18">
        <v>40</v>
      </c>
      <c r="K32" s="356"/>
      <c r="L32" s="80"/>
      <c r="M32" s="570"/>
      <c r="N32" s="570"/>
      <c r="O32" s="570"/>
      <c r="P32" s="571"/>
      <c r="R32" s="18">
        <f t="shared" si="0"/>
        <v>0</v>
      </c>
      <c r="S32" s="338"/>
      <c r="T32" s="474"/>
      <c r="U32" s="474"/>
      <c r="V32" s="344"/>
      <c r="W32" s="475"/>
    </row>
    <row r="33" spans="2:23" ht="39.6" x14ac:dyDescent="0.25">
      <c r="B33" s="375"/>
      <c r="C33" s="351"/>
      <c r="D33" s="71" t="s">
        <v>95</v>
      </c>
      <c r="E33" s="77" t="s">
        <v>93</v>
      </c>
      <c r="F33" s="573"/>
      <c r="G33" s="82">
        <f>'SQ_Auditoreingaben '!G33</f>
        <v>0</v>
      </c>
      <c r="H33" s="573"/>
      <c r="I33" s="69"/>
      <c r="J33" s="18">
        <v>40</v>
      </c>
      <c r="K33" s="356"/>
      <c r="L33" s="80"/>
      <c r="M33" s="570"/>
      <c r="N33" s="570"/>
      <c r="O33" s="570"/>
      <c r="P33" s="571"/>
      <c r="R33" s="18">
        <f t="shared" si="0"/>
        <v>0</v>
      </c>
      <c r="S33" s="338"/>
      <c r="T33" s="474"/>
      <c r="U33" s="474"/>
      <c r="V33" s="344"/>
      <c r="W33" s="475"/>
    </row>
    <row r="34" spans="2:23" x14ac:dyDescent="0.25">
      <c r="B34" s="375"/>
      <c r="C34" s="351" t="s">
        <v>64</v>
      </c>
      <c r="D34" s="354" t="s">
        <v>96</v>
      </c>
      <c r="E34" s="354"/>
      <c r="F34" s="573"/>
      <c r="G34" s="117"/>
      <c r="H34" s="573"/>
      <c r="I34" s="117"/>
      <c r="J34" s="21">
        <v>30</v>
      </c>
      <c r="K34" s="356"/>
      <c r="L34" s="80"/>
      <c r="M34" s="570"/>
      <c r="N34" s="570"/>
      <c r="O34" s="570"/>
      <c r="P34" s="571"/>
      <c r="R34" s="18">
        <f t="shared" si="0"/>
        <v>0</v>
      </c>
      <c r="S34" s="338"/>
      <c r="T34" s="474"/>
      <c r="U34" s="474"/>
      <c r="V34" s="344"/>
      <c r="W34" s="475"/>
    </row>
    <row r="35" spans="2:23" ht="132" x14ac:dyDescent="0.25">
      <c r="B35" s="375"/>
      <c r="C35" s="351"/>
      <c r="D35" s="57" t="s">
        <v>66</v>
      </c>
      <c r="E35" s="77" t="s">
        <v>651</v>
      </c>
      <c r="F35" s="573"/>
      <c r="G35" s="82">
        <f>'SQ_Auditoreingaben '!G35</f>
        <v>7.5</v>
      </c>
      <c r="H35" s="573"/>
      <c r="I35" s="69"/>
      <c r="J35" s="18">
        <v>15</v>
      </c>
      <c r="K35" s="356"/>
      <c r="L35" s="80"/>
      <c r="M35" s="570"/>
      <c r="N35" s="570"/>
      <c r="O35" s="570"/>
      <c r="P35" s="571"/>
      <c r="R35" s="18">
        <f t="shared" si="0"/>
        <v>0</v>
      </c>
      <c r="S35" s="338"/>
      <c r="T35" s="474"/>
      <c r="U35" s="474"/>
      <c r="V35" s="344"/>
      <c r="W35" s="475"/>
    </row>
    <row r="36" spans="2:23" ht="39.6" x14ac:dyDescent="0.25">
      <c r="B36" s="375"/>
      <c r="C36" s="351"/>
      <c r="D36" s="71" t="s">
        <v>97</v>
      </c>
      <c r="E36" s="77" t="s">
        <v>652</v>
      </c>
      <c r="F36" s="573"/>
      <c r="G36" s="82">
        <f>'SQ_Auditoreingaben '!G36</f>
        <v>0</v>
      </c>
      <c r="H36" s="573"/>
      <c r="I36" s="69"/>
      <c r="J36" s="18">
        <v>15</v>
      </c>
      <c r="K36" s="356"/>
      <c r="L36" s="80"/>
      <c r="M36" s="570"/>
      <c r="N36" s="570"/>
      <c r="O36" s="570"/>
      <c r="P36" s="571"/>
      <c r="R36" s="18">
        <f t="shared" si="0"/>
        <v>0</v>
      </c>
      <c r="S36" s="338"/>
      <c r="T36" s="474"/>
      <c r="U36" s="474"/>
      <c r="V36" s="344"/>
      <c r="W36" s="475"/>
    </row>
    <row r="37" spans="2:23" ht="26.1" customHeight="1" x14ac:dyDescent="0.25">
      <c r="B37" s="375"/>
      <c r="C37" s="351" t="s">
        <v>67</v>
      </c>
      <c r="D37" s="572" t="s">
        <v>654</v>
      </c>
      <c r="E37" s="572"/>
      <c r="F37" s="573"/>
      <c r="G37" s="117"/>
      <c r="H37" s="573"/>
      <c r="I37" s="117"/>
      <c r="J37" s="21">
        <v>20</v>
      </c>
      <c r="K37" s="356"/>
      <c r="L37" s="80"/>
      <c r="M37" s="570"/>
      <c r="N37" s="570"/>
      <c r="O37" s="570"/>
      <c r="P37" s="571"/>
      <c r="R37" s="18">
        <f t="shared" si="0"/>
        <v>0</v>
      </c>
      <c r="S37" s="338"/>
      <c r="T37" s="474"/>
      <c r="U37" s="474"/>
      <c r="V37" s="344"/>
      <c r="W37" s="475"/>
    </row>
    <row r="38" spans="2:23" ht="39.6" x14ac:dyDescent="0.25">
      <c r="B38" s="375"/>
      <c r="C38" s="351"/>
      <c r="D38" s="71" t="s">
        <v>98</v>
      </c>
      <c r="E38" s="77" t="s">
        <v>653</v>
      </c>
      <c r="F38" s="573"/>
      <c r="G38" s="82">
        <f>'SQ_Auditoreingaben '!G38</f>
        <v>20</v>
      </c>
      <c r="H38" s="573"/>
      <c r="I38" s="69"/>
      <c r="J38" s="18">
        <v>20</v>
      </c>
      <c r="K38" s="356"/>
      <c r="L38" s="80"/>
      <c r="M38" s="570"/>
      <c r="N38" s="570"/>
      <c r="O38" s="570"/>
      <c r="P38" s="571"/>
      <c r="R38" s="18">
        <f t="shared" si="0"/>
        <v>0</v>
      </c>
      <c r="S38" s="339"/>
      <c r="T38" s="474"/>
      <c r="U38" s="474"/>
      <c r="V38" s="344"/>
      <c r="W38" s="475"/>
    </row>
    <row r="39" spans="2:23" x14ac:dyDescent="0.25">
      <c r="B39" s="55" t="s">
        <v>99</v>
      </c>
      <c r="C39" s="354" t="s">
        <v>100</v>
      </c>
      <c r="D39" s="354"/>
      <c r="E39" s="354"/>
      <c r="F39" s="78" t="e">
        <f>'SQ_Auditoreingaben '!#REF!</f>
        <v>#REF!</v>
      </c>
      <c r="G39" s="362"/>
      <c r="H39" s="79">
        <f>S39</f>
        <v>0</v>
      </c>
      <c r="I39" s="362"/>
      <c r="J39" s="21">
        <v>100</v>
      </c>
      <c r="K39" s="115">
        <v>3</v>
      </c>
      <c r="L39" s="80"/>
      <c r="M39" s="570"/>
      <c r="N39" s="570"/>
      <c r="O39" s="570"/>
      <c r="P39" s="571"/>
      <c r="R39" s="18">
        <f t="shared" si="0"/>
        <v>0</v>
      </c>
      <c r="S39" s="337">
        <f>SUM(R41:R49)</f>
        <v>0</v>
      </c>
      <c r="T39" s="474">
        <f>S39/100</f>
        <v>0</v>
      </c>
      <c r="U39" s="474"/>
      <c r="V39" s="344"/>
      <c r="W39" s="475"/>
    </row>
    <row r="40" spans="2:23" x14ac:dyDescent="0.25">
      <c r="B40" s="375"/>
      <c r="C40" s="351" t="s">
        <v>101</v>
      </c>
      <c r="D40" s="354" t="s">
        <v>102</v>
      </c>
      <c r="E40" s="354"/>
      <c r="F40" s="573"/>
      <c r="G40" s="362"/>
      <c r="H40" s="573"/>
      <c r="I40" s="362"/>
      <c r="J40" s="21">
        <v>30</v>
      </c>
      <c r="K40" s="575"/>
      <c r="L40" s="80"/>
      <c r="M40" s="570"/>
      <c r="N40" s="570"/>
      <c r="O40" s="570"/>
      <c r="P40" s="571"/>
      <c r="R40" s="18">
        <f t="shared" si="0"/>
        <v>0</v>
      </c>
      <c r="S40" s="338"/>
      <c r="T40" s="474"/>
      <c r="U40" s="474"/>
      <c r="V40" s="344"/>
      <c r="W40" s="475"/>
    </row>
    <row r="41" spans="2:23" ht="52.8" x14ac:dyDescent="0.25">
      <c r="B41" s="375"/>
      <c r="C41" s="351"/>
      <c r="D41" s="57" t="s">
        <v>105</v>
      </c>
      <c r="E41" s="77" t="s">
        <v>109</v>
      </c>
      <c r="F41" s="573"/>
      <c r="G41" s="82" t="e">
        <f>'SQ_Auditoreingaben '!#REF!</f>
        <v>#REF!</v>
      </c>
      <c r="H41" s="573"/>
      <c r="I41" s="69"/>
      <c r="J41" s="18">
        <v>30</v>
      </c>
      <c r="K41" s="575"/>
      <c r="L41" s="80"/>
      <c r="M41" s="570"/>
      <c r="N41" s="570"/>
      <c r="O41" s="570"/>
      <c r="P41" s="571"/>
      <c r="R41" s="18">
        <f t="shared" si="0"/>
        <v>0</v>
      </c>
      <c r="S41" s="338"/>
      <c r="T41" s="474"/>
      <c r="U41" s="474"/>
      <c r="V41" s="344"/>
      <c r="W41" s="475"/>
    </row>
    <row r="42" spans="2:23" x14ac:dyDescent="0.25">
      <c r="B42" s="375"/>
      <c r="C42" s="351" t="s">
        <v>103</v>
      </c>
      <c r="D42" s="354" t="s">
        <v>104</v>
      </c>
      <c r="E42" s="354"/>
      <c r="F42" s="573"/>
      <c r="G42" s="117"/>
      <c r="H42" s="573"/>
      <c r="I42" s="117"/>
      <c r="J42" s="21">
        <v>30</v>
      </c>
      <c r="K42" s="575"/>
      <c r="L42" s="80"/>
      <c r="M42" s="570"/>
      <c r="N42" s="570"/>
      <c r="O42" s="570"/>
      <c r="P42" s="571"/>
      <c r="R42" s="18">
        <f t="shared" si="0"/>
        <v>0</v>
      </c>
      <c r="S42" s="338"/>
      <c r="T42" s="474"/>
      <c r="U42" s="474"/>
      <c r="V42" s="344"/>
      <c r="W42" s="475"/>
    </row>
    <row r="43" spans="2:23" ht="52.8" x14ac:dyDescent="0.25">
      <c r="B43" s="375"/>
      <c r="C43" s="351"/>
      <c r="D43" s="57" t="s">
        <v>105</v>
      </c>
      <c r="E43" s="77" t="s">
        <v>109</v>
      </c>
      <c r="F43" s="573"/>
      <c r="G43" s="82" t="e">
        <f>'SQ_Auditoreingaben '!#REF!</f>
        <v>#REF!</v>
      </c>
      <c r="H43" s="573"/>
      <c r="I43" s="69"/>
      <c r="J43" s="18">
        <v>30</v>
      </c>
      <c r="K43" s="575"/>
      <c r="L43" s="80"/>
      <c r="M43" s="570"/>
      <c r="N43" s="570"/>
      <c r="O43" s="570"/>
      <c r="P43" s="571"/>
      <c r="R43" s="18">
        <f t="shared" si="0"/>
        <v>0</v>
      </c>
      <c r="S43" s="338"/>
      <c r="T43" s="474"/>
      <c r="U43" s="474"/>
      <c r="V43" s="344"/>
      <c r="W43" s="475"/>
    </row>
    <row r="44" spans="2:23" x14ac:dyDescent="0.25">
      <c r="B44" s="375"/>
      <c r="C44" s="351" t="s">
        <v>106</v>
      </c>
      <c r="D44" s="354" t="s">
        <v>104</v>
      </c>
      <c r="E44" s="354"/>
      <c r="F44" s="573"/>
      <c r="G44" s="117"/>
      <c r="H44" s="573"/>
      <c r="I44" s="117"/>
      <c r="J44" s="21">
        <v>30</v>
      </c>
      <c r="K44" s="575"/>
      <c r="L44" s="80"/>
      <c r="M44" s="570"/>
      <c r="N44" s="570"/>
      <c r="O44" s="570"/>
      <c r="P44" s="571"/>
      <c r="R44" s="18">
        <f t="shared" si="0"/>
        <v>0</v>
      </c>
      <c r="S44" s="338"/>
      <c r="T44" s="474"/>
      <c r="U44" s="474"/>
      <c r="V44" s="344"/>
      <c r="W44" s="475"/>
    </row>
    <row r="45" spans="2:23" ht="52.8" x14ac:dyDescent="0.25">
      <c r="B45" s="375"/>
      <c r="C45" s="351"/>
      <c r="D45" s="57" t="s">
        <v>105</v>
      </c>
      <c r="E45" s="77" t="s">
        <v>109</v>
      </c>
      <c r="F45" s="573"/>
      <c r="G45" s="82" t="e">
        <f>'SQ_Auditoreingaben '!#REF!</f>
        <v>#REF!</v>
      </c>
      <c r="H45" s="573"/>
      <c r="I45" s="69"/>
      <c r="J45" s="18">
        <v>30</v>
      </c>
      <c r="K45" s="575"/>
      <c r="L45" s="80"/>
      <c r="M45" s="570"/>
      <c r="N45" s="570"/>
      <c r="O45" s="570"/>
      <c r="P45" s="571"/>
      <c r="R45" s="18">
        <f t="shared" si="0"/>
        <v>0</v>
      </c>
      <c r="S45" s="338"/>
      <c r="T45" s="474"/>
      <c r="U45" s="474"/>
      <c r="V45" s="344"/>
      <c r="W45" s="475"/>
    </row>
    <row r="46" spans="2:23" x14ac:dyDescent="0.25">
      <c r="B46" s="375"/>
      <c r="C46" s="574" t="s">
        <v>107</v>
      </c>
      <c r="D46" s="354" t="s">
        <v>108</v>
      </c>
      <c r="E46" s="354"/>
      <c r="F46" s="573"/>
      <c r="G46" s="362"/>
      <c r="H46" s="573"/>
      <c r="I46" s="362"/>
      <c r="J46" s="21">
        <v>10</v>
      </c>
      <c r="K46" s="575"/>
      <c r="L46" s="80"/>
      <c r="M46" s="570"/>
      <c r="N46" s="570"/>
      <c r="O46" s="570"/>
      <c r="P46" s="571"/>
      <c r="R46" s="18">
        <f t="shared" si="0"/>
        <v>0</v>
      </c>
      <c r="S46" s="338"/>
      <c r="T46" s="474"/>
      <c r="U46" s="474"/>
      <c r="V46" s="344"/>
      <c r="W46" s="475"/>
    </row>
    <row r="47" spans="2:23" ht="26.4" x14ac:dyDescent="0.25">
      <c r="B47" s="375"/>
      <c r="C47" s="574"/>
      <c r="D47" s="361" t="s">
        <v>110</v>
      </c>
      <c r="E47" s="87" t="s">
        <v>133</v>
      </c>
      <c r="F47" s="573"/>
      <c r="G47" s="362"/>
      <c r="H47" s="573"/>
      <c r="I47" s="362"/>
      <c r="J47" s="21">
        <v>10</v>
      </c>
      <c r="K47" s="575"/>
      <c r="L47" s="80"/>
      <c r="M47" s="570"/>
      <c r="N47" s="570"/>
      <c r="O47" s="570"/>
      <c r="P47" s="571"/>
      <c r="R47" s="18">
        <f t="shared" si="0"/>
        <v>0</v>
      </c>
      <c r="S47" s="338"/>
      <c r="T47" s="474"/>
      <c r="U47" s="474"/>
      <c r="V47" s="344"/>
      <c r="W47" s="475"/>
    </row>
    <row r="48" spans="2:23" ht="39.6" x14ac:dyDescent="0.25">
      <c r="B48" s="375"/>
      <c r="C48" s="574"/>
      <c r="D48" s="361"/>
      <c r="E48" s="77" t="s">
        <v>111</v>
      </c>
      <c r="F48" s="573"/>
      <c r="G48" s="82" t="e">
        <f>'SQ_Auditoreingaben '!#REF!</f>
        <v>#REF!</v>
      </c>
      <c r="H48" s="573"/>
      <c r="I48" s="69"/>
      <c r="J48" s="18">
        <v>5</v>
      </c>
      <c r="K48" s="575"/>
      <c r="L48" s="80"/>
      <c r="M48" s="570"/>
      <c r="N48" s="570"/>
      <c r="O48" s="570"/>
      <c r="P48" s="571"/>
      <c r="R48" s="18">
        <f t="shared" si="0"/>
        <v>0</v>
      </c>
      <c r="S48" s="338"/>
      <c r="T48" s="474"/>
      <c r="U48" s="474"/>
      <c r="V48" s="344"/>
      <c r="W48" s="475"/>
    </row>
    <row r="49" spans="2:23" ht="52.8" x14ac:dyDescent="0.25">
      <c r="B49" s="375"/>
      <c r="C49" s="574"/>
      <c r="D49" s="361"/>
      <c r="E49" s="77" t="s">
        <v>112</v>
      </c>
      <c r="F49" s="573"/>
      <c r="G49" s="82" t="e">
        <f>'SQ_Auditoreingaben '!#REF!</f>
        <v>#REF!</v>
      </c>
      <c r="H49" s="573"/>
      <c r="I49" s="69"/>
      <c r="J49" s="18">
        <v>5</v>
      </c>
      <c r="K49" s="575"/>
      <c r="L49" s="80"/>
      <c r="M49" s="570"/>
      <c r="N49" s="570"/>
      <c r="O49" s="570"/>
      <c r="P49" s="571"/>
      <c r="R49" s="18">
        <f t="shared" si="0"/>
        <v>0</v>
      </c>
      <c r="S49" s="339"/>
      <c r="T49" s="474"/>
      <c r="U49" s="474"/>
      <c r="V49" s="344"/>
      <c r="W49" s="475"/>
    </row>
    <row r="50" spans="2:23" x14ac:dyDescent="0.25">
      <c r="B50" s="55" t="s">
        <v>113</v>
      </c>
      <c r="C50" s="354" t="s">
        <v>114</v>
      </c>
      <c r="D50" s="354"/>
      <c r="E50" s="354"/>
      <c r="F50" s="78">
        <f>'SQ_Auditoreingaben '!F39</f>
        <v>65</v>
      </c>
      <c r="G50" s="362"/>
      <c r="H50" s="79">
        <f>S50</f>
        <v>0</v>
      </c>
      <c r="I50" s="362"/>
      <c r="J50" s="21">
        <v>110</v>
      </c>
      <c r="K50" s="88">
        <v>5</v>
      </c>
      <c r="L50" s="80"/>
      <c r="M50" s="570"/>
      <c r="N50" s="570"/>
      <c r="O50" s="570"/>
      <c r="P50" s="571"/>
      <c r="R50" s="18">
        <f t="shared" si="0"/>
        <v>0</v>
      </c>
      <c r="S50" s="337">
        <f>SUM(R52:R70)</f>
        <v>0</v>
      </c>
      <c r="T50" s="343">
        <f>S50/100</f>
        <v>0</v>
      </c>
      <c r="U50" s="474"/>
      <c r="V50" s="344"/>
      <c r="W50" s="475"/>
    </row>
    <row r="51" spans="2:23" x14ac:dyDescent="0.25">
      <c r="B51" s="375"/>
      <c r="C51" s="392" t="s">
        <v>54</v>
      </c>
      <c r="D51" s="354" t="s">
        <v>115</v>
      </c>
      <c r="E51" s="354"/>
      <c r="F51" s="576"/>
      <c r="G51" s="362"/>
      <c r="H51" s="576"/>
      <c r="I51" s="362"/>
      <c r="J51" s="21">
        <v>45</v>
      </c>
      <c r="K51" s="364"/>
      <c r="L51" s="80"/>
      <c r="M51" s="570"/>
      <c r="N51" s="570"/>
      <c r="O51" s="570"/>
      <c r="P51" s="571"/>
      <c r="R51" s="18">
        <f t="shared" si="0"/>
        <v>0</v>
      </c>
      <c r="S51" s="338"/>
      <c r="T51" s="344"/>
      <c r="U51" s="474"/>
      <c r="V51" s="344"/>
      <c r="W51" s="475"/>
    </row>
    <row r="52" spans="2:23" ht="52.8" x14ac:dyDescent="0.25">
      <c r="B52" s="375"/>
      <c r="C52" s="392"/>
      <c r="D52" s="71" t="s">
        <v>58</v>
      </c>
      <c r="E52" s="77" t="s">
        <v>132</v>
      </c>
      <c r="F52" s="576"/>
      <c r="G52" s="82">
        <f>'SQ_Auditoreingaben '!G41</f>
        <v>5</v>
      </c>
      <c r="H52" s="576"/>
      <c r="I52" s="69"/>
      <c r="J52" s="18">
        <v>5</v>
      </c>
      <c r="K52" s="364"/>
      <c r="L52" s="80"/>
      <c r="M52" s="570"/>
      <c r="N52" s="570"/>
      <c r="O52" s="570"/>
      <c r="P52" s="571"/>
      <c r="R52" s="18">
        <f t="shared" si="0"/>
        <v>0</v>
      </c>
      <c r="S52" s="338"/>
      <c r="T52" s="344"/>
      <c r="U52" s="474"/>
      <c r="V52" s="344"/>
      <c r="W52" s="475"/>
    </row>
    <row r="53" spans="2:23" x14ac:dyDescent="0.25">
      <c r="B53" s="375"/>
      <c r="C53" s="392"/>
      <c r="D53" s="361" t="s">
        <v>88</v>
      </c>
      <c r="E53" s="87" t="s">
        <v>116</v>
      </c>
      <c r="F53" s="576"/>
      <c r="G53" s="117"/>
      <c r="H53" s="576"/>
      <c r="I53" s="117"/>
      <c r="J53" s="21">
        <v>30</v>
      </c>
      <c r="K53" s="364"/>
      <c r="L53" s="80"/>
      <c r="M53" s="570"/>
      <c r="N53" s="570"/>
      <c r="O53" s="570"/>
      <c r="P53" s="571"/>
      <c r="R53" s="18">
        <f t="shared" si="0"/>
        <v>0</v>
      </c>
      <c r="S53" s="338"/>
      <c r="T53" s="344"/>
      <c r="U53" s="474"/>
      <c r="V53" s="344"/>
      <c r="W53" s="475"/>
    </row>
    <row r="54" spans="2:23" ht="52.8" x14ac:dyDescent="0.25">
      <c r="B54" s="375"/>
      <c r="C54" s="392"/>
      <c r="D54" s="361"/>
      <c r="E54" s="77" t="s">
        <v>117</v>
      </c>
      <c r="F54" s="576"/>
      <c r="G54" s="82">
        <f>'SQ_Auditoreingaben '!G43</f>
        <v>5</v>
      </c>
      <c r="H54" s="576"/>
      <c r="I54" s="69"/>
      <c r="J54" s="18">
        <v>5</v>
      </c>
      <c r="K54" s="364"/>
      <c r="L54" s="80"/>
      <c r="M54" s="570"/>
      <c r="N54" s="570"/>
      <c r="O54" s="570"/>
      <c r="P54" s="571"/>
      <c r="R54" s="18">
        <f t="shared" si="0"/>
        <v>0</v>
      </c>
      <c r="S54" s="338"/>
      <c r="T54" s="344"/>
      <c r="U54" s="474"/>
      <c r="V54" s="344"/>
      <c r="W54" s="475"/>
    </row>
    <row r="55" spans="2:23" ht="39.6" x14ac:dyDescent="0.25">
      <c r="B55" s="375"/>
      <c r="C55" s="392"/>
      <c r="D55" s="361"/>
      <c r="E55" s="77" t="s">
        <v>118</v>
      </c>
      <c r="F55" s="576"/>
      <c r="G55" s="82">
        <f>'SQ_Auditoreingaben '!G44</f>
        <v>5</v>
      </c>
      <c r="H55" s="576"/>
      <c r="I55" s="69"/>
      <c r="J55" s="18">
        <v>5</v>
      </c>
      <c r="K55" s="364"/>
      <c r="L55" s="80"/>
      <c r="M55" s="570"/>
      <c r="N55" s="570"/>
      <c r="O55" s="570"/>
      <c r="P55" s="571"/>
      <c r="R55" s="18">
        <f t="shared" si="0"/>
        <v>0</v>
      </c>
      <c r="S55" s="338"/>
      <c r="T55" s="344"/>
      <c r="U55" s="474"/>
      <c r="V55" s="344"/>
      <c r="W55" s="475"/>
    </row>
    <row r="56" spans="2:23" ht="39.6" x14ac:dyDescent="0.25">
      <c r="B56" s="375"/>
      <c r="C56" s="392"/>
      <c r="D56" s="361"/>
      <c r="E56" s="77" t="s">
        <v>119</v>
      </c>
      <c r="F56" s="576"/>
      <c r="G56" s="82">
        <f>'SQ_Auditoreingaben '!G45</f>
        <v>0</v>
      </c>
      <c r="H56" s="576"/>
      <c r="I56" s="69"/>
      <c r="J56" s="18">
        <v>15</v>
      </c>
      <c r="K56" s="364"/>
      <c r="L56" s="80"/>
      <c r="M56" s="570"/>
      <c r="N56" s="570"/>
      <c r="O56" s="570"/>
      <c r="P56" s="571"/>
      <c r="R56" s="18">
        <f t="shared" si="0"/>
        <v>0</v>
      </c>
      <c r="S56" s="338"/>
      <c r="T56" s="344"/>
      <c r="U56" s="474"/>
      <c r="V56" s="344"/>
      <c r="W56" s="475"/>
    </row>
    <row r="57" spans="2:23" ht="52.8" x14ac:dyDescent="0.25">
      <c r="B57" s="375"/>
      <c r="C57" s="392"/>
      <c r="D57" s="361"/>
      <c r="E57" s="77" t="s">
        <v>120</v>
      </c>
      <c r="F57" s="576"/>
      <c r="G57" s="82">
        <f>'SQ_Auditoreingaben '!G46</f>
        <v>5</v>
      </c>
      <c r="H57" s="576"/>
      <c r="I57" s="69"/>
      <c r="J57" s="18">
        <v>5</v>
      </c>
      <c r="K57" s="364"/>
      <c r="L57" s="80"/>
      <c r="M57" s="570"/>
      <c r="N57" s="570"/>
      <c r="O57" s="570"/>
      <c r="P57" s="571"/>
      <c r="R57" s="18">
        <f t="shared" si="0"/>
        <v>0</v>
      </c>
      <c r="S57" s="338"/>
      <c r="T57" s="344"/>
      <c r="U57" s="474"/>
      <c r="V57" s="344"/>
      <c r="W57" s="475"/>
    </row>
    <row r="58" spans="2:23" ht="105.6" x14ac:dyDescent="0.25">
      <c r="B58" s="375"/>
      <c r="C58" s="392"/>
      <c r="D58" s="361" t="s">
        <v>121</v>
      </c>
      <c r="E58" s="77" t="s">
        <v>655</v>
      </c>
      <c r="F58" s="576"/>
      <c r="G58" s="117"/>
      <c r="H58" s="576"/>
      <c r="I58" s="117"/>
      <c r="J58" s="21">
        <v>10</v>
      </c>
      <c r="K58" s="364"/>
      <c r="L58" s="80"/>
      <c r="M58" s="570"/>
      <c r="N58" s="570"/>
      <c r="O58" s="570"/>
      <c r="P58" s="571"/>
      <c r="R58" s="18">
        <f t="shared" si="0"/>
        <v>0</v>
      </c>
      <c r="S58" s="338"/>
      <c r="T58" s="344"/>
      <c r="U58" s="474"/>
      <c r="V58" s="344"/>
      <c r="W58" s="475"/>
    </row>
    <row r="59" spans="2:23" ht="26.4" x14ac:dyDescent="0.25">
      <c r="B59" s="375"/>
      <c r="C59" s="392"/>
      <c r="D59" s="361"/>
      <c r="E59" s="77" t="s">
        <v>656</v>
      </c>
      <c r="F59" s="576"/>
      <c r="G59" s="82">
        <f>'SQ_Auditoreingaben '!G48</f>
        <v>0</v>
      </c>
      <c r="H59" s="576"/>
      <c r="I59" s="69"/>
      <c r="J59" s="18">
        <v>5</v>
      </c>
      <c r="K59" s="364"/>
      <c r="L59" s="80"/>
      <c r="M59" s="570"/>
      <c r="N59" s="570"/>
      <c r="O59" s="570"/>
      <c r="P59" s="571"/>
      <c r="R59" s="18">
        <f t="shared" si="0"/>
        <v>0</v>
      </c>
      <c r="S59" s="338"/>
      <c r="T59" s="344"/>
      <c r="U59" s="474"/>
      <c r="V59" s="344"/>
      <c r="W59" s="475"/>
    </row>
    <row r="60" spans="2:23" ht="39.6" x14ac:dyDescent="0.25">
      <c r="B60" s="375"/>
      <c r="C60" s="392"/>
      <c r="D60" s="361"/>
      <c r="E60" s="77" t="s">
        <v>657</v>
      </c>
      <c r="F60" s="576"/>
      <c r="G60" s="82">
        <f>'SQ_Auditoreingaben '!G49</f>
        <v>0</v>
      </c>
      <c r="H60" s="576"/>
      <c r="I60" s="69"/>
      <c r="J60" s="18">
        <v>5</v>
      </c>
      <c r="K60" s="364"/>
      <c r="L60" s="80"/>
      <c r="M60" s="570"/>
      <c r="N60" s="570"/>
      <c r="O60" s="570"/>
      <c r="P60" s="571"/>
      <c r="R60" s="18">
        <f t="shared" si="0"/>
        <v>0</v>
      </c>
      <c r="S60" s="338"/>
      <c r="T60" s="344"/>
      <c r="U60" s="474"/>
      <c r="V60" s="344"/>
      <c r="W60" s="475"/>
    </row>
    <row r="61" spans="2:23" x14ac:dyDescent="0.25">
      <c r="B61" s="375"/>
      <c r="C61" s="392" t="s">
        <v>61</v>
      </c>
      <c r="D61" s="354" t="s">
        <v>122</v>
      </c>
      <c r="E61" s="354"/>
      <c r="F61" s="576"/>
      <c r="G61" s="117"/>
      <c r="H61" s="576"/>
      <c r="I61" s="117"/>
      <c r="J61" s="21">
        <v>30</v>
      </c>
      <c r="K61" s="364"/>
      <c r="L61" s="80"/>
      <c r="M61" s="570"/>
      <c r="N61" s="570"/>
      <c r="O61" s="570"/>
      <c r="P61" s="571"/>
      <c r="R61" s="18">
        <f t="shared" si="0"/>
        <v>0</v>
      </c>
      <c r="S61" s="338"/>
      <c r="T61" s="344"/>
      <c r="U61" s="474"/>
      <c r="V61" s="344"/>
      <c r="W61" s="475"/>
    </row>
    <row r="62" spans="2:23" ht="39.6" x14ac:dyDescent="0.25">
      <c r="B62" s="375"/>
      <c r="C62" s="392"/>
      <c r="D62" s="71" t="s">
        <v>63</v>
      </c>
      <c r="E62" s="77" t="s">
        <v>123</v>
      </c>
      <c r="F62" s="576"/>
      <c r="G62" s="82">
        <f>'SQ_Auditoreingaben '!G51</f>
        <v>10</v>
      </c>
      <c r="H62" s="576"/>
      <c r="I62" s="69"/>
      <c r="J62" s="18">
        <v>30</v>
      </c>
      <c r="K62" s="364"/>
      <c r="L62" s="80"/>
      <c r="M62" s="570"/>
      <c r="N62" s="570"/>
      <c r="O62" s="570"/>
      <c r="P62" s="571"/>
      <c r="R62" s="18">
        <f t="shared" si="0"/>
        <v>0</v>
      </c>
      <c r="S62" s="338"/>
      <c r="T62" s="344"/>
      <c r="U62" s="474"/>
      <c r="V62" s="344"/>
      <c r="W62" s="475"/>
    </row>
    <row r="63" spans="2:23" x14ac:dyDescent="0.25">
      <c r="B63" s="375"/>
      <c r="C63" s="392" t="s">
        <v>64</v>
      </c>
      <c r="D63" s="354" t="s">
        <v>124</v>
      </c>
      <c r="E63" s="354"/>
      <c r="F63" s="576"/>
      <c r="G63" s="362"/>
      <c r="H63" s="576"/>
      <c r="I63" s="362"/>
      <c r="J63" s="21">
        <v>20</v>
      </c>
      <c r="K63" s="364"/>
      <c r="L63" s="80"/>
      <c r="M63" s="570"/>
      <c r="N63" s="570"/>
      <c r="O63" s="570"/>
      <c r="P63" s="571"/>
      <c r="R63" s="18">
        <f t="shared" si="0"/>
        <v>0</v>
      </c>
      <c r="S63" s="338"/>
      <c r="T63" s="344"/>
      <c r="U63" s="474"/>
      <c r="V63" s="344"/>
      <c r="W63" s="475"/>
    </row>
    <row r="64" spans="2:23" x14ac:dyDescent="0.25">
      <c r="B64" s="375"/>
      <c r="C64" s="392"/>
      <c r="D64" s="361" t="s">
        <v>66</v>
      </c>
      <c r="E64" s="87" t="s">
        <v>125</v>
      </c>
      <c r="F64" s="576"/>
      <c r="G64" s="362"/>
      <c r="H64" s="576"/>
      <c r="I64" s="362"/>
      <c r="J64" s="21">
        <v>20</v>
      </c>
      <c r="K64" s="364"/>
      <c r="L64" s="80"/>
      <c r="M64" s="570"/>
      <c r="N64" s="570"/>
      <c r="O64" s="570"/>
      <c r="P64" s="571"/>
      <c r="R64" s="18">
        <f t="shared" si="0"/>
        <v>0</v>
      </c>
      <c r="S64" s="338"/>
      <c r="T64" s="344"/>
      <c r="U64" s="474"/>
      <c r="V64" s="344"/>
      <c r="W64" s="475"/>
    </row>
    <row r="65" spans="2:23" ht="26.4" x14ac:dyDescent="0.25">
      <c r="B65" s="375"/>
      <c r="C65" s="392"/>
      <c r="D65" s="361"/>
      <c r="E65" s="77" t="s">
        <v>126</v>
      </c>
      <c r="F65" s="576"/>
      <c r="G65" s="82">
        <f>'SQ_Auditoreingaben '!G54</f>
        <v>20</v>
      </c>
      <c r="H65" s="576"/>
      <c r="I65" s="69"/>
      <c r="J65" s="18">
        <v>10</v>
      </c>
      <c r="K65" s="364"/>
      <c r="L65" s="80"/>
      <c r="M65" s="570"/>
      <c r="N65" s="570"/>
      <c r="O65" s="570"/>
      <c r="P65" s="571"/>
      <c r="R65" s="18">
        <f t="shared" si="0"/>
        <v>0</v>
      </c>
      <c r="S65" s="338"/>
      <c r="T65" s="344"/>
      <c r="U65" s="474"/>
      <c r="V65" s="344"/>
      <c r="W65" s="475"/>
    </row>
    <row r="66" spans="2:23" ht="26.4" x14ac:dyDescent="0.25">
      <c r="B66" s="375"/>
      <c r="C66" s="392"/>
      <c r="D66" s="361"/>
      <c r="E66" s="77" t="s">
        <v>127</v>
      </c>
      <c r="F66" s="576"/>
      <c r="G66" s="82">
        <f>'SQ_Auditoreingaben '!G55</f>
        <v>0</v>
      </c>
      <c r="H66" s="576"/>
      <c r="I66" s="69"/>
      <c r="J66" s="18">
        <v>10</v>
      </c>
      <c r="K66" s="364"/>
      <c r="L66" s="80"/>
      <c r="M66" s="570"/>
      <c r="N66" s="570"/>
      <c r="O66" s="570"/>
      <c r="P66" s="571"/>
      <c r="R66" s="18">
        <f t="shared" si="0"/>
        <v>0</v>
      </c>
      <c r="S66" s="338"/>
      <c r="T66" s="344"/>
      <c r="U66" s="474"/>
      <c r="V66" s="344"/>
      <c r="W66" s="475"/>
    </row>
    <row r="67" spans="2:23" x14ac:dyDescent="0.25">
      <c r="B67" s="375"/>
      <c r="C67" s="392" t="s">
        <v>67</v>
      </c>
      <c r="D67" s="354" t="s">
        <v>128</v>
      </c>
      <c r="E67" s="354"/>
      <c r="F67" s="576"/>
      <c r="G67" s="362"/>
      <c r="H67" s="576"/>
      <c r="I67" s="362"/>
      <c r="J67" s="21">
        <v>15</v>
      </c>
      <c r="K67" s="364"/>
      <c r="L67" s="80"/>
      <c r="M67" s="570"/>
      <c r="N67" s="570"/>
      <c r="O67" s="570"/>
      <c r="P67" s="571"/>
      <c r="R67" s="18">
        <f t="shared" si="0"/>
        <v>0</v>
      </c>
      <c r="S67" s="338"/>
      <c r="T67" s="344"/>
      <c r="U67" s="474"/>
      <c r="V67" s="344"/>
      <c r="W67" s="475"/>
    </row>
    <row r="68" spans="2:23" x14ac:dyDescent="0.25">
      <c r="B68" s="375"/>
      <c r="C68" s="392"/>
      <c r="D68" s="361" t="s">
        <v>98</v>
      </c>
      <c r="E68" s="87" t="s">
        <v>129</v>
      </c>
      <c r="F68" s="576"/>
      <c r="G68" s="362"/>
      <c r="H68" s="576"/>
      <c r="I68" s="362"/>
      <c r="J68" s="21">
        <v>15</v>
      </c>
      <c r="K68" s="364"/>
      <c r="L68" s="80"/>
      <c r="M68" s="570"/>
      <c r="N68" s="570"/>
      <c r="O68" s="570"/>
      <c r="P68" s="571"/>
      <c r="R68" s="18">
        <f t="shared" si="0"/>
        <v>0</v>
      </c>
      <c r="S68" s="338"/>
      <c r="T68" s="344"/>
      <c r="U68" s="474"/>
      <c r="V68" s="344"/>
      <c r="W68" s="475"/>
    </row>
    <row r="69" spans="2:23" ht="79.2" x14ac:dyDescent="0.25">
      <c r="B69" s="375"/>
      <c r="C69" s="392"/>
      <c r="D69" s="361"/>
      <c r="E69" s="77" t="s">
        <v>130</v>
      </c>
      <c r="F69" s="576"/>
      <c r="G69" s="82">
        <f>'SQ_Auditoreingaben '!G58</f>
        <v>15</v>
      </c>
      <c r="H69" s="576"/>
      <c r="I69" s="69"/>
      <c r="J69" s="18">
        <v>10</v>
      </c>
      <c r="K69" s="364"/>
      <c r="L69" s="80"/>
      <c r="M69" s="570"/>
      <c r="N69" s="570"/>
      <c r="O69" s="570"/>
      <c r="P69" s="571"/>
      <c r="R69" s="18">
        <f t="shared" si="0"/>
        <v>0</v>
      </c>
      <c r="S69" s="338"/>
      <c r="T69" s="344"/>
      <c r="U69" s="474"/>
      <c r="V69" s="344"/>
      <c r="W69" s="475"/>
    </row>
    <row r="70" spans="2:23" ht="39.6" x14ac:dyDescent="0.25">
      <c r="B70" s="375"/>
      <c r="C70" s="392"/>
      <c r="D70" s="361"/>
      <c r="E70" s="77" t="s">
        <v>131</v>
      </c>
      <c r="F70" s="576"/>
      <c r="G70" s="82" t="e">
        <f>'SQ_Auditoreingaben '!#REF!</f>
        <v>#REF!</v>
      </c>
      <c r="H70" s="576"/>
      <c r="I70" s="69"/>
      <c r="J70" s="18">
        <v>5</v>
      </c>
      <c r="K70" s="364"/>
      <c r="L70" s="80"/>
      <c r="M70" s="570"/>
      <c r="N70" s="570"/>
      <c r="O70" s="570"/>
      <c r="P70" s="571"/>
      <c r="R70" s="18">
        <f t="shared" si="0"/>
        <v>0</v>
      </c>
      <c r="S70" s="339"/>
      <c r="T70" s="365"/>
      <c r="U70" s="474"/>
      <c r="V70" s="344"/>
      <c r="W70" s="475"/>
    </row>
    <row r="71" spans="2:23" x14ac:dyDescent="0.25">
      <c r="B71" s="55" t="s">
        <v>134</v>
      </c>
      <c r="C71" s="354" t="s">
        <v>135</v>
      </c>
      <c r="D71" s="354"/>
      <c r="E71" s="354"/>
      <c r="F71" s="78">
        <f>'SQ_Auditoreingaben '!F59</f>
        <v>95</v>
      </c>
      <c r="G71" s="356"/>
      <c r="H71" s="79">
        <f>S71</f>
        <v>0</v>
      </c>
      <c r="I71" s="356"/>
      <c r="J71" s="21">
        <v>100</v>
      </c>
      <c r="K71" s="88">
        <v>5</v>
      </c>
      <c r="L71" s="80"/>
      <c r="M71" s="570"/>
      <c r="N71" s="570"/>
      <c r="O71" s="570"/>
      <c r="P71" s="571"/>
      <c r="R71" s="18">
        <f t="shared" si="0"/>
        <v>0</v>
      </c>
      <c r="S71" s="337">
        <f>IF(SUM(R73:R79)&gt;100,100,SUM(R73:R79))</f>
        <v>0</v>
      </c>
      <c r="T71" s="343">
        <f>S71/100</f>
        <v>0</v>
      </c>
      <c r="U71" s="474"/>
      <c r="V71" s="344"/>
      <c r="W71" s="475"/>
    </row>
    <row r="72" spans="2:23" x14ac:dyDescent="0.25">
      <c r="B72" s="375"/>
      <c r="C72" s="392" t="s">
        <v>54</v>
      </c>
      <c r="D72" s="354" t="s">
        <v>136</v>
      </c>
      <c r="E72" s="354"/>
      <c r="F72" s="576"/>
      <c r="G72" s="356"/>
      <c r="H72" s="576"/>
      <c r="I72" s="356"/>
      <c r="J72" s="21">
        <v>45</v>
      </c>
      <c r="K72" s="364"/>
      <c r="L72" s="80"/>
      <c r="M72" s="570"/>
      <c r="N72" s="570"/>
      <c r="O72" s="570"/>
      <c r="P72" s="571"/>
      <c r="R72" s="18">
        <f t="shared" si="0"/>
        <v>0</v>
      </c>
      <c r="S72" s="338"/>
      <c r="T72" s="344"/>
      <c r="U72" s="474"/>
      <c r="V72" s="344"/>
      <c r="W72" s="475"/>
    </row>
    <row r="73" spans="2:23" ht="26.4" x14ac:dyDescent="0.25">
      <c r="B73" s="375"/>
      <c r="C73" s="392"/>
      <c r="D73" s="71" t="s">
        <v>58</v>
      </c>
      <c r="E73" s="77" t="s">
        <v>138</v>
      </c>
      <c r="F73" s="576"/>
      <c r="G73" s="82">
        <f>'SQ_Auditoreingaben '!G61</f>
        <v>40</v>
      </c>
      <c r="H73" s="576"/>
      <c r="I73" s="69"/>
      <c r="J73" s="18">
        <v>45</v>
      </c>
      <c r="K73" s="364"/>
      <c r="L73" s="80"/>
      <c r="M73" s="570"/>
      <c r="N73" s="570"/>
      <c r="O73" s="570"/>
      <c r="P73" s="571"/>
      <c r="R73" s="18">
        <f t="shared" si="0"/>
        <v>0</v>
      </c>
      <c r="S73" s="338"/>
      <c r="T73" s="344"/>
      <c r="U73" s="474"/>
      <c r="V73" s="344"/>
      <c r="W73" s="475"/>
    </row>
    <row r="74" spans="2:23" x14ac:dyDescent="0.25">
      <c r="B74" s="375"/>
      <c r="C74" s="392" t="s">
        <v>61</v>
      </c>
      <c r="D74" s="122" t="s">
        <v>137</v>
      </c>
      <c r="E74" s="89"/>
      <c r="F74" s="576"/>
      <c r="G74" s="113"/>
      <c r="H74" s="576"/>
      <c r="I74" s="113"/>
      <c r="J74" s="21">
        <v>20</v>
      </c>
      <c r="K74" s="364"/>
      <c r="L74" s="80"/>
      <c r="M74" s="570"/>
      <c r="N74" s="570"/>
      <c r="O74" s="570"/>
      <c r="P74" s="571"/>
      <c r="R74" s="18">
        <f t="shared" si="0"/>
        <v>0</v>
      </c>
      <c r="S74" s="338"/>
      <c r="T74" s="344"/>
      <c r="U74" s="474"/>
      <c r="V74" s="344"/>
      <c r="W74" s="475"/>
    </row>
    <row r="75" spans="2:23" ht="26.4" x14ac:dyDescent="0.25">
      <c r="B75" s="375"/>
      <c r="C75" s="392"/>
      <c r="D75" s="71" t="s">
        <v>63</v>
      </c>
      <c r="E75" s="77" t="s">
        <v>139</v>
      </c>
      <c r="F75" s="576"/>
      <c r="G75" s="82">
        <f>'SQ_Auditoreingaben '!G63</f>
        <v>15</v>
      </c>
      <c r="H75" s="576"/>
      <c r="I75" s="69"/>
      <c r="J75" s="18">
        <v>20</v>
      </c>
      <c r="K75" s="364"/>
      <c r="L75" s="80"/>
      <c r="M75" s="570"/>
      <c r="N75" s="570"/>
      <c r="O75" s="570"/>
      <c r="P75" s="571"/>
      <c r="R75" s="18">
        <f t="shared" ref="R75:R142" si="1">IF(I75&gt;J75,J75,I75)</f>
        <v>0</v>
      </c>
      <c r="S75" s="338"/>
      <c r="T75" s="344"/>
      <c r="U75" s="474"/>
      <c r="V75" s="344"/>
      <c r="W75" s="475"/>
    </row>
    <row r="76" spans="2:23" x14ac:dyDescent="0.25">
      <c r="B76" s="375"/>
      <c r="C76" s="392" t="s">
        <v>64</v>
      </c>
      <c r="D76" s="122" t="s">
        <v>140</v>
      </c>
      <c r="E76" s="89"/>
      <c r="F76" s="576"/>
      <c r="G76" s="113"/>
      <c r="H76" s="576"/>
      <c r="I76" s="113"/>
      <c r="J76" s="21">
        <v>10</v>
      </c>
      <c r="K76" s="364"/>
      <c r="L76" s="80"/>
      <c r="M76" s="570"/>
      <c r="N76" s="570"/>
      <c r="O76" s="570"/>
      <c r="P76" s="571"/>
      <c r="R76" s="18">
        <f t="shared" si="1"/>
        <v>0</v>
      </c>
      <c r="S76" s="338"/>
      <c r="T76" s="344"/>
      <c r="U76" s="474"/>
      <c r="V76" s="344"/>
      <c r="W76" s="475"/>
    </row>
    <row r="77" spans="2:23" ht="66" x14ac:dyDescent="0.25">
      <c r="B77" s="375"/>
      <c r="C77" s="392"/>
      <c r="D77" s="71" t="s">
        <v>66</v>
      </c>
      <c r="E77" s="77" t="s">
        <v>235</v>
      </c>
      <c r="F77" s="576"/>
      <c r="G77" s="82">
        <f>'SQ_Auditoreingaben '!G66</f>
        <v>5</v>
      </c>
      <c r="H77" s="576"/>
      <c r="I77" s="69"/>
      <c r="J77" s="18">
        <v>10</v>
      </c>
      <c r="K77" s="364"/>
      <c r="L77" s="80"/>
      <c r="M77" s="570"/>
      <c r="N77" s="570"/>
      <c r="O77" s="570"/>
      <c r="P77" s="571"/>
      <c r="R77" s="18">
        <f t="shared" si="1"/>
        <v>0</v>
      </c>
      <c r="S77" s="338"/>
      <c r="T77" s="344"/>
      <c r="U77" s="474"/>
      <c r="V77" s="344"/>
      <c r="W77" s="475"/>
    </row>
    <row r="78" spans="2:23" x14ac:dyDescent="0.25">
      <c r="B78" s="375"/>
      <c r="C78" s="392" t="s">
        <v>67</v>
      </c>
      <c r="D78" s="122" t="s">
        <v>141</v>
      </c>
      <c r="E78" s="89"/>
      <c r="F78" s="576"/>
      <c r="G78" s="113"/>
      <c r="H78" s="576"/>
      <c r="I78" s="113"/>
      <c r="J78" s="21">
        <v>35</v>
      </c>
      <c r="K78" s="364"/>
      <c r="L78" s="80"/>
      <c r="M78" s="570"/>
      <c r="N78" s="570"/>
      <c r="O78" s="570"/>
      <c r="P78" s="571"/>
      <c r="R78" s="18">
        <f t="shared" si="1"/>
        <v>0</v>
      </c>
      <c r="S78" s="338"/>
      <c r="T78" s="344"/>
      <c r="U78" s="474"/>
      <c r="V78" s="344"/>
      <c r="W78" s="475"/>
    </row>
    <row r="79" spans="2:23" ht="26.4" x14ac:dyDescent="0.25">
      <c r="B79" s="375"/>
      <c r="C79" s="392"/>
      <c r="D79" s="71" t="s">
        <v>69</v>
      </c>
      <c r="E79" s="77" t="s">
        <v>142</v>
      </c>
      <c r="F79" s="576"/>
      <c r="G79" s="82">
        <f>'SQ_Auditoreingaben '!G69</f>
        <v>25</v>
      </c>
      <c r="H79" s="576"/>
      <c r="I79" s="69"/>
      <c r="J79" s="18">
        <v>35</v>
      </c>
      <c r="K79" s="364"/>
      <c r="L79" s="80"/>
      <c r="M79" s="570"/>
      <c r="N79" s="570"/>
      <c r="O79" s="570"/>
      <c r="P79" s="571"/>
      <c r="R79" s="18">
        <f t="shared" si="1"/>
        <v>0</v>
      </c>
      <c r="S79" s="339"/>
      <c r="T79" s="365"/>
      <c r="U79" s="474"/>
      <c r="V79" s="344"/>
      <c r="W79" s="475"/>
    </row>
    <row r="80" spans="2:23" x14ac:dyDescent="0.25">
      <c r="B80" s="55" t="s">
        <v>143</v>
      </c>
      <c r="C80" s="354" t="s">
        <v>144</v>
      </c>
      <c r="D80" s="354"/>
      <c r="E80" s="354"/>
      <c r="F80" s="78">
        <f>'SQ_Auditoreingaben '!F70</f>
        <v>75</v>
      </c>
      <c r="G80" s="364"/>
      <c r="H80" s="79">
        <f>S80</f>
        <v>0</v>
      </c>
      <c r="I80" s="364"/>
      <c r="J80" s="21">
        <v>110</v>
      </c>
      <c r="K80" s="88">
        <v>4</v>
      </c>
      <c r="L80" s="80"/>
      <c r="M80" s="570"/>
      <c r="N80" s="570"/>
      <c r="O80" s="570"/>
      <c r="P80" s="571"/>
      <c r="R80" s="18">
        <f t="shared" si="1"/>
        <v>0</v>
      </c>
      <c r="S80" s="337">
        <f>SUM(R82:R96)</f>
        <v>0</v>
      </c>
      <c r="T80" s="343">
        <f>S80/100</f>
        <v>0</v>
      </c>
      <c r="U80" s="474"/>
      <c r="V80" s="344"/>
      <c r="W80" s="475"/>
    </row>
    <row r="81" spans="2:23" x14ac:dyDescent="0.25">
      <c r="B81" s="375"/>
      <c r="C81" s="351" t="s">
        <v>54</v>
      </c>
      <c r="D81" s="354" t="s">
        <v>145</v>
      </c>
      <c r="E81" s="354"/>
      <c r="F81" s="576"/>
      <c r="G81" s="364"/>
      <c r="H81" s="576"/>
      <c r="I81" s="364"/>
      <c r="J81" s="21">
        <v>10</v>
      </c>
      <c r="K81" s="364"/>
      <c r="L81" s="80"/>
      <c r="M81" s="570"/>
      <c r="N81" s="570"/>
      <c r="O81" s="570"/>
      <c r="P81" s="571"/>
      <c r="R81" s="18">
        <f t="shared" si="1"/>
        <v>0</v>
      </c>
      <c r="S81" s="338"/>
      <c r="T81" s="344"/>
      <c r="U81" s="474"/>
      <c r="V81" s="344"/>
      <c r="W81" s="475"/>
    </row>
    <row r="82" spans="2:23" ht="79.2" x14ac:dyDescent="0.25">
      <c r="B82" s="375"/>
      <c r="C82" s="351"/>
      <c r="D82" s="71" t="s">
        <v>58</v>
      </c>
      <c r="E82" s="77" t="s">
        <v>146</v>
      </c>
      <c r="F82" s="576"/>
      <c r="G82" s="82">
        <f>'SQ_Auditoreingaben '!G72</f>
        <v>10</v>
      </c>
      <c r="H82" s="576"/>
      <c r="I82" s="69"/>
      <c r="J82" s="18">
        <v>10</v>
      </c>
      <c r="K82" s="364"/>
      <c r="L82" s="80"/>
      <c r="M82" s="570"/>
      <c r="N82" s="570"/>
      <c r="O82" s="570"/>
      <c r="P82" s="571"/>
      <c r="R82" s="18">
        <f t="shared" si="1"/>
        <v>0</v>
      </c>
      <c r="S82" s="338"/>
      <c r="T82" s="344"/>
      <c r="U82" s="474"/>
      <c r="V82" s="344"/>
      <c r="W82" s="475"/>
    </row>
    <row r="83" spans="2:23" x14ac:dyDescent="0.25">
      <c r="B83" s="375"/>
      <c r="C83" s="351" t="s">
        <v>61</v>
      </c>
      <c r="D83" s="354" t="s">
        <v>147</v>
      </c>
      <c r="E83" s="354"/>
      <c r="F83" s="576"/>
      <c r="G83" s="113"/>
      <c r="H83" s="576"/>
      <c r="I83" s="113"/>
      <c r="J83" s="21">
        <v>20</v>
      </c>
      <c r="K83" s="364"/>
      <c r="L83" s="80"/>
      <c r="M83" s="570"/>
      <c r="N83" s="570"/>
      <c r="O83" s="570"/>
      <c r="P83" s="571"/>
      <c r="R83" s="18">
        <f t="shared" si="1"/>
        <v>0</v>
      </c>
      <c r="S83" s="338"/>
      <c r="T83" s="344"/>
      <c r="U83" s="474"/>
      <c r="V83" s="344"/>
      <c r="W83" s="475"/>
    </row>
    <row r="84" spans="2:23" ht="26.4" x14ac:dyDescent="0.25">
      <c r="B84" s="375"/>
      <c r="C84" s="351"/>
      <c r="D84" s="71" t="s">
        <v>63</v>
      </c>
      <c r="E84" s="77" t="s">
        <v>148</v>
      </c>
      <c r="F84" s="576"/>
      <c r="G84" s="82">
        <f>'SQ_Auditoreingaben '!G74</f>
        <v>20</v>
      </c>
      <c r="H84" s="576"/>
      <c r="I84" s="69"/>
      <c r="J84" s="18">
        <v>20</v>
      </c>
      <c r="K84" s="364"/>
      <c r="L84" s="80"/>
      <c r="M84" s="570"/>
      <c r="N84" s="570"/>
      <c r="O84" s="570"/>
      <c r="P84" s="571"/>
      <c r="R84" s="18">
        <f t="shared" si="1"/>
        <v>0</v>
      </c>
      <c r="S84" s="338"/>
      <c r="T84" s="344"/>
      <c r="U84" s="474"/>
      <c r="V84" s="344"/>
      <c r="W84" s="475"/>
    </row>
    <row r="85" spans="2:23" x14ac:dyDescent="0.25">
      <c r="B85" s="375"/>
      <c r="C85" s="577" t="s">
        <v>64</v>
      </c>
      <c r="D85" s="354" t="s">
        <v>149</v>
      </c>
      <c r="E85" s="354"/>
      <c r="F85" s="576"/>
      <c r="G85" s="113"/>
      <c r="H85" s="576"/>
      <c r="I85" s="113"/>
      <c r="J85" s="21">
        <v>40</v>
      </c>
      <c r="K85" s="364"/>
      <c r="L85" s="80"/>
      <c r="M85" s="570"/>
      <c r="N85" s="570"/>
      <c r="O85" s="570"/>
      <c r="P85" s="571"/>
      <c r="R85" s="18">
        <f t="shared" si="1"/>
        <v>0</v>
      </c>
      <c r="S85" s="338"/>
      <c r="T85" s="344"/>
      <c r="U85" s="474"/>
      <c r="V85" s="344"/>
      <c r="W85" s="475"/>
    </row>
    <row r="86" spans="2:23" ht="26.4" x14ac:dyDescent="0.25">
      <c r="B86" s="375"/>
      <c r="C86" s="577"/>
      <c r="D86" s="71" t="s">
        <v>66</v>
      </c>
      <c r="E86" s="77" t="s">
        <v>705</v>
      </c>
      <c r="F86" s="576"/>
      <c r="G86" s="82">
        <f>'SQ_Auditoreingaben '!G76</f>
        <v>5</v>
      </c>
      <c r="H86" s="576"/>
      <c r="I86" s="69"/>
      <c r="J86" s="18">
        <v>30</v>
      </c>
      <c r="K86" s="364"/>
      <c r="L86" s="80"/>
      <c r="M86" s="570"/>
      <c r="N86" s="570"/>
      <c r="O86" s="570"/>
      <c r="P86" s="571"/>
      <c r="R86" s="18">
        <f t="shared" si="1"/>
        <v>0</v>
      </c>
      <c r="S86" s="338"/>
      <c r="T86" s="344"/>
      <c r="U86" s="474"/>
      <c r="V86" s="344"/>
      <c r="W86" s="475"/>
    </row>
    <row r="87" spans="2:23" ht="52.8" x14ac:dyDescent="0.25">
      <c r="B87" s="375"/>
      <c r="C87" s="577"/>
      <c r="D87" s="71" t="s">
        <v>150</v>
      </c>
      <c r="E87" s="77" t="s">
        <v>706</v>
      </c>
      <c r="F87" s="576"/>
      <c r="G87" s="82">
        <f>'SQ_Auditoreingaben '!G77</f>
        <v>0</v>
      </c>
      <c r="H87" s="576"/>
      <c r="I87" s="69"/>
      <c r="J87" s="18">
        <v>10</v>
      </c>
      <c r="K87" s="364"/>
      <c r="L87" s="80"/>
      <c r="M87" s="570"/>
      <c r="N87" s="570"/>
      <c r="O87" s="570"/>
      <c r="P87" s="571"/>
      <c r="R87" s="18">
        <f t="shared" si="1"/>
        <v>0</v>
      </c>
      <c r="S87" s="338"/>
      <c r="T87" s="344"/>
      <c r="U87" s="474"/>
      <c r="V87" s="344"/>
      <c r="W87" s="475"/>
    </row>
    <row r="88" spans="2:23" x14ac:dyDescent="0.25">
      <c r="B88" s="375"/>
      <c r="C88" s="351" t="s">
        <v>67</v>
      </c>
      <c r="D88" s="354" t="s">
        <v>151</v>
      </c>
      <c r="E88" s="354"/>
      <c r="F88" s="576"/>
      <c r="G88" s="356"/>
      <c r="H88" s="576"/>
      <c r="I88" s="356"/>
      <c r="J88" s="21">
        <v>20</v>
      </c>
      <c r="K88" s="364"/>
      <c r="L88" s="80"/>
      <c r="M88" s="570"/>
      <c r="N88" s="570"/>
      <c r="O88" s="570"/>
      <c r="P88" s="571"/>
      <c r="R88" s="18">
        <f t="shared" si="1"/>
        <v>0</v>
      </c>
      <c r="S88" s="338"/>
      <c r="T88" s="344"/>
      <c r="U88" s="474"/>
      <c r="V88" s="344"/>
      <c r="W88" s="475"/>
    </row>
    <row r="89" spans="2:23" x14ac:dyDescent="0.25">
      <c r="B89" s="375"/>
      <c r="C89" s="351"/>
      <c r="D89" s="361" t="s">
        <v>69</v>
      </c>
      <c r="E89" s="90" t="s">
        <v>151</v>
      </c>
      <c r="F89" s="576"/>
      <c r="G89" s="356"/>
      <c r="H89" s="576"/>
      <c r="I89" s="356"/>
      <c r="J89" s="21">
        <v>20</v>
      </c>
      <c r="K89" s="364"/>
      <c r="L89" s="80"/>
      <c r="M89" s="570"/>
      <c r="N89" s="570"/>
      <c r="O89" s="570"/>
      <c r="P89" s="571"/>
      <c r="R89" s="18">
        <f t="shared" si="1"/>
        <v>0</v>
      </c>
      <c r="S89" s="338"/>
      <c r="T89" s="344"/>
      <c r="U89" s="474"/>
      <c r="V89" s="344"/>
      <c r="W89" s="475"/>
    </row>
    <row r="90" spans="2:23" ht="52.8" x14ac:dyDescent="0.25">
      <c r="B90" s="375"/>
      <c r="C90" s="351"/>
      <c r="D90" s="361"/>
      <c r="E90" s="77" t="s">
        <v>152</v>
      </c>
      <c r="F90" s="576"/>
      <c r="G90" s="82">
        <f>'SQ_Auditoreingaben '!G80</f>
        <v>10</v>
      </c>
      <c r="H90" s="576"/>
      <c r="I90" s="69"/>
      <c r="J90" s="18">
        <v>10</v>
      </c>
      <c r="K90" s="364"/>
      <c r="L90" s="80"/>
      <c r="M90" s="570"/>
      <c r="N90" s="570"/>
      <c r="O90" s="570"/>
      <c r="P90" s="571"/>
      <c r="R90" s="18">
        <f t="shared" si="1"/>
        <v>0</v>
      </c>
      <c r="S90" s="338"/>
      <c r="T90" s="344"/>
      <c r="U90" s="474"/>
      <c r="V90" s="344"/>
      <c r="W90" s="475"/>
    </row>
    <row r="91" spans="2:23" ht="79.2" x14ac:dyDescent="0.25">
      <c r="B91" s="375"/>
      <c r="C91" s="351"/>
      <c r="D91" s="361"/>
      <c r="E91" s="77" t="s">
        <v>153</v>
      </c>
      <c r="F91" s="576"/>
      <c r="G91" s="82">
        <f>'SQ_Auditoreingaben '!G81</f>
        <v>10</v>
      </c>
      <c r="H91" s="576"/>
      <c r="I91" s="69"/>
      <c r="J91" s="18">
        <v>10</v>
      </c>
      <c r="K91" s="364"/>
      <c r="L91" s="80"/>
      <c r="M91" s="570"/>
      <c r="N91" s="570"/>
      <c r="O91" s="570"/>
      <c r="P91" s="571"/>
      <c r="R91" s="18">
        <f t="shared" si="1"/>
        <v>0</v>
      </c>
      <c r="S91" s="338"/>
      <c r="T91" s="344"/>
      <c r="U91" s="474"/>
      <c r="V91" s="344"/>
      <c r="W91" s="475"/>
    </row>
    <row r="92" spans="2:23" x14ac:dyDescent="0.25">
      <c r="B92" s="375"/>
      <c r="C92" s="351" t="s">
        <v>154</v>
      </c>
      <c r="D92" s="354" t="s">
        <v>155</v>
      </c>
      <c r="E92" s="354"/>
      <c r="F92" s="576"/>
      <c r="G92" s="113"/>
      <c r="H92" s="576"/>
      <c r="I92" s="113"/>
      <c r="J92" s="21">
        <v>10</v>
      </c>
      <c r="K92" s="364"/>
      <c r="L92" s="80"/>
      <c r="M92" s="570"/>
      <c r="N92" s="570"/>
      <c r="O92" s="570"/>
      <c r="P92" s="571"/>
      <c r="R92" s="18">
        <f t="shared" si="1"/>
        <v>0</v>
      </c>
      <c r="S92" s="338"/>
      <c r="T92" s="344"/>
      <c r="U92" s="474"/>
      <c r="V92" s="344"/>
      <c r="W92" s="475"/>
    </row>
    <row r="93" spans="2:23" ht="39.6" x14ac:dyDescent="0.25">
      <c r="B93" s="375"/>
      <c r="C93" s="351"/>
      <c r="D93" s="71" t="s">
        <v>156</v>
      </c>
      <c r="E93" s="77" t="s">
        <v>234</v>
      </c>
      <c r="F93" s="576"/>
      <c r="G93" s="82">
        <f>'SQ_Auditoreingaben '!G83</f>
        <v>10</v>
      </c>
      <c r="H93" s="576"/>
      <c r="I93" s="69"/>
      <c r="J93" s="18">
        <v>10</v>
      </c>
      <c r="K93" s="364"/>
      <c r="L93" s="80"/>
      <c r="M93" s="570"/>
      <c r="N93" s="570"/>
      <c r="O93" s="570"/>
      <c r="P93" s="571"/>
      <c r="R93" s="18">
        <f t="shared" si="1"/>
        <v>0</v>
      </c>
      <c r="S93" s="338"/>
      <c r="T93" s="344"/>
      <c r="U93" s="474"/>
      <c r="V93" s="344"/>
      <c r="W93" s="475"/>
    </row>
    <row r="94" spans="2:23" x14ac:dyDescent="0.25">
      <c r="B94" s="375"/>
      <c r="C94" s="351" t="s">
        <v>157</v>
      </c>
      <c r="D94" s="354" t="s">
        <v>158</v>
      </c>
      <c r="E94" s="354"/>
      <c r="F94" s="576"/>
      <c r="G94" s="113"/>
      <c r="H94" s="576"/>
      <c r="I94" s="113"/>
      <c r="J94" s="21">
        <v>10</v>
      </c>
      <c r="K94" s="364"/>
      <c r="L94" s="80"/>
      <c r="M94" s="570"/>
      <c r="N94" s="570"/>
      <c r="O94" s="570"/>
      <c r="P94" s="571"/>
      <c r="R94" s="18">
        <f t="shared" si="1"/>
        <v>0</v>
      </c>
      <c r="S94" s="338"/>
      <c r="T94" s="344"/>
      <c r="U94" s="474"/>
      <c r="V94" s="344"/>
      <c r="W94" s="475"/>
    </row>
    <row r="95" spans="2:23" ht="66" x14ac:dyDescent="0.25">
      <c r="B95" s="375"/>
      <c r="C95" s="351"/>
      <c r="D95" s="71" t="s">
        <v>159</v>
      </c>
      <c r="E95" s="77" t="s">
        <v>161</v>
      </c>
      <c r="F95" s="576"/>
      <c r="G95" s="82">
        <f>'SQ_Auditoreingaben '!G85</f>
        <v>5</v>
      </c>
      <c r="H95" s="576"/>
      <c r="I95" s="69"/>
      <c r="J95" s="18">
        <v>5</v>
      </c>
      <c r="K95" s="364"/>
      <c r="L95" s="80"/>
      <c r="M95" s="570"/>
      <c r="N95" s="570"/>
      <c r="O95" s="570"/>
      <c r="P95" s="571"/>
      <c r="R95" s="18">
        <f t="shared" si="1"/>
        <v>0</v>
      </c>
      <c r="S95" s="338"/>
      <c r="T95" s="344"/>
      <c r="U95" s="474"/>
      <c r="V95" s="344"/>
      <c r="W95" s="475"/>
    </row>
    <row r="96" spans="2:23" ht="79.2" x14ac:dyDescent="0.25">
      <c r="B96" s="375"/>
      <c r="C96" s="351"/>
      <c r="D96" s="71" t="s">
        <v>160</v>
      </c>
      <c r="E96" s="77" t="s">
        <v>162</v>
      </c>
      <c r="F96" s="576"/>
      <c r="G96" s="82">
        <f>'SQ_Auditoreingaben '!G86</f>
        <v>5</v>
      </c>
      <c r="H96" s="576"/>
      <c r="I96" s="69"/>
      <c r="J96" s="18">
        <v>5</v>
      </c>
      <c r="K96" s="364"/>
      <c r="L96" s="80"/>
      <c r="M96" s="570"/>
      <c r="N96" s="570"/>
      <c r="O96" s="570"/>
      <c r="P96" s="571"/>
      <c r="R96" s="18">
        <f t="shared" si="1"/>
        <v>0</v>
      </c>
      <c r="S96" s="339"/>
      <c r="T96" s="365"/>
      <c r="U96" s="474"/>
      <c r="V96" s="365"/>
      <c r="W96" s="475"/>
    </row>
    <row r="97" spans="2:23" x14ac:dyDescent="0.25">
      <c r="B97" s="55" t="s">
        <v>163</v>
      </c>
      <c r="C97" s="354" t="s">
        <v>164</v>
      </c>
      <c r="D97" s="354"/>
      <c r="E97" s="354"/>
      <c r="F97" s="78">
        <f>'SQ_Auditoreingaben '!F87</f>
        <v>73</v>
      </c>
      <c r="G97" s="356"/>
      <c r="H97" s="79">
        <f>S97</f>
        <v>0</v>
      </c>
      <c r="I97" s="356"/>
      <c r="J97" s="21">
        <v>100</v>
      </c>
      <c r="K97" s="88">
        <v>4</v>
      </c>
      <c r="L97" s="80"/>
      <c r="M97" s="570"/>
      <c r="N97" s="570"/>
      <c r="O97" s="570"/>
      <c r="P97" s="571"/>
      <c r="R97" s="18">
        <f t="shared" si="1"/>
        <v>0</v>
      </c>
      <c r="S97" s="337">
        <f>SUM(R100,R101,IF(R104+R105+R106&gt;10,10,R104+R105+R106),R108,R109)</f>
        <v>0</v>
      </c>
      <c r="T97" s="343">
        <f>S97/100</f>
        <v>0</v>
      </c>
      <c r="U97" s="474">
        <v>0.2</v>
      </c>
      <c r="V97" s="343">
        <f>IF((T97*K97+T110*K110+T140*K140+T145*K145)/(K97+K110+K140+K145)&gt;1,1,(T97*K97+T110*K110+T140*K140+T145*K145)/(K97+K110+K140+K145))</f>
        <v>0</v>
      </c>
      <c r="W97" s="475"/>
    </row>
    <row r="98" spans="2:23" x14ac:dyDescent="0.25">
      <c r="B98" s="375"/>
      <c r="C98" s="351" t="s">
        <v>54</v>
      </c>
      <c r="D98" s="354" t="s">
        <v>165</v>
      </c>
      <c r="E98" s="354"/>
      <c r="F98" s="576"/>
      <c r="G98" s="356"/>
      <c r="H98" s="576"/>
      <c r="I98" s="356"/>
      <c r="J98" s="21">
        <v>10</v>
      </c>
      <c r="K98" s="364"/>
      <c r="L98" s="80"/>
      <c r="M98" s="570"/>
      <c r="N98" s="570"/>
      <c r="O98" s="570"/>
      <c r="P98" s="571"/>
      <c r="R98" s="18">
        <f t="shared" si="1"/>
        <v>0</v>
      </c>
      <c r="S98" s="338"/>
      <c r="T98" s="344"/>
      <c r="U98" s="474"/>
      <c r="V98" s="344"/>
      <c r="W98" s="475"/>
    </row>
    <row r="99" spans="2:23" ht="26.4" x14ac:dyDescent="0.25">
      <c r="B99" s="375"/>
      <c r="C99" s="351"/>
      <c r="D99" s="361" t="s">
        <v>58</v>
      </c>
      <c r="E99" s="87" t="s">
        <v>166</v>
      </c>
      <c r="F99" s="576"/>
      <c r="G99" s="356"/>
      <c r="H99" s="576"/>
      <c r="I99" s="356"/>
      <c r="J99" s="21">
        <v>10</v>
      </c>
      <c r="K99" s="364"/>
      <c r="L99" s="80"/>
      <c r="M99" s="570"/>
      <c r="N99" s="570"/>
      <c r="O99" s="570"/>
      <c r="P99" s="571"/>
      <c r="R99" s="18">
        <f t="shared" si="1"/>
        <v>0</v>
      </c>
      <c r="S99" s="338"/>
      <c r="T99" s="344"/>
      <c r="U99" s="474"/>
      <c r="V99" s="344"/>
      <c r="W99" s="475"/>
    </row>
    <row r="100" spans="2:23" ht="79.2" x14ac:dyDescent="0.25">
      <c r="B100" s="375"/>
      <c r="C100" s="351"/>
      <c r="D100" s="361"/>
      <c r="E100" s="77" t="s">
        <v>167</v>
      </c>
      <c r="F100" s="576"/>
      <c r="G100" s="82">
        <f>'SQ_Auditoreingaben '!G90</f>
        <v>0</v>
      </c>
      <c r="H100" s="576"/>
      <c r="I100" s="69"/>
      <c r="J100" s="18">
        <v>5</v>
      </c>
      <c r="K100" s="364"/>
      <c r="L100" s="80"/>
      <c r="M100" s="570"/>
      <c r="N100" s="570"/>
      <c r="O100" s="570"/>
      <c r="P100" s="571"/>
      <c r="R100" s="18">
        <f t="shared" si="1"/>
        <v>0</v>
      </c>
      <c r="S100" s="338"/>
      <c r="T100" s="344"/>
      <c r="U100" s="474"/>
      <c r="V100" s="344"/>
      <c r="W100" s="475"/>
    </row>
    <row r="101" spans="2:23" ht="92.4" x14ac:dyDescent="0.25">
      <c r="B101" s="375"/>
      <c r="C101" s="351"/>
      <c r="D101" s="361"/>
      <c r="E101" s="77" t="s">
        <v>168</v>
      </c>
      <c r="F101" s="576"/>
      <c r="G101" s="82">
        <f>'SQ_Auditoreingaben '!G91</f>
        <v>0</v>
      </c>
      <c r="H101" s="576"/>
      <c r="I101" s="69"/>
      <c r="J101" s="18">
        <v>5</v>
      </c>
      <c r="K101" s="364"/>
      <c r="L101" s="80"/>
      <c r="M101" s="570"/>
      <c r="N101" s="570"/>
      <c r="O101" s="570"/>
      <c r="P101" s="571"/>
      <c r="R101" s="18">
        <f t="shared" si="1"/>
        <v>0</v>
      </c>
      <c r="S101" s="338"/>
      <c r="T101" s="344"/>
      <c r="U101" s="474"/>
      <c r="V101" s="344"/>
      <c r="W101" s="475"/>
    </row>
    <row r="102" spans="2:23" x14ac:dyDescent="0.25">
      <c r="B102" s="375"/>
      <c r="C102" s="351" t="s">
        <v>61</v>
      </c>
      <c r="D102" s="354" t="s">
        <v>169</v>
      </c>
      <c r="E102" s="354"/>
      <c r="F102" s="576"/>
      <c r="G102" s="356"/>
      <c r="H102" s="576"/>
      <c r="I102" s="356"/>
      <c r="J102" s="21">
        <v>10</v>
      </c>
      <c r="K102" s="364"/>
      <c r="L102" s="80"/>
      <c r="M102" s="570"/>
      <c r="N102" s="570"/>
      <c r="O102" s="570"/>
      <c r="P102" s="571"/>
      <c r="R102" s="18">
        <f t="shared" si="1"/>
        <v>0</v>
      </c>
      <c r="S102" s="338"/>
      <c r="T102" s="344"/>
      <c r="U102" s="474"/>
      <c r="V102" s="344"/>
      <c r="W102" s="475"/>
    </row>
    <row r="103" spans="2:23" x14ac:dyDescent="0.25">
      <c r="B103" s="375"/>
      <c r="C103" s="351"/>
      <c r="D103" s="361" t="s">
        <v>63</v>
      </c>
      <c r="E103" s="90" t="s">
        <v>170</v>
      </c>
      <c r="F103" s="576"/>
      <c r="G103" s="356"/>
      <c r="H103" s="576"/>
      <c r="I103" s="356"/>
      <c r="J103" s="21">
        <v>10</v>
      </c>
      <c r="K103" s="364"/>
      <c r="L103" s="80"/>
      <c r="M103" s="570"/>
      <c r="N103" s="570"/>
      <c r="O103" s="570"/>
      <c r="P103" s="571"/>
      <c r="R103" s="18">
        <f t="shared" si="1"/>
        <v>0</v>
      </c>
      <c r="S103" s="338"/>
      <c r="T103" s="344"/>
      <c r="U103" s="474"/>
      <c r="V103" s="344"/>
      <c r="W103" s="475"/>
    </row>
    <row r="104" spans="2:23" ht="66" x14ac:dyDescent="0.25">
      <c r="B104" s="375"/>
      <c r="C104" s="351"/>
      <c r="D104" s="361"/>
      <c r="E104" s="77" t="s">
        <v>171</v>
      </c>
      <c r="F104" s="576"/>
      <c r="G104" s="82">
        <f>'SQ_Auditoreingaben '!G94</f>
        <v>5</v>
      </c>
      <c r="H104" s="576"/>
      <c r="I104" s="69"/>
      <c r="J104" s="18">
        <v>7</v>
      </c>
      <c r="K104" s="364"/>
      <c r="L104" s="80"/>
      <c r="M104" s="570"/>
      <c r="N104" s="570"/>
      <c r="O104" s="570"/>
      <c r="P104" s="571"/>
      <c r="R104" s="18">
        <f t="shared" si="1"/>
        <v>0</v>
      </c>
      <c r="S104" s="338"/>
      <c r="T104" s="344"/>
      <c r="U104" s="474"/>
      <c r="V104" s="344"/>
      <c r="W104" s="475"/>
    </row>
    <row r="105" spans="2:23" ht="66" x14ac:dyDescent="0.25">
      <c r="B105" s="375"/>
      <c r="C105" s="351"/>
      <c r="D105" s="361"/>
      <c r="E105" s="77" t="s">
        <v>172</v>
      </c>
      <c r="F105" s="576"/>
      <c r="G105" s="82">
        <f>'SQ_Auditoreingaben '!G95</f>
        <v>0</v>
      </c>
      <c r="H105" s="576"/>
      <c r="I105" s="69"/>
      <c r="J105" s="18">
        <v>3</v>
      </c>
      <c r="K105" s="364"/>
      <c r="L105" s="80"/>
      <c r="M105" s="570"/>
      <c r="N105" s="570"/>
      <c r="O105" s="570"/>
      <c r="P105" s="571"/>
      <c r="R105" s="18">
        <f t="shared" si="1"/>
        <v>0</v>
      </c>
      <c r="S105" s="338"/>
      <c r="T105" s="344"/>
      <c r="U105" s="474"/>
      <c r="V105" s="344"/>
      <c r="W105" s="475"/>
    </row>
    <row r="106" spans="2:23" ht="66" x14ac:dyDescent="0.25">
      <c r="B106" s="375"/>
      <c r="C106" s="351"/>
      <c r="D106" s="57" t="s">
        <v>173</v>
      </c>
      <c r="E106" s="77" t="s">
        <v>174</v>
      </c>
      <c r="F106" s="576"/>
      <c r="G106" s="82">
        <f>'SQ_Auditoreingaben '!G96</f>
        <v>0</v>
      </c>
      <c r="H106" s="576"/>
      <c r="I106" s="69"/>
      <c r="J106" s="18">
        <v>10</v>
      </c>
      <c r="K106" s="364"/>
      <c r="L106" s="80"/>
      <c r="M106" s="570"/>
      <c r="N106" s="570"/>
      <c r="O106" s="570"/>
      <c r="P106" s="571"/>
      <c r="R106" s="18">
        <f t="shared" si="1"/>
        <v>0</v>
      </c>
      <c r="S106" s="338"/>
      <c r="T106" s="344"/>
      <c r="U106" s="474"/>
      <c r="V106" s="344"/>
      <c r="W106" s="475"/>
    </row>
    <row r="107" spans="2:23" x14ac:dyDescent="0.25">
      <c r="B107" s="375"/>
      <c r="C107" s="351" t="s">
        <v>67</v>
      </c>
      <c r="D107" s="354" t="s">
        <v>175</v>
      </c>
      <c r="E107" s="354"/>
      <c r="F107" s="576"/>
      <c r="G107" s="113"/>
      <c r="H107" s="576"/>
      <c r="I107" s="113"/>
      <c r="J107" s="21">
        <v>80</v>
      </c>
      <c r="K107" s="364"/>
      <c r="L107" s="80"/>
      <c r="M107" s="570"/>
      <c r="N107" s="570"/>
      <c r="O107" s="570"/>
      <c r="P107" s="571"/>
      <c r="R107" s="18">
        <f t="shared" si="1"/>
        <v>0</v>
      </c>
      <c r="S107" s="338"/>
      <c r="T107" s="344"/>
      <c r="U107" s="474"/>
      <c r="V107" s="344"/>
      <c r="W107" s="475"/>
    </row>
    <row r="108" spans="2:23" ht="26.4" x14ac:dyDescent="0.25">
      <c r="B108" s="375"/>
      <c r="C108" s="351"/>
      <c r="D108" s="71" t="s">
        <v>69</v>
      </c>
      <c r="E108" s="77" t="s">
        <v>176</v>
      </c>
      <c r="F108" s="576"/>
      <c r="G108" s="82">
        <f>'SQ_Auditoreingaben '!G98</f>
        <v>40</v>
      </c>
      <c r="H108" s="576"/>
      <c r="I108" s="69"/>
      <c r="J108" s="18">
        <v>48</v>
      </c>
      <c r="K108" s="364"/>
      <c r="L108" s="80"/>
      <c r="M108" s="570"/>
      <c r="N108" s="570"/>
      <c r="O108" s="570"/>
      <c r="P108" s="571"/>
      <c r="R108" s="18">
        <f t="shared" si="1"/>
        <v>0</v>
      </c>
      <c r="S108" s="338"/>
      <c r="T108" s="344"/>
      <c r="U108" s="474"/>
      <c r="V108" s="344"/>
      <c r="W108" s="475"/>
    </row>
    <row r="109" spans="2:23" ht="26.4" x14ac:dyDescent="0.25">
      <c r="B109" s="375"/>
      <c r="C109" s="351"/>
      <c r="D109" s="71" t="s">
        <v>78</v>
      </c>
      <c r="E109" s="77" t="s">
        <v>177</v>
      </c>
      <c r="F109" s="576"/>
      <c r="G109" s="82">
        <f>'SQ_Auditoreingaben '!G99</f>
        <v>28</v>
      </c>
      <c r="H109" s="576"/>
      <c r="I109" s="69"/>
      <c r="J109" s="18">
        <v>32</v>
      </c>
      <c r="K109" s="364"/>
      <c r="L109" s="80"/>
      <c r="M109" s="570"/>
      <c r="N109" s="570"/>
      <c r="O109" s="570"/>
      <c r="P109" s="571"/>
      <c r="R109" s="18">
        <f t="shared" si="1"/>
        <v>0</v>
      </c>
      <c r="S109" s="339"/>
      <c r="T109" s="365"/>
      <c r="U109" s="474"/>
      <c r="V109" s="344"/>
      <c r="W109" s="475"/>
    </row>
    <row r="110" spans="2:23" x14ac:dyDescent="0.25">
      <c r="B110" s="55" t="s">
        <v>178</v>
      </c>
      <c r="C110" s="354" t="s">
        <v>179</v>
      </c>
      <c r="D110" s="354"/>
      <c r="E110" s="354"/>
      <c r="F110" s="78">
        <f>'SQ_Auditoreingaben '!F100</f>
        <v>101.67750000000001</v>
      </c>
      <c r="G110" s="364"/>
      <c r="H110" s="79">
        <f>S110</f>
        <v>0</v>
      </c>
      <c r="I110" s="364"/>
      <c r="J110" s="21">
        <v>110</v>
      </c>
      <c r="K110" s="88">
        <v>3</v>
      </c>
      <c r="L110" s="80"/>
      <c r="M110" s="570"/>
      <c r="N110" s="570"/>
      <c r="O110" s="570"/>
      <c r="P110" s="571"/>
      <c r="R110" s="18">
        <f t="shared" si="1"/>
        <v>0</v>
      </c>
      <c r="S110" s="337">
        <f>SUM(R113:R139)</f>
        <v>0</v>
      </c>
      <c r="T110" s="343">
        <f>S110/100</f>
        <v>0</v>
      </c>
      <c r="U110" s="474"/>
      <c r="V110" s="344"/>
      <c r="W110" s="475"/>
    </row>
    <row r="111" spans="2:23" x14ac:dyDescent="0.25">
      <c r="B111" s="375"/>
      <c r="C111" s="351" t="s">
        <v>54</v>
      </c>
      <c r="D111" s="354" t="s">
        <v>180</v>
      </c>
      <c r="E111" s="354"/>
      <c r="F111" s="576"/>
      <c r="G111" s="364"/>
      <c r="H111" s="576"/>
      <c r="I111" s="364"/>
      <c r="J111" s="21">
        <v>25</v>
      </c>
      <c r="K111" s="364"/>
      <c r="L111" s="80"/>
      <c r="M111" s="570"/>
      <c r="N111" s="570"/>
      <c r="O111" s="570"/>
      <c r="P111" s="571"/>
      <c r="R111" s="18">
        <f t="shared" si="1"/>
        <v>0</v>
      </c>
      <c r="S111" s="338"/>
      <c r="T111" s="344"/>
      <c r="U111" s="474"/>
      <c r="V111" s="344"/>
      <c r="W111" s="475"/>
    </row>
    <row r="112" spans="2:23" x14ac:dyDescent="0.25">
      <c r="B112" s="375"/>
      <c r="C112" s="351"/>
      <c r="D112" s="361" t="s">
        <v>58</v>
      </c>
      <c r="E112" s="90" t="s">
        <v>180</v>
      </c>
      <c r="F112" s="576"/>
      <c r="G112" s="364"/>
      <c r="H112" s="576"/>
      <c r="I112" s="364"/>
      <c r="J112" s="21">
        <v>19.5</v>
      </c>
      <c r="K112" s="364"/>
      <c r="L112" s="80"/>
      <c r="M112" s="570"/>
      <c r="N112" s="570"/>
      <c r="O112" s="570"/>
      <c r="P112" s="571"/>
      <c r="R112" s="18">
        <f t="shared" si="1"/>
        <v>0</v>
      </c>
      <c r="S112" s="338"/>
      <c r="T112" s="344"/>
      <c r="U112" s="474"/>
      <c r="V112" s="344"/>
      <c r="W112" s="475"/>
    </row>
    <row r="113" spans="2:23" ht="26.4" x14ac:dyDescent="0.25">
      <c r="B113" s="375"/>
      <c r="C113" s="351"/>
      <c r="D113" s="361"/>
      <c r="E113" s="77" t="s">
        <v>182</v>
      </c>
      <c r="F113" s="576"/>
      <c r="G113" s="82">
        <f>'SQ_Auditoreingaben '!G103</f>
        <v>5.3624999999999998</v>
      </c>
      <c r="H113" s="576"/>
      <c r="I113" s="69"/>
      <c r="J113" s="18">
        <v>6.5</v>
      </c>
      <c r="K113" s="364"/>
      <c r="L113" s="80"/>
      <c r="M113" s="570"/>
      <c r="N113" s="570"/>
      <c r="O113" s="570"/>
      <c r="P113" s="571"/>
      <c r="R113" s="18">
        <f t="shared" si="1"/>
        <v>0</v>
      </c>
      <c r="S113" s="338"/>
      <c r="T113" s="344"/>
      <c r="U113" s="474"/>
      <c r="V113" s="344"/>
      <c r="W113" s="475"/>
    </row>
    <row r="114" spans="2:23" ht="26.4" x14ac:dyDescent="0.25">
      <c r="B114" s="375"/>
      <c r="C114" s="351"/>
      <c r="D114" s="361"/>
      <c r="E114" s="77" t="s">
        <v>183</v>
      </c>
      <c r="F114" s="576"/>
      <c r="G114" s="82">
        <f>'SQ_Auditoreingaben '!G104</f>
        <v>4.2250000000000005</v>
      </c>
      <c r="H114" s="576"/>
      <c r="I114" s="69"/>
      <c r="J114" s="18">
        <v>6.5</v>
      </c>
      <c r="K114" s="364"/>
      <c r="L114" s="80"/>
      <c r="M114" s="570"/>
      <c r="N114" s="570"/>
      <c r="O114" s="570"/>
      <c r="P114" s="571"/>
      <c r="R114" s="18">
        <f t="shared" si="1"/>
        <v>0</v>
      </c>
      <c r="S114" s="338"/>
      <c r="T114" s="344"/>
      <c r="U114" s="474"/>
      <c r="V114" s="344"/>
      <c r="W114" s="475"/>
    </row>
    <row r="115" spans="2:23" ht="26.4" x14ac:dyDescent="0.25">
      <c r="B115" s="375"/>
      <c r="C115" s="351"/>
      <c r="D115" s="361"/>
      <c r="E115" s="77" t="s">
        <v>733</v>
      </c>
      <c r="F115" s="576"/>
      <c r="G115" s="82">
        <f>'SQ_Auditoreingaben '!G105</f>
        <v>5.59</v>
      </c>
      <c r="H115" s="576"/>
      <c r="I115" s="69"/>
      <c r="J115" s="18">
        <v>6.5</v>
      </c>
      <c r="K115" s="364"/>
      <c r="L115" s="80"/>
      <c r="M115" s="570"/>
      <c r="N115" s="570"/>
      <c r="O115" s="570"/>
      <c r="P115" s="571"/>
      <c r="R115" s="18">
        <f t="shared" si="1"/>
        <v>0</v>
      </c>
      <c r="S115" s="338"/>
      <c r="T115" s="344"/>
      <c r="U115" s="474"/>
      <c r="V115" s="344"/>
      <c r="W115" s="475"/>
    </row>
    <row r="116" spans="2:23" ht="39.6" x14ac:dyDescent="0.25">
      <c r="B116" s="375"/>
      <c r="C116" s="351"/>
      <c r="D116" s="71" t="s">
        <v>181</v>
      </c>
      <c r="E116" s="77" t="s">
        <v>233</v>
      </c>
      <c r="F116" s="576"/>
      <c r="G116" s="82">
        <f>'SQ_Auditoreingaben '!G106</f>
        <v>5.5</v>
      </c>
      <c r="H116" s="576"/>
      <c r="I116" s="69"/>
      <c r="J116" s="18">
        <v>5.5</v>
      </c>
      <c r="K116" s="364"/>
      <c r="L116" s="80"/>
      <c r="M116" s="570"/>
      <c r="N116" s="570"/>
      <c r="O116" s="570"/>
      <c r="P116" s="571"/>
      <c r="R116" s="18">
        <f t="shared" si="1"/>
        <v>0</v>
      </c>
      <c r="S116" s="338"/>
      <c r="T116" s="344"/>
      <c r="U116" s="474"/>
      <c r="V116" s="344"/>
      <c r="W116" s="475"/>
    </row>
    <row r="117" spans="2:23" x14ac:dyDescent="0.25">
      <c r="B117" s="375"/>
      <c r="C117" s="351" t="s">
        <v>61</v>
      </c>
      <c r="D117" s="354" t="s">
        <v>185</v>
      </c>
      <c r="E117" s="354"/>
      <c r="F117" s="576"/>
      <c r="G117" s="113"/>
      <c r="H117" s="576"/>
      <c r="I117" s="113"/>
      <c r="J117" s="21">
        <v>10</v>
      </c>
      <c r="K117" s="364"/>
      <c r="L117" s="80"/>
      <c r="M117" s="570"/>
      <c r="N117" s="570"/>
      <c r="O117" s="570"/>
      <c r="P117" s="571"/>
      <c r="R117" s="18">
        <f t="shared" si="1"/>
        <v>0</v>
      </c>
      <c r="S117" s="338"/>
      <c r="T117" s="344"/>
      <c r="U117" s="474"/>
      <c r="V117" s="344"/>
      <c r="W117" s="475"/>
    </row>
    <row r="118" spans="2:23" ht="52.8" x14ac:dyDescent="0.25">
      <c r="B118" s="375"/>
      <c r="C118" s="351"/>
      <c r="D118" s="71" t="s">
        <v>63</v>
      </c>
      <c r="E118" s="77" t="s">
        <v>232</v>
      </c>
      <c r="F118" s="576"/>
      <c r="G118" s="82">
        <f>'SQ_Auditoreingaben '!G108</f>
        <v>5</v>
      </c>
      <c r="H118" s="576"/>
      <c r="I118" s="69"/>
      <c r="J118" s="18">
        <v>5</v>
      </c>
      <c r="K118" s="364"/>
      <c r="L118" s="80"/>
      <c r="M118" s="570"/>
      <c r="N118" s="570"/>
      <c r="O118" s="570"/>
      <c r="P118" s="571"/>
      <c r="R118" s="18">
        <f t="shared" si="1"/>
        <v>0</v>
      </c>
      <c r="S118" s="338"/>
      <c r="T118" s="344"/>
      <c r="U118" s="474"/>
      <c r="V118" s="344"/>
      <c r="W118" s="475"/>
    </row>
    <row r="119" spans="2:23" ht="52.8" x14ac:dyDescent="0.25">
      <c r="B119" s="375"/>
      <c r="C119" s="351"/>
      <c r="D119" s="71" t="s">
        <v>186</v>
      </c>
      <c r="E119" s="77" t="s">
        <v>231</v>
      </c>
      <c r="F119" s="576"/>
      <c r="G119" s="82">
        <f>'SQ_Auditoreingaben '!G109</f>
        <v>5</v>
      </c>
      <c r="H119" s="576"/>
      <c r="I119" s="69"/>
      <c r="J119" s="18">
        <v>5</v>
      </c>
      <c r="K119" s="364"/>
      <c r="L119" s="80"/>
      <c r="M119" s="570"/>
      <c r="N119" s="570"/>
      <c r="O119" s="570"/>
      <c r="P119" s="571"/>
      <c r="R119" s="18">
        <f t="shared" si="1"/>
        <v>0</v>
      </c>
      <c r="S119" s="338"/>
      <c r="T119" s="344"/>
      <c r="U119" s="474"/>
      <c r="V119" s="344"/>
      <c r="W119" s="475"/>
    </row>
    <row r="120" spans="2:23" x14ac:dyDescent="0.25">
      <c r="B120" s="375"/>
      <c r="C120" s="351" t="s">
        <v>64</v>
      </c>
      <c r="D120" s="354" t="s">
        <v>187</v>
      </c>
      <c r="E120" s="354"/>
      <c r="F120" s="576"/>
      <c r="G120" s="113"/>
      <c r="H120" s="576"/>
      <c r="I120" s="113"/>
      <c r="J120" s="21">
        <v>57</v>
      </c>
      <c r="K120" s="364"/>
      <c r="L120" s="80"/>
      <c r="M120" s="570"/>
      <c r="N120" s="570"/>
      <c r="O120" s="570"/>
      <c r="P120" s="571"/>
      <c r="R120" s="18">
        <f t="shared" si="1"/>
        <v>0</v>
      </c>
      <c r="S120" s="338"/>
      <c r="T120" s="344"/>
      <c r="U120" s="474"/>
      <c r="V120" s="344"/>
      <c r="W120" s="475"/>
    </row>
    <row r="121" spans="2:23" ht="26.4" x14ac:dyDescent="0.25">
      <c r="B121" s="375"/>
      <c r="C121" s="351"/>
      <c r="D121" s="71" t="s">
        <v>66</v>
      </c>
      <c r="E121" s="77" t="s">
        <v>230</v>
      </c>
      <c r="F121" s="576"/>
      <c r="G121" s="82">
        <f>'SQ_Auditoreingaben '!G111</f>
        <v>10</v>
      </c>
      <c r="H121" s="576"/>
      <c r="I121" s="69"/>
      <c r="J121" s="18">
        <v>10</v>
      </c>
      <c r="K121" s="364"/>
      <c r="L121" s="80"/>
      <c r="M121" s="570"/>
      <c r="N121" s="570"/>
      <c r="O121" s="570"/>
      <c r="P121" s="571"/>
      <c r="R121" s="18">
        <f t="shared" si="1"/>
        <v>0</v>
      </c>
      <c r="S121" s="338"/>
      <c r="T121" s="344"/>
      <c r="U121" s="474"/>
      <c r="V121" s="344"/>
      <c r="W121" s="475"/>
    </row>
    <row r="122" spans="2:23" ht="105.6" x14ac:dyDescent="0.25">
      <c r="B122" s="375"/>
      <c r="C122" s="351"/>
      <c r="D122" s="71" t="s">
        <v>188</v>
      </c>
      <c r="E122" s="77" t="s">
        <v>229</v>
      </c>
      <c r="F122" s="576"/>
      <c r="G122" s="82">
        <f>'SQ_Auditoreingaben '!G112</f>
        <v>5</v>
      </c>
      <c r="H122" s="576"/>
      <c r="I122" s="69"/>
      <c r="J122" s="18">
        <v>5</v>
      </c>
      <c r="K122" s="364"/>
      <c r="L122" s="80"/>
      <c r="M122" s="570"/>
      <c r="N122" s="570"/>
      <c r="O122" s="570"/>
      <c r="P122" s="571"/>
      <c r="R122" s="18">
        <f t="shared" si="1"/>
        <v>0</v>
      </c>
      <c r="S122" s="338"/>
      <c r="T122" s="344"/>
      <c r="U122" s="474"/>
      <c r="V122" s="344"/>
      <c r="W122" s="475"/>
    </row>
    <row r="123" spans="2:23" ht="52.8" x14ac:dyDescent="0.25">
      <c r="B123" s="375"/>
      <c r="C123" s="351"/>
      <c r="D123" s="71" t="s">
        <v>150</v>
      </c>
      <c r="E123" s="77" t="s">
        <v>228</v>
      </c>
      <c r="F123" s="576"/>
      <c r="G123" s="82">
        <f>'SQ_Auditoreingaben '!G113</f>
        <v>15</v>
      </c>
      <c r="H123" s="576"/>
      <c r="I123" s="69"/>
      <c r="J123" s="18">
        <v>10</v>
      </c>
      <c r="K123" s="364"/>
      <c r="L123" s="80"/>
      <c r="M123" s="570"/>
      <c r="N123" s="570"/>
      <c r="O123" s="570"/>
      <c r="P123" s="571"/>
      <c r="R123" s="18">
        <f t="shared" si="1"/>
        <v>0</v>
      </c>
      <c r="S123" s="338"/>
      <c r="T123" s="344"/>
      <c r="U123" s="474"/>
      <c r="V123" s="344"/>
      <c r="W123" s="475"/>
    </row>
    <row r="124" spans="2:23" x14ac:dyDescent="0.25">
      <c r="B124" s="375"/>
      <c r="C124" s="351"/>
      <c r="D124" s="361" t="s">
        <v>377</v>
      </c>
      <c r="E124" s="87" t="s">
        <v>707</v>
      </c>
      <c r="F124" s="576"/>
      <c r="G124" s="113"/>
      <c r="H124" s="576"/>
      <c r="I124" s="113"/>
      <c r="J124" s="21">
        <v>10</v>
      </c>
      <c r="K124" s="364"/>
      <c r="L124" s="80"/>
      <c r="M124" s="570"/>
      <c r="N124" s="570"/>
      <c r="O124" s="570"/>
      <c r="P124" s="571"/>
      <c r="R124" s="18">
        <f t="shared" si="1"/>
        <v>0</v>
      </c>
      <c r="S124" s="338"/>
      <c r="T124" s="344"/>
      <c r="U124" s="474"/>
      <c r="V124" s="344"/>
      <c r="W124" s="475"/>
    </row>
    <row r="125" spans="2:23" ht="39.6" x14ac:dyDescent="0.25">
      <c r="B125" s="375"/>
      <c r="C125" s="351"/>
      <c r="D125" s="361"/>
      <c r="E125" s="77" t="s">
        <v>708</v>
      </c>
      <c r="F125" s="576"/>
      <c r="G125" s="82">
        <f>'SQ_Auditoreingaben '!G115</f>
        <v>2</v>
      </c>
      <c r="H125" s="576"/>
      <c r="I125" s="69"/>
      <c r="J125" s="18">
        <v>2</v>
      </c>
      <c r="K125" s="364"/>
      <c r="L125" s="80"/>
      <c r="M125" s="570"/>
      <c r="N125" s="570"/>
      <c r="O125" s="570"/>
      <c r="P125" s="571"/>
      <c r="R125" s="18">
        <f t="shared" si="1"/>
        <v>0</v>
      </c>
      <c r="S125" s="338"/>
      <c r="T125" s="344"/>
      <c r="U125" s="474"/>
      <c r="V125" s="344"/>
      <c r="W125" s="475"/>
    </row>
    <row r="126" spans="2:23" ht="39.6" x14ac:dyDescent="0.25">
      <c r="B126" s="375"/>
      <c r="C126" s="351"/>
      <c r="D126" s="361"/>
      <c r="E126" s="77" t="s">
        <v>709</v>
      </c>
      <c r="F126" s="576"/>
      <c r="G126" s="82">
        <f>'SQ_Auditoreingaben '!G116</f>
        <v>4</v>
      </c>
      <c r="H126" s="576"/>
      <c r="I126" s="69"/>
      <c r="J126" s="18">
        <v>4</v>
      </c>
      <c r="K126" s="364"/>
      <c r="L126" s="80"/>
      <c r="M126" s="570"/>
      <c r="N126" s="570"/>
      <c r="O126" s="570"/>
      <c r="P126" s="571"/>
      <c r="R126" s="18">
        <f t="shared" si="1"/>
        <v>0</v>
      </c>
      <c r="S126" s="338"/>
      <c r="T126" s="344"/>
      <c r="U126" s="474"/>
      <c r="V126" s="344"/>
      <c r="W126" s="475"/>
    </row>
    <row r="127" spans="2:23" ht="52.8" x14ac:dyDescent="0.25">
      <c r="B127" s="375"/>
      <c r="C127" s="351"/>
      <c r="D127" s="361"/>
      <c r="E127" s="77" t="s">
        <v>710</v>
      </c>
      <c r="F127" s="576"/>
      <c r="G127" s="82">
        <f>'SQ_Auditoreingaben '!G117</f>
        <v>0</v>
      </c>
      <c r="H127" s="576"/>
      <c r="I127" s="69"/>
      <c r="J127" s="18">
        <v>4</v>
      </c>
      <c r="K127" s="364"/>
      <c r="L127" s="80"/>
      <c r="M127" s="570"/>
      <c r="N127" s="570"/>
      <c r="O127" s="570"/>
      <c r="P127" s="571"/>
      <c r="R127" s="18">
        <f t="shared" si="1"/>
        <v>0</v>
      </c>
      <c r="S127" s="338"/>
      <c r="T127" s="344"/>
      <c r="U127" s="474"/>
      <c r="V127" s="344"/>
      <c r="W127" s="475"/>
    </row>
    <row r="128" spans="2:23" ht="118.8" x14ac:dyDescent="0.25">
      <c r="B128" s="375"/>
      <c r="C128" s="351"/>
      <c r="D128" s="71" t="s">
        <v>189</v>
      </c>
      <c r="E128" s="77" t="s">
        <v>227</v>
      </c>
      <c r="F128" s="576"/>
      <c r="G128" s="82">
        <f>'SQ_Auditoreingaben '!G118</f>
        <v>12</v>
      </c>
      <c r="H128" s="576"/>
      <c r="I128" s="69"/>
      <c r="J128" s="18">
        <v>12</v>
      </c>
      <c r="K128" s="364"/>
      <c r="L128" s="80"/>
      <c r="M128" s="570"/>
      <c r="N128" s="570"/>
      <c r="O128" s="570"/>
      <c r="P128" s="571"/>
      <c r="R128" s="18">
        <f t="shared" si="1"/>
        <v>0</v>
      </c>
      <c r="S128" s="338"/>
      <c r="T128" s="344"/>
      <c r="U128" s="474"/>
      <c r="V128" s="344"/>
      <c r="W128" s="475"/>
    </row>
    <row r="129" spans="2:23" x14ac:dyDescent="0.25">
      <c r="B129" s="375"/>
      <c r="C129" s="351"/>
      <c r="D129" s="361" t="s">
        <v>190</v>
      </c>
      <c r="E129" s="87" t="s">
        <v>191</v>
      </c>
      <c r="F129" s="576"/>
      <c r="G129" s="113"/>
      <c r="H129" s="576"/>
      <c r="I129" s="113"/>
      <c r="J129" s="21">
        <v>10</v>
      </c>
      <c r="K129" s="364"/>
      <c r="L129" s="80"/>
      <c r="M129" s="570"/>
      <c r="N129" s="570"/>
      <c r="O129" s="570"/>
      <c r="P129" s="571"/>
      <c r="R129" s="18">
        <f t="shared" si="1"/>
        <v>0</v>
      </c>
      <c r="S129" s="338"/>
      <c r="T129" s="344"/>
      <c r="U129" s="474"/>
      <c r="V129" s="344"/>
      <c r="W129" s="475"/>
    </row>
    <row r="130" spans="2:23" ht="26.4" x14ac:dyDescent="0.25">
      <c r="B130" s="375"/>
      <c r="C130" s="351"/>
      <c r="D130" s="361"/>
      <c r="E130" s="77" t="s">
        <v>192</v>
      </c>
      <c r="F130" s="576"/>
      <c r="G130" s="82">
        <f>'SQ_Auditoreingaben '!G120</f>
        <v>5</v>
      </c>
      <c r="H130" s="576"/>
      <c r="I130" s="69"/>
      <c r="J130" s="18">
        <v>4</v>
      </c>
      <c r="K130" s="364"/>
      <c r="L130" s="80"/>
      <c r="M130" s="570"/>
      <c r="N130" s="570"/>
      <c r="O130" s="570"/>
      <c r="P130" s="571"/>
      <c r="R130" s="18">
        <f t="shared" si="1"/>
        <v>0</v>
      </c>
      <c r="S130" s="338"/>
      <c r="T130" s="344"/>
      <c r="U130" s="474"/>
      <c r="V130" s="344"/>
      <c r="W130" s="475"/>
    </row>
    <row r="131" spans="2:23" ht="26.4" x14ac:dyDescent="0.25">
      <c r="B131" s="375"/>
      <c r="C131" s="351"/>
      <c r="D131" s="361"/>
      <c r="E131" s="77" t="s">
        <v>193</v>
      </c>
      <c r="F131" s="576"/>
      <c r="G131" s="82" t="e">
        <f>'SQ_Auditoreingaben '!#REF!</f>
        <v>#REF!</v>
      </c>
      <c r="H131" s="576"/>
      <c r="I131" s="69"/>
      <c r="J131" s="18">
        <v>2</v>
      </c>
      <c r="K131" s="364"/>
      <c r="L131" s="80"/>
      <c r="M131" s="570"/>
      <c r="N131" s="570"/>
      <c r="O131" s="570"/>
      <c r="P131" s="571"/>
      <c r="R131" s="18">
        <f t="shared" si="1"/>
        <v>0</v>
      </c>
      <c r="S131" s="338"/>
      <c r="T131" s="344"/>
      <c r="U131" s="474"/>
      <c r="V131" s="344"/>
      <c r="W131" s="475"/>
    </row>
    <row r="132" spans="2:23" ht="39.6" x14ac:dyDescent="0.25">
      <c r="B132" s="375"/>
      <c r="C132" s="351"/>
      <c r="D132" s="361"/>
      <c r="E132" s="77" t="s">
        <v>194</v>
      </c>
      <c r="F132" s="576"/>
      <c r="G132" s="82" t="e">
        <f>'SQ_Auditoreingaben '!#REF!</f>
        <v>#REF!</v>
      </c>
      <c r="H132" s="576"/>
      <c r="I132" s="69"/>
      <c r="J132" s="18">
        <v>2</v>
      </c>
      <c r="K132" s="364"/>
      <c r="L132" s="80"/>
      <c r="M132" s="570"/>
      <c r="N132" s="570"/>
      <c r="O132" s="570"/>
      <c r="P132" s="571"/>
      <c r="R132" s="18">
        <f t="shared" si="1"/>
        <v>0</v>
      </c>
      <c r="S132" s="338"/>
      <c r="T132" s="344"/>
      <c r="U132" s="474"/>
      <c r="V132" s="344"/>
      <c r="W132" s="475"/>
    </row>
    <row r="133" spans="2:23" ht="26.4" x14ac:dyDescent="0.25">
      <c r="B133" s="375"/>
      <c r="C133" s="351"/>
      <c r="D133" s="361"/>
      <c r="E133" s="77" t="s">
        <v>195</v>
      </c>
      <c r="F133" s="576"/>
      <c r="G133" s="82" t="e">
        <f>'SQ_Auditoreingaben '!#REF!</f>
        <v>#REF!</v>
      </c>
      <c r="H133" s="576"/>
      <c r="I133" s="69"/>
      <c r="J133" s="18">
        <v>2</v>
      </c>
      <c r="K133" s="364"/>
      <c r="L133" s="80"/>
      <c r="M133" s="570"/>
      <c r="N133" s="570"/>
      <c r="O133" s="570"/>
      <c r="P133" s="571"/>
      <c r="R133" s="18">
        <f t="shared" si="1"/>
        <v>0</v>
      </c>
      <c r="S133" s="338"/>
      <c r="T133" s="344"/>
      <c r="U133" s="474"/>
      <c r="V133" s="344"/>
      <c r="W133" s="475"/>
    </row>
    <row r="134" spans="2:23" x14ac:dyDescent="0.25">
      <c r="B134" s="375"/>
      <c r="C134" s="351" t="s">
        <v>67</v>
      </c>
      <c r="D134" s="354" t="s">
        <v>196</v>
      </c>
      <c r="E134" s="354"/>
      <c r="F134" s="576"/>
      <c r="G134" s="356"/>
      <c r="H134" s="576"/>
      <c r="I134" s="356"/>
      <c r="J134" s="21">
        <v>18</v>
      </c>
      <c r="K134" s="364"/>
      <c r="L134" s="80"/>
      <c r="M134" s="570"/>
      <c r="N134" s="570"/>
      <c r="O134" s="570"/>
      <c r="P134" s="571"/>
      <c r="R134" s="18">
        <f t="shared" si="1"/>
        <v>0</v>
      </c>
      <c r="S134" s="338"/>
      <c r="T134" s="344"/>
      <c r="U134" s="474"/>
      <c r="V134" s="344"/>
      <c r="W134" s="475"/>
    </row>
    <row r="135" spans="2:23" x14ac:dyDescent="0.25">
      <c r="B135" s="375"/>
      <c r="C135" s="351"/>
      <c r="D135" s="361" t="s">
        <v>69</v>
      </c>
      <c r="E135" s="87" t="s">
        <v>197</v>
      </c>
      <c r="F135" s="576"/>
      <c r="G135" s="356"/>
      <c r="H135" s="576"/>
      <c r="I135" s="356"/>
      <c r="J135" s="21">
        <v>8</v>
      </c>
      <c r="K135" s="364"/>
      <c r="L135" s="80"/>
      <c r="M135" s="570"/>
      <c r="N135" s="570"/>
      <c r="O135" s="570"/>
      <c r="P135" s="571"/>
      <c r="R135" s="18">
        <f t="shared" si="1"/>
        <v>0</v>
      </c>
      <c r="S135" s="338"/>
      <c r="T135" s="344"/>
      <c r="U135" s="474"/>
      <c r="V135" s="344"/>
      <c r="W135" s="475"/>
    </row>
    <row r="136" spans="2:23" ht="79.2" x14ac:dyDescent="0.25">
      <c r="B136" s="375"/>
      <c r="C136" s="351"/>
      <c r="D136" s="361"/>
      <c r="E136" s="77" t="s">
        <v>198</v>
      </c>
      <c r="F136" s="576"/>
      <c r="G136" s="82">
        <f>'SQ_Auditoreingaben '!G123</f>
        <v>4</v>
      </c>
      <c r="H136" s="576"/>
      <c r="I136" s="69"/>
      <c r="J136" s="18">
        <v>4</v>
      </c>
      <c r="K136" s="364"/>
      <c r="L136" s="80"/>
      <c r="M136" s="570"/>
      <c r="N136" s="570"/>
      <c r="O136" s="570"/>
      <c r="P136" s="571"/>
      <c r="R136" s="18">
        <f t="shared" si="1"/>
        <v>0</v>
      </c>
      <c r="S136" s="338"/>
      <c r="T136" s="344"/>
      <c r="U136" s="474"/>
      <c r="V136" s="344"/>
      <c r="W136" s="475"/>
    </row>
    <row r="137" spans="2:23" ht="52.8" x14ac:dyDescent="0.25">
      <c r="B137" s="375"/>
      <c r="C137" s="351"/>
      <c r="D137" s="361"/>
      <c r="E137" s="77" t="s">
        <v>199</v>
      </c>
      <c r="F137" s="576"/>
      <c r="G137" s="82">
        <f>'SQ_Auditoreingaben '!G124</f>
        <v>2</v>
      </c>
      <c r="H137" s="576"/>
      <c r="I137" s="69"/>
      <c r="J137" s="18">
        <v>2</v>
      </c>
      <c r="K137" s="364"/>
      <c r="L137" s="80"/>
      <c r="M137" s="570"/>
      <c r="N137" s="570"/>
      <c r="O137" s="570"/>
      <c r="P137" s="571"/>
      <c r="R137" s="18">
        <f t="shared" si="1"/>
        <v>0</v>
      </c>
      <c r="S137" s="338"/>
      <c r="T137" s="344"/>
      <c r="U137" s="474"/>
      <c r="V137" s="344"/>
      <c r="W137" s="475"/>
    </row>
    <row r="138" spans="2:23" ht="39.6" x14ac:dyDescent="0.25">
      <c r="B138" s="375"/>
      <c r="C138" s="351"/>
      <c r="D138" s="361"/>
      <c r="E138" s="77" t="s">
        <v>200</v>
      </c>
      <c r="F138" s="576"/>
      <c r="G138" s="82">
        <f>'SQ_Auditoreingaben '!G125</f>
        <v>2</v>
      </c>
      <c r="H138" s="576"/>
      <c r="I138" s="69"/>
      <c r="J138" s="18">
        <v>2</v>
      </c>
      <c r="K138" s="364"/>
      <c r="L138" s="80"/>
      <c r="M138" s="570"/>
      <c r="N138" s="570"/>
      <c r="O138" s="570"/>
      <c r="P138" s="571"/>
      <c r="R138" s="18">
        <f t="shared" si="1"/>
        <v>0</v>
      </c>
      <c r="S138" s="338"/>
      <c r="T138" s="344"/>
      <c r="U138" s="474"/>
      <c r="V138" s="344"/>
      <c r="W138" s="475"/>
    </row>
    <row r="139" spans="2:23" ht="92.4" x14ac:dyDescent="0.25">
      <c r="B139" s="375"/>
      <c r="C139" s="351"/>
      <c r="D139" s="71" t="s">
        <v>78</v>
      </c>
      <c r="E139" s="77" t="s">
        <v>658</v>
      </c>
      <c r="F139" s="576"/>
      <c r="G139" s="82">
        <f>'SQ_Auditoreingaben '!G126</f>
        <v>10</v>
      </c>
      <c r="H139" s="576"/>
      <c r="I139" s="69"/>
      <c r="J139" s="18">
        <v>10</v>
      </c>
      <c r="K139" s="364"/>
      <c r="L139" s="80"/>
      <c r="M139" s="570"/>
      <c r="N139" s="570"/>
      <c r="O139" s="570"/>
      <c r="P139" s="571"/>
      <c r="R139" s="18">
        <f t="shared" si="1"/>
        <v>0</v>
      </c>
      <c r="S139" s="339"/>
      <c r="T139" s="365"/>
      <c r="U139" s="474"/>
      <c r="V139" s="344"/>
      <c r="W139" s="475"/>
    </row>
    <row r="140" spans="2:23" x14ac:dyDescent="0.25">
      <c r="B140" s="55" t="s">
        <v>201</v>
      </c>
      <c r="C140" s="354" t="s">
        <v>202</v>
      </c>
      <c r="D140" s="354"/>
      <c r="E140" s="354"/>
      <c r="F140" s="78">
        <f>'SQ_Auditoreingaben '!F127</f>
        <v>80</v>
      </c>
      <c r="G140" s="364"/>
      <c r="H140" s="79">
        <f>S140</f>
        <v>0</v>
      </c>
      <c r="I140" s="364"/>
      <c r="J140" s="21">
        <v>100</v>
      </c>
      <c r="K140" s="88">
        <v>3</v>
      </c>
      <c r="L140" s="80"/>
      <c r="M140" s="570"/>
      <c r="N140" s="570"/>
      <c r="O140" s="570"/>
      <c r="P140" s="571"/>
      <c r="R140" s="18">
        <f t="shared" si="1"/>
        <v>0</v>
      </c>
      <c r="S140" s="337">
        <f>R142+R144</f>
        <v>0</v>
      </c>
      <c r="T140" s="343">
        <f>S140/100</f>
        <v>0</v>
      </c>
      <c r="U140" s="474"/>
      <c r="V140" s="344"/>
      <c r="W140" s="475"/>
    </row>
    <row r="141" spans="2:23" x14ac:dyDescent="0.25">
      <c r="B141" s="375"/>
      <c r="C141" s="351" t="s">
        <v>54</v>
      </c>
      <c r="D141" s="354" t="s">
        <v>203</v>
      </c>
      <c r="E141" s="354"/>
      <c r="F141" s="576"/>
      <c r="G141" s="364"/>
      <c r="H141" s="576"/>
      <c r="I141" s="364"/>
      <c r="J141" s="21">
        <v>40</v>
      </c>
      <c r="K141" s="364"/>
      <c r="L141" s="80"/>
      <c r="M141" s="570"/>
      <c r="N141" s="570"/>
      <c r="O141" s="570"/>
      <c r="P141" s="571"/>
      <c r="R141" s="18">
        <f t="shared" si="1"/>
        <v>0</v>
      </c>
      <c r="S141" s="338"/>
      <c r="T141" s="344"/>
      <c r="U141" s="474"/>
      <c r="V141" s="344"/>
      <c r="W141" s="475"/>
    </row>
    <row r="142" spans="2:23" ht="26.4" x14ac:dyDescent="0.25">
      <c r="B142" s="375"/>
      <c r="C142" s="351"/>
      <c r="D142" s="60" t="s">
        <v>181</v>
      </c>
      <c r="E142" s="77" t="s">
        <v>205</v>
      </c>
      <c r="F142" s="576"/>
      <c r="G142" s="82">
        <f>'SQ_Auditoreingaben '!G129</f>
        <v>30</v>
      </c>
      <c r="H142" s="576"/>
      <c r="I142" s="69"/>
      <c r="J142" s="18">
        <v>40</v>
      </c>
      <c r="K142" s="364"/>
      <c r="L142" s="80"/>
      <c r="M142" s="570"/>
      <c r="N142" s="570"/>
      <c r="O142" s="570"/>
      <c r="P142" s="571"/>
      <c r="R142" s="18">
        <f t="shared" si="1"/>
        <v>0</v>
      </c>
      <c r="S142" s="338"/>
      <c r="T142" s="344"/>
      <c r="U142" s="474"/>
      <c r="V142" s="344"/>
      <c r="W142" s="475"/>
    </row>
    <row r="143" spans="2:23" x14ac:dyDescent="0.25">
      <c r="B143" s="375"/>
      <c r="C143" s="351" t="s">
        <v>61</v>
      </c>
      <c r="D143" s="354" t="s">
        <v>204</v>
      </c>
      <c r="E143" s="354"/>
      <c r="F143" s="576"/>
      <c r="G143" s="113"/>
      <c r="H143" s="576"/>
      <c r="I143" s="113"/>
      <c r="J143" s="21">
        <v>60</v>
      </c>
      <c r="K143" s="364"/>
      <c r="L143" s="80"/>
      <c r="M143" s="570"/>
      <c r="N143" s="570"/>
      <c r="O143" s="570"/>
      <c r="P143" s="571"/>
      <c r="R143" s="18">
        <f t="shared" ref="R143:R217" si="2">IF(I143&gt;J143,J143,I143)</f>
        <v>0</v>
      </c>
      <c r="S143" s="338"/>
      <c r="T143" s="344"/>
      <c r="U143" s="474"/>
      <c r="V143" s="344"/>
      <c r="W143" s="475"/>
    </row>
    <row r="144" spans="2:23" ht="26.4" x14ac:dyDescent="0.25">
      <c r="B144" s="375"/>
      <c r="C144" s="351"/>
      <c r="D144" s="60" t="s">
        <v>63</v>
      </c>
      <c r="E144" s="77" t="s">
        <v>206</v>
      </c>
      <c r="F144" s="576"/>
      <c r="G144" s="82">
        <f>'SQ_Auditoreingaben '!G131</f>
        <v>50</v>
      </c>
      <c r="H144" s="576"/>
      <c r="I144" s="69"/>
      <c r="J144" s="18">
        <v>60</v>
      </c>
      <c r="K144" s="364"/>
      <c r="L144" s="80"/>
      <c r="M144" s="570"/>
      <c r="N144" s="570"/>
      <c r="O144" s="570"/>
      <c r="P144" s="571"/>
      <c r="R144" s="18">
        <f t="shared" si="2"/>
        <v>0</v>
      </c>
      <c r="S144" s="339"/>
      <c r="T144" s="365"/>
      <c r="U144" s="474"/>
      <c r="V144" s="344"/>
      <c r="W144" s="475"/>
    </row>
    <row r="145" spans="2:23" x14ac:dyDescent="0.25">
      <c r="B145" s="55" t="s">
        <v>207</v>
      </c>
      <c r="C145" s="354" t="s">
        <v>208</v>
      </c>
      <c r="D145" s="354"/>
      <c r="E145" s="354"/>
      <c r="F145" s="78">
        <f>'SQ_Auditoreingaben '!F132</f>
        <v>70</v>
      </c>
      <c r="G145" s="364"/>
      <c r="H145" s="79">
        <f>S145</f>
        <v>0</v>
      </c>
      <c r="I145" s="364"/>
      <c r="J145" s="21">
        <v>100</v>
      </c>
      <c r="K145" s="88">
        <v>2</v>
      </c>
      <c r="L145" s="80"/>
      <c r="M145" s="570"/>
      <c r="N145" s="570"/>
      <c r="O145" s="570"/>
      <c r="P145" s="571"/>
      <c r="R145" s="18">
        <f t="shared" si="2"/>
        <v>0</v>
      </c>
      <c r="S145" s="337">
        <f>SUM(R147:R165)</f>
        <v>0</v>
      </c>
      <c r="T145" s="343">
        <f>S145/100</f>
        <v>0</v>
      </c>
      <c r="U145" s="474"/>
      <c r="V145" s="344"/>
      <c r="W145" s="475"/>
    </row>
    <row r="146" spans="2:23" x14ac:dyDescent="0.25">
      <c r="B146" s="375"/>
      <c r="C146" s="574" t="s">
        <v>54</v>
      </c>
      <c r="D146" s="354" t="s">
        <v>209</v>
      </c>
      <c r="E146" s="354"/>
      <c r="F146" s="576"/>
      <c r="G146" s="364"/>
      <c r="H146" s="576"/>
      <c r="I146" s="364"/>
      <c r="J146" s="21">
        <v>30</v>
      </c>
      <c r="K146" s="364"/>
      <c r="L146" s="80"/>
      <c r="M146" s="570"/>
      <c r="N146" s="570"/>
      <c r="O146" s="570"/>
      <c r="P146" s="571"/>
      <c r="R146" s="18">
        <f t="shared" si="2"/>
        <v>0</v>
      </c>
      <c r="S146" s="338"/>
      <c r="T146" s="344"/>
      <c r="U146" s="474"/>
      <c r="V146" s="344"/>
      <c r="W146" s="475"/>
    </row>
    <row r="147" spans="2:23" ht="26.4" x14ac:dyDescent="0.25">
      <c r="B147" s="375"/>
      <c r="C147" s="574"/>
      <c r="D147" s="71" t="s">
        <v>58</v>
      </c>
      <c r="E147" s="77" t="s">
        <v>210</v>
      </c>
      <c r="F147" s="576"/>
      <c r="G147" s="82">
        <f>'SQ_Auditoreingaben '!G134</f>
        <v>15</v>
      </c>
      <c r="H147" s="576"/>
      <c r="I147" s="69"/>
      <c r="J147" s="18">
        <v>30</v>
      </c>
      <c r="K147" s="364"/>
      <c r="L147" s="80"/>
      <c r="M147" s="570"/>
      <c r="N147" s="570"/>
      <c r="O147" s="570"/>
      <c r="P147" s="571"/>
      <c r="R147" s="18">
        <f t="shared" si="2"/>
        <v>0</v>
      </c>
      <c r="S147" s="338"/>
      <c r="T147" s="344"/>
      <c r="U147" s="474"/>
      <c r="V147" s="344"/>
      <c r="W147" s="475"/>
    </row>
    <row r="148" spans="2:23" x14ac:dyDescent="0.25">
      <c r="B148" s="375"/>
      <c r="C148" s="351" t="s">
        <v>61</v>
      </c>
      <c r="D148" s="354" t="s">
        <v>211</v>
      </c>
      <c r="E148" s="354"/>
      <c r="F148" s="576"/>
      <c r="G148" s="113"/>
      <c r="H148" s="576"/>
      <c r="I148" s="113"/>
      <c r="J148" s="21">
        <v>10</v>
      </c>
      <c r="K148" s="364"/>
      <c r="L148" s="80"/>
      <c r="M148" s="570"/>
      <c r="N148" s="570"/>
      <c r="O148" s="570"/>
      <c r="P148" s="571"/>
      <c r="R148" s="18">
        <f t="shared" si="2"/>
        <v>0</v>
      </c>
      <c r="S148" s="338"/>
      <c r="T148" s="344"/>
      <c r="U148" s="474"/>
      <c r="V148" s="344"/>
      <c r="W148" s="475"/>
    </row>
    <row r="149" spans="2:23" ht="26.4" x14ac:dyDescent="0.25">
      <c r="B149" s="375"/>
      <c r="C149" s="351"/>
      <c r="D149" s="71" t="s">
        <v>63</v>
      </c>
      <c r="E149" s="77" t="s">
        <v>212</v>
      </c>
      <c r="F149" s="576"/>
      <c r="G149" s="82">
        <f>'SQ_Auditoreingaben '!G136</f>
        <v>0</v>
      </c>
      <c r="H149" s="576"/>
      <c r="I149" s="69"/>
      <c r="J149" s="18">
        <v>10</v>
      </c>
      <c r="K149" s="364"/>
      <c r="L149" s="80"/>
      <c r="M149" s="570"/>
      <c r="N149" s="570"/>
      <c r="O149" s="570"/>
      <c r="P149" s="571"/>
      <c r="R149" s="18">
        <f t="shared" si="2"/>
        <v>0</v>
      </c>
      <c r="S149" s="338"/>
      <c r="T149" s="344"/>
      <c r="U149" s="474"/>
      <c r="V149" s="344"/>
      <c r="W149" s="475"/>
    </row>
    <row r="150" spans="2:23" x14ac:dyDescent="0.25">
      <c r="B150" s="375"/>
      <c r="C150" s="392" t="s">
        <v>64</v>
      </c>
      <c r="D150" s="569" t="s">
        <v>711</v>
      </c>
      <c r="E150" s="569"/>
      <c r="F150" s="576"/>
      <c r="G150" s="113"/>
      <c r="H150" s="576"/>
      <c r="I150" s="113"/>
      <c r="J150" s="21">
        <v>10</v>
      </c>
      <c r="K150" s="364"/>
      <c r="L150" s="80"/>
      <c r="M150" s="570"/>
      <c r="N150" s="570"/>
      <c r="O150" s="570"/>
      <c r="P150" s="571"/>
      <c r="R150" s="18">
        <f t="shared" si="2"/>
        <v>0</v>
      </c>
      <c r="S150" s="338"/>
      <c r="T150" s="344"/>
      <c r="U150" s="474"/>
      <c r="V150" s="344"/>
      <c r="W150" s="475"/>
    </row>
    <row r="151" spans="2:23" ht="145.19999999999999" x14ac:dyDescent="0.25">
      <c r="B151" s="375"/>
      <c r="C151" s="351"/>
      <c r="D151" s="71" t="s">
        <v>66</v>
      </c>
      <c r="E151" s="77" t="s">
        <v>712</v>
      </c>
      <c r="F151" s="576"/>
      <c r="G151" s="82">
        <f>'SQ_Auditoreingaben '!G138</f>
        <v>10</v>
      </c>
      <c r="H151" s="576"/>
      <c r="I151" s="69"/>
      <c r="J151" s="18">
        <v>10</v>
      </c>
      <c r="K151" s="364"/>
      <c r="L151" s="80"/>
      <c r="M151" s="570"/>
      <c r="N151" s="570"/>
      <c r="O151" s="570"/>
      <c r="P151" s="571"/>
      <c r="R151" s="18">
        <f t="shared" si="2"/>
        <v>0</v>
      </c>
      <c r="S151" s="338"/>
      <c r="T151" s="344"/>
      <c r="U151" s="474"/>
      <c r="V151" s="344"/>
      <c r="W151" s="475"/>
    </row>
    <row r="152" spans="2:23" x14ac:dyDescent="0.25">
      <c r="B152" s="375"/>
      <c r="C152" s="351" t="s">
        <v>67</v>
      </c>
      <c r="D152" s="354" t="s">
        <v>213</v>
      </c>
      <c r="E152" s="354"/>
      <c r="F152" s="576"/>
      <c r="G152" s="113"/>
      <c r="H152" s="576"/>
      <c r="I152" s="113"/>
      <c r="J152" s="21">
        <v>25</v>
      </c>
      <c r="K152" s="364"/>
      <c r="L152" s="80"/>
      <c r="M152" s="570"/>
      <c r="N152" s="570"/>
      <c r="O152" s="570"/>
      <c r="P152" s="571"/>
      <c r="R152" s="18">
        <f t="shared" si="2"/>
        <v>0</v>
      </c>
      <c r="S152" s="338"/>
      <c r="T152" s="344"/>
      <c r="U152" s="474"/>
      <c r="V152" s="344"/>
      <c r="W152" s="475"/>
    </row>
    <row r="153" spans="2:23" ht="132" x14ac:dyDescent="0.25">
      <c r="B153" s="375"/>
      <c r="C153" s="351"/>
      <c r="D153" s="71" t="s">
        <v>69</v>
      </c>
      <c r="E153" s="77" t="s">
        <v>659</v>
      </c>
      <c r="F153" s="576"/>
      <c r="G153" s="82">
        <f>'SQ_Auditoreingaben '!G140</f>
        <v>10</v>
      </c>
      <c r="H153" s="576"/>
      <c r="I153" s="69"/>
      <c r="J153" s="18">
        <v>10</v>
      </c>
      <c r="K153" s="364"/>
      <c r="L153" s="80"/>
      <c r="M153" s="570"/>
      <c r="N153" s="570"/>
      <c r="O153" s="570"/>
      <c r="P153" s="571"/>
      <c r="R153" s="18">
        <f t="shared" si="2"/>
        <v>0</v>
      </c>
      <c r="S153" s="338"/>
      <c r="T153" s="344"/>
      <c r="U153" s="474"/>
      <c r="V153" s="344"/>
      <c r="W153" s="475"/>
    </row>
    <row r="154" spans="2:23" ht="105.6" x14ac:dyDescent="0.25">
      <c r="B154" s="375"/>
      <c r="C154" s="351"/>
      <c r="D154" s="71" t="s">
        <v>78</v>
      </c>
      <c r="E154" s="77" t="s">
        <v>660</v>
      </c>
      <c r="F154" s="576"/>
      <c r="G154" s="82">
        <f>'SQ_Auditoreingaben '!G141</f>
        <v>5</v>
      </c>
      <c r="H154" s="576"/>
      <c r="I154" s="69"/>
      <c r="J154" s="18">
        <v>5</v>
      </c>
      <c r="K154" s="364"/>
      <c r="L154" s="80"/>
      <c r="M154" s="570"/>
      <c r="N154" s="570"/>
      <c r="O154" s="570"/>
      <c r="P154" s="571"/>
      <c r="R154" s="18">
        <f t="shared" si="2"/>
        <v>0</v>
      </c>
      <c r="S154" s="338"/>
      <c r="T154" s="344"/>
      <c r="U154" s="474"/>
      <c r="V154" s="344"/>
      <c r="W154" s="475"/>
    </row>
    <row r="155" spans="2:23" ht="145.19999999999999" x14ac:dyDescent="0.25">
      <c r="B155" s="375"/>
      <c r="C155" s="351"/>
      <c r="D155" s="71" t="s">
        <v>214</v>
      </c>
      <c r="E155" s="77" t="s">
        <v>661</v>
      </c>
      <c r="F155" s="576"/>
      <c r="G155" s="82">
        <f>'SQ_Auditoreingaben '!G142</f>
        <v>5</v>
      </c>
      <c r="H155" s="576"/>
      <c r="I155" s="69"/>
      <c r="J155" s="18">
        <v>5</v>
      </c>
      <c r="K155" s="364"/>
      <c r="L155" s="80"/>
      <c r="M155" s="570"/>
      <c r="N155" s="570"/>
      <c r="O155" s="570"/>
      <c r="P155" s="571"/>
      <c r="R155" s="18">
        <f t="shared" si="2"/>
        <v>0</v>
      </c>
      <c r="S155" s="338"/>
      <c r="T155" s="344"/>
      <c r="U155" s="474"/>
      <c r="V155" s="344"/>
      <c r="W155" s="475"/>
    </row>
    <row r="156" spans="2:23" ht="92.4" x14ac:dyDescent="0.25">
      <c r="B156" s="375"/>
      <c r="C156" s="351"/>
      <c r="D156" s="71" t="s">
        <v>215</v>
      </c>
      <c r="E156" s="77" t="s">
        <v>662</v>
      </c>
      <c r="F156" s="576"/>
      <c r="G156" s="82">
        <f>'SQ_Auditoreingaben '!G143</f>
        <v>5</v>
      </c>
      <c r="H156" s="576"/>
      <c r="I156" s="69"/>
      <c r="J156" s="18">
        <v>5</v>
      </c>
      <c r="K156" s="364"/>
      <c r="L156" s="80"/>
      <c r="M156" s="570"/>
      <c r="N156" s="570"/>
      <c r="O156" s="570"/>
      <c r="P156" s="571"/>
      <c r="R156" s="18">
        <f t="shared" si="2"/>
        <v>0</v>
      </c>
      <c r="S156" s="338"/>
      <c r="T156" s="344"/>
      <c r="U156" s="474"/>
      <c r="V156" s="344"/>
      <c r="W156" s="475"/>
    </row>
    <row r="157" spans="2:23" x14ac:dyDescent="0.25">
      <c r="B157" s="375"/>
      <c r="C157" s="351" t="s">
        <v>154</v>
      </c>
      <c r="D157" s="354" t="s">
        <v>216</v>
      </c>
      <c r="E157" s="354"/>
      <c r="F157" s="576"/>
      <c r="G157" s="113"/>
      <c r="H157" s="576"/>
      <c r="I157" s="113"/>
      <c r="J157" s="21">
        <v>10</v>
      </c>
      <c r="K157" s="364"/>
      <c r="L157" s="80"/>
      <c r="M157" s="570"/>
      <c r="N157" s="570"/>
      <c r="O157" s="570"/>
      <c r="P157" s="571"/>
      <c r="R157" s="18">
        <f t="shared" si="2"/>
        <v>0</v>
      </c>
      <c r="S157" s="338"/>
      <c r="T157" s="344"/>
      <c r="U157" s="474"/>
      <c r="V157" s="344"/>
      <c r="W157" s="475"/>
    </row>
    <row r="158" spans="2:23" ht="66" x14ac:dyDescent="0.25">
      <c r="B158" s="375"/>
      <c r="C158" s="351"/>
      <c r="D158" s="71" t="s">
        <v>156</v>
      </c>
      <c r="E158" s="77" t="s">
        <v>217</v>
      </c>
      <c r="F158" s="576"/>
      <c r="G158" s="82">
        <f>'SQ_Auditoreingaben '!G145</f>
        <v>2</v>
      </c>
      <c r="H158" s="576"/>
      <c r="I158" s="69"/>
      <c r="J158" s="18">
        <v>2</v>
      </c>
      <c r="K158" s="364"/>
      <c r="L158" s="80"/>
      <c r="M158" s="570"/>
      <c r="N158" s="570"/>
      <c r="O158" s="570"/>
      <c r="P158" s="571"/>
      <c r="R158" s="18">
        <f t="shared" si="2"/>
        <v>0</v>
      </c>
      <c r="S158" s="338"/>
      <c r="T158" s="344"/>
      <c r="U158" s="474"/>
      <c r="V158" s="344"/>
      <c r="W158" s="475"/>
    </row>
    <row r="159" spans="2:23" ht="105.6" x14ac:dyDescent="0.25">
      <c r="B159" s="375"/>
      <c r="C159" s="351"/>
      <c r="D159" s="71" t="s">
        <v>218</v>
      </c>
      <c r="E159" s="77" t="s">
        <v>222</v>
      </c>
      <c r="F159" s="576"/>
      <c r="G159" s="82">
        <f>'SQ_Auditoreingaben '!G146</f>
        <v>2</v>
      </c>
      <c r="H159" s="576"/>
      <c r="I159" s="69"/>
      <c r="J159" s="18">
        <v>2</v>
      </c>
      <c r="K159" s="364"/>
      <c r="L159" s="80"/>
      <c r="M159" s="570"/>
      <c r="N159" s="570"/>
      <c r="O159" s="570"/>
      <c r="P159" s="571"/>
      <c r="R159" s="18">
        <f t="shared" si="2"/>
        <v>0</v>
      </c>
      <c r="S159" s="338"/>
      <c r="T159" s="344"/>
      <c r="U159" s="474"/>
      <c r="V159" s="344"/>
      <c r="W159" s="475"/>
    </row>
    <row r="160" spans="2:23" ht="79.2" x14ac:dyDescent="0.25">
      <c r="B160" s="375"/>
      <c r="C160" s="351"/>
      <c r="D160" s="71" t="s">
        <v>219</v>
      </c>
      <c r="E160" s="77" t="s">
        <v>223</v>
      </c>
      <c r="F160" s="576"/>
      <c r="G160" s="82">
        <f>'SQ_Auditoreingaben '!G147</f>
        <v>2</v>
      </c>
      <c r="H160" s="576"/>
      <c r="I160" s="69"/>
      <c r="J160" s="18">
        <v>2</v>
      </c>
      <c r="K160" s="364"/>
      <c r="L160" s="80"/>
      <c r="M160" s="570"/>
      <c r="N160" s="570"/>
      <c r="O160" s="570"/>
      <c r="P160" s="571"/>
      <c r="R160" s="18">
        <f t="shared" si="2"/>
        <v>0</v>
      </c>
      <c r="S160" s="338"/>
      <c r="T160" s="344"/>
      <c r="U160" s="474"/>
      <c r="V160" s="344"/>
      <c r="W160" s="475"/>
    </row>
    <row r="161" spans="2:23" ht="52.8" x14ac:dyDescent="0.25">
      <c r="B161" s="375"/>
      <c r="C161" s="351"/>
      <c r="D161" s="71" t="s">
        <v>220</v>
      </c>
      <c r="E161" s="77" t="s">
        <v>224</v>
      </c>
      <c r="F161" s="576"/>
      <c r="G161" s="82">
        <f>'SQ_Auditoreingaben '!G148</f>
        <v>2</v>
      </c>
      <c r="H161" s="576"/>
      <c r="I161" s="69"/>
      <c r="J161" s="18">
        <v>2</v>
      </c>
      <c r="K161" s="364"/>
      <c r="L161" s="80"/>
      <c r="M161" s="570"/>
      <c r="N161" s="570"/>
      <c r="O161" s="570"/>
      <c r="P161" s="571"/>
      <c r="R161" s="18">
        <f t="shared" si="2"/>
        <v>0</v>
      </c>
      <c r="S161" s="338"/>
      <c r="T161" s="344"/>
      <c r="U161" s="474"/>
      <c r="V161" s="344"/>
      <c r="W161" s="475"/>
    </row>
    <row r="162" spans="2:23" ht="66" x14ac:dyDescent="0.25">
      <c r="B162" s="375"/>
      <c r="C162" s="351"/>
      <c r="D162" s="71" t="s">
        <v>221</v>
      </c>
      <c r="E162" s="77" t="s">
        <v>225</v>
      </c>
      <c r="F162" s="576"/>
      <c r="G162" s="82">
        <f>'SQ_Auditoreingaben '!G149</f>
        <v>2</v>
      </c>
      <c r="H162" s="576"/>
      <c r="I162" s="69"/>
      <c r="J162" s="18">
        <v>2</v>
      </c>
      <c r="K162" s="364"/>
      <c r="L162" s="80"/>
      <c r="M162" s="570"/>
      <c r="N162" s="570"/>
      <c r="O162" s="570"/>
      <c r="P162" s="571"/>
      <c r="R162" s="18">
        <f t="shared" si="2"/>
        <v>0</v>
      </c>
      <c r="S162" s="338"/>
      <c r="T162" s="344"/>
      <c r="U162" s="474"/>
      <c r="V162" s="344"/>
      <c r="W162" s="475"/>
    </row>
    <row r="163" spans="2:23" x14ac:dyDescent="0.25">
      <c r="B163" s="375"/>
      <c r="C163" s="351" t="s">
        <v>157</v>
      </c>
      <c r="D163" s="354" t="s">
        <v>226</v>
      </c>
      <c r="E163" s="354"/>
      <c r="F163" s="576"/>
      <c r="G163" s="113"/>
      <c r="H163" s="576"/>
      <c r="I163" s="113"/>
      <c r="J163" s="21">
        <v>15</v>
      </c>
      <c r="K163" s="364"/>
      <c r="L163" s="80"/>
      <c r="M163" s="570"/>
      <c r="N163" s="570"/>
      <c r="O163" s="570"/>
      <c r="P163" s="571"/>
      <c r="R163" s="18">
        <f t="shared" si="2"/>
        <v>0</v>
      </c>
      <c r="S163" s="338"/>
      <c r="T163" s="344"/>
      <c r="U163" s="474"/>
      <c r="V163" s="344"/>
      <c r="W163" s="475"/>
    </row>
    <row r="164" spans="2:23" ht="52.8" x14ac:dyDescent="0.25">
      <c r="B164" s="375"/>
      <c r="C164" s="351"/>
      <c r="D164" s="71" t="s">
        <v>159</v>
      </c>
      <c r="E164" s="77" t="s">
        <v>713</v>
      </c>
      <c r="F164" s="576"/>
      <c r="G164" s="82">
        <f>'SQ_Auditoreingaben '!G151</f>
        <v>0</v>
      </c>
      <c r="H164" s="576"/>
      <c r="I164" s="69"/>
      <c r="J164" s="18">
        <v>5</v>
      </c>
      <c r="K164" s="364"/>
      <c r="L164" s="80"/>
      <c r="M164" s="570"/>
      <c r="N164" s="570"/>
      <c r="O164" s="570"/>
      <c r="P164" s="571"/>
      <c r="R164" s="18">
        <f t="shared" si="2"/>
        <v>0</v>
      </c>
      <c r="S164" s="338"/>
      <c r="T164" s="344"/>
      <c r="U164" s="474"/>
      <c r="V164" s="344"/>
      <c r="W164" s="475"/>
    </row>
    <row r="165" spans="2:23" ht="105.6" x14ac:dyDescent="0.25">
      <c r="B165" s="375"/>
      <c r="C165" s="351"/>
      <c r="D165" s="71" t="s">
        <v>160</v>
      </c>
      <c r="E165" s="77" t="s">
        <v>236</v>
      </c>
      <c r="F165" s="576"/>
      <c r="G165" s="82">
        <f>'SQ_Auditoreingaben '!G152</f>
        <v>10</v>
      </c>
      <c r="H165" s="576"/>
      <c r="I165" s="69"/>
      <c r="J165" s="18">
        <v>10</v>
      </c>
      <c r="K165" s="364"/>
      <c r="L165" s="80"/>
      <c r="M165" s="570"/>
      <c r="N165" s="570"/>
      <c r="O165" s="570"/>
      <c r="P165" s="571"/>
      <c r="R165" s="18">
        <f t="shared" si="2"/>
        <v>0</v>
      </c>
      <c r="S165" s="339"/>
      <c r="T165" s="365"/>
      <c r="U165" s="474"/>
      <c r="V165" s="365"/>
      <c r="W165" s="475"/>
    </row>
    <row r="166" spans="2:23" x14ac:dyDescent="0.25">
      <c r="B166" s="96" t="s">
        <v>628</v>
      </c>
      <c r="C166" s="354" t="s">
        <v>639</v>
      </c>
      <c r="D166" s="354"/>
      <c r="E166" s="354"/>
      <c r="F166" s="78">
        <f>'SQ_Auditoreingaben '!F159</f>
        <v>50</v>
      </c>
      <c r="G166" s="356"/>
      <c r="H166" s="91">
        <f>S166</f>
        <v>0</v>
      </c>
      <c r="I166" s="356"/>
      <c r="J166" s="21">
        <v>100</v>
      </c>
      <c r="K166" s="92">
        <v>2</v>
      </c>
      <c r="L166" s="80"/>
      <c r="M166" s="570"/>
      <c r="N166" s="570"/>
      <c r="O166" s="570"/>
      <c r="P166" s="571"/>
      <c r="R166" s="18">
        <f t="shared" si="2"/>
        <v>0</v>
      </c>
      <c r="S166" s="337">
        <f>SUM(R168:R176)</f>
        <v>0</v>
      </c>
      <c r="T166" s="343">
        <f>S166/100</f>
        <v>0</v>
      </c>
      <c r="U166" s="343">
        <v>0.2</v>
      </c>
      <c r="V166" s="343">
        <f>IF((T166*K166+T177*K177+T206*K206+T226*K226+T278*K278+T299*K299+T316*K316)/(K166+K177+K206+K226+K278+K299+K316)&gt;1,1,(T166*K166+T177*K177+T206*K206+T226*K226+T278*K278+T299*K299+T316*K316)/(K166+K177+K206+K226+K278+K299+K316))</f>
        <v>0</v>
      </c>
      <c r="W166" s="475"/>
    </row>
    <row r="167" spans="2:23" x14ac:dyDescent="0.25">
      <c r="B167" s="375"/>
      <c r="C167" s="351" t="s">
        <v>54</v>
      </c>
      <c r="D167" s="569" t="s">
        <v>640</v>
      </c>
      <c r="E167" s="569"/>
      <c r="F167" s="575"/>
      <c r="G167" s="356"/>
      <c r="H167" s="575"/>
      <c r="I167" s="356"/>
      <c r="J167" s="21">
        <v>70</v>
      </c>
      <c r="K167" s="364"/>
      <c r="L167" s="80"/>
      <c r="M167" s="570"/>
      <c r="N167" s="570"/>
      <c r="O167" s="570"/>
      <c r="P167" s="571"/>
      <c r="R167" s="18">
        <f t="shared" si="2"/>
        <v>0</v>
      </c>
      <c r="S167" s="338"/>
      <c r="T167" s="344"/>
      <c r="U167" s="344"/>
      <c r="V167" s="344"/>
      <c r="W167" s="475"/>
    </row>
    <row r="168" spans="2:23" ht="52.8" x14ac:dyDescent="0.25">
      <c r="B168" s="375"/>
      <c r="C168" s="351"/>
      <c r="D168" s="71" t="s">
        <v>58</v>
      </c>
      <c r="E168" s="77" t="s">
        <v>643</v>
      </c>
      <c r="F168" s="575"/>
      <c r="G168" s="82">
        <f>'SQ_Auditoreingaben '!G161</f>
        <v>10</v>
      </c>
      <c r="H168" s="575"/>
      <c r="I168" s="69"/>
      <c r="J168" s="18">
        <v>10</v>
      </c>
      <c r="K168" s="364"/>
      <c r="L168" s="80"/>
      <c r="M168" s="570"/>
      <c r="N168" s="570"/>
      <c r="O168" s="570"/>
      <c r="P168" s="571"/>
      <c r="R168" s="18">
        <f t="shared" si="2"/>
        <v>0</v>
      </c>
      <c r="S168" s="338"/>
      <c r="T168" s="344"/>
      <c r="U168" s="344"/>
      <c r="V168" s="344"/>
      <c r="W168" s="475"/>
    </row>
    <row r="169" spans="2:23" ht="92.4" x14ac:dyDescent="0.25">
      <c r="B169" s="375"/>
      <c r="C169" s="351"/>
      <c r="D169" s="71" t="s">
        <v>181</v>
      </c>
      <c r="E169" s="77" t="s">
        <v>644</v>
      </c>
      <c r="F169" s="575"/>
      <c r="G169" s="82">
        <f>'SQ_Auditoreingaben '!G162</f>
        <v>5</v>
      </c>
      <c r="H169" s="575"/>
      <c r="I169" s="69"/>
      <c r="J169" s="18">
        <v>10</v>
      </c>
      <c r="K169" s="364"/>
      <c r="L169" s="80"/>
      <c r="M169" s="570"/>
      <c r="N169" s="570"/>
      <c r="O169" s="570"/>
      <c r="P169" s="571"/>
      <c r="R169" s="18">
        <f t="shared" si="2"/>
        <v>0</v>
      </c>
      <c r="S169" s="338"/>
      <c r="T169" s="344"/>
      <c r="U169" s="344"/>
      <c r="V169" s="344"/>
      <c r="W169" s="475"/>
    </row>
    <row r="170" spans="2:23" ht="118.8" x14ac:dyDescent="0.25">
      <c r="B170" s="375"/>
      <c r="C170" s="351"/>
      <c r="D170" s="71" t="s">
        <v>246</v>
      </c>
      <c r="E170" s="77" t="s">
        <v>645</v>
      </c>
      <c r="F170" s="575"/>
      <c r="G170" s="82">
        <f>'SQ_Auditoreingaben '!G163</f>
        <v>10</v>
      </c>
      <c r="H170" s="575"/>
      <c r="I170" s="69"/>
      <c r="J170" s="18">
        <v>10</v>
      </c>
      <c r="K170" s="364"/>
      <c r="L170" s="80"/>
      <c r="M170" s="570"/>
      <c r="N170" s="570"/>
      <c r="O170" s="570"/>
      <c r="P170" s="571"/>
      <c r="R170" s="18">
        <f t="shared" si="2"/>
        <v>0</v>
      </c>
      <c r="S170" s="338"/>
      <c r="T170" s="344"/>
      <c r="U170" s="344"/>
      <c r="V170" s="344"/>
      <c r="W170" s="475"/>
    </row>
    <row r="171" spans="2:23" ht="92.4" x14ac:dyDescent="0.25">
      <c r="B171" s="375"/>
      <c r="C171" s="351"/>
      <c r="D171" s="71" t="s">
        <v>250</v>
      </c>
      <c r="E171" s="77" t="s">
        <v>646</v>
      </c>
      <c r="F171" s="575"/>
      <c r="G171" s="82">
        <f>'SQ_Auditoreingaben '!G164</f>
        <v>10</v>
      </c>
      <c r="H171" s="575"/>
      <c r="I171" s="69"/>
      <c r="J171" s="18">
        <v>10</v>
      </c>
      <c r="K171" s="364"/>
      <c r="L171" s="80"/>
      <c r="M171" s="570"/>
      <c r="N171" s="570"/>
      <c r="O171" s="570"/>
      <c r="P171" s="571"/>
      <c r="R171" s="18">
        <f t="shared" si="2"/>
        <v>0</v>
      </c>
      <c r="S171" s="338"/>
      <c r="T171" s="344"/>
      <c r="U171" s="344"/>
      <c r="V171" s="344"/>
      <c r="W171" s="475"/>
    </row>
    <row r="172" spans="2:23" ht="79.2" x14ac:dyDescent="0.25">
      <c r="B172" s="375"/>
      <c r="C172" s="351"/>
      <c r="D172" s="71" t="s">
        <v>121</v>
      </c>
      <c r="E172" s="77" t="s">
        <v>647</v>
      </c>
      <c r="F172" s="575"/>
      <c r="G172" s="82">
        <f>'SQ_Auditoreingaben '!G165</f>
        <v>15</v>
      </c>
      <c r="H172" s="575"/>
      <c r="I172" s="69"/>
      <c r="J172" s="18">
        <v>30</v>
      </c>
      <c r="K172" s="364"/>
      <c r="L172" s="80"/>
      <c r="M172" s="570"/>
      <c r="N172" s="570"/>
      <c r="O172" s="570"/>
      <c r="P172" s="571"/>
      <c r="R172" s="18">
        <f t="shared" si="2"/>
        <v>0</v>
      </c>
      <c r="S172" s="338"/>
      <c r="T172" s="344"/>
      <c r="U172" s="344"/>
      <c r="V172" s="344"/>
      <c r="W172" s="475"/>
    </row>
    <row r="173" spans="2:23" x14ac:dyDescent="0.25">
      <c r="B173" s="375"/>
      <c r="C173" s="351" t="s">
        <v>61</v>
      </c>
      <c r="D173" s="569" t="s">
        <v>641</v>
      </c>
      <c r="E173" s="569"/>
      <c r="F173" s="575"/>
      <c r="G173" s="113"/>
      <c r="H173" s="575"/>
      <c r="I173" s="113"/>
      <c r="J173" s="21">
        <v>10</v>
      </c>
      <c r="K173" s="364"/>
      <c r="L173" s="80"/>
      <c r="M173" s="570"/>
      <c r="N173" s="570"/>
      <c r="O173" s="570"/>
      <c r="P173" s="571"/>
      <c r="R173" s="18">
        <f t="shared" si="2"/>
        <v>0</v>
      </c>
      <c r="S173" s="338"/>
      <c r="T173" s="344"/>
      <c r="U173" s="344"/>
      <c r="V173" s="344"/>
      <c r="W173" s="475"/>
    </row>
    <row r="174" spans="2:23" ht="171.6" x14ac:dyDescent="0.25">
      <c r="B174" s="375"/>
      <c r="C174" s="351"/>
      <c r="D174" s="71" t="s">
        <v>63</v>
      </c>
      <c r="E174" s="77" t="s">
        <v>648</v>
      </c>
      <c r="F174" s="575"/>
      <c r="G174" s="82">
        <f>'SQ_Auditoreingaben '!G167</f>
        <v>0</v>
      </c>
      <c r="H174" s="575"/>
      <c r="I174" s="69"/>
      <c r="J174" s="18">
        <v>10</v>
      </c>
      <c r="K174" s="364"/>
      <c r="L174" s="80"/>
      <c r="M174" s="570"/>
      <c r="N174" s="570"/>
      <c r="O174" s="570"/>
      <c r="P174" s="571"/>
      <c r="R174" s="18">
        <f t="shared" si="2"/>
        <v>0</v>
      </c>
      <c r="S174" s="338"/>
      <c r="T174" s="344"/>
      <c r="U174" s="344"/>
      <c r="V174" s="344"/>
      <c r="W174" s="475"/>
    </row>
    <row r="175" spans="2:23" x14ac:dyDescent="0.25">
      <c r="B175" s="375"/>
      <c r="C175" s="351" t="s">
        <v>64</v>
      </c>
      <c r="D175" s="569" t="s">
        <v>642</v>
      </c>
      <c r="E175" s="569"/>
      <c r="F175" s="575"/>
      <c r="G175" s="113"/>
      <c r="H175" s="575"/>
      <c r="I175" s="113"/>
      <c r="J175" s="21">
        <v>20</v>
      </c>
      <c r="K175" s="364"/>
      <c r="L175" s="80"/>
      <c r="M175" s="570"/>
      <c r="N175" s="570"/>
      <c r="O175" s="570"/>
      <c r="P175" s="571"/>
      <c r="R175" s="18">
        <f t="shared" si="2"/>
        <v>0</v>
      </c>
      <c r="S175" s="338"/>
      <c r="T175" s="344"/>
      <c r="U175" s="344"/>
      <c r="V175" s="344"/>
      <c r="W175" s="475"/>
    </row>
    <row r="176" spans="2:23" ht="145.19999999999999" x14ac:dyDescent="0.25">
      <c r="B176" s="375"/>
      <c r="C176" s="351"/>
      <c r="D176" s="71" t="s">
        <v>66</v>
      </c>
      <c r="E176" s="77" t="s">
        <v>649</v>
      </c>
      <c r="F176" s="575"/>
      <c r="G176" s="82">
        <f>'SQ_Auditoreingaben '!G169</f>
        <v>0</v>
      </c>
      <c r="H176" s="575"/>
      <c r="I176" s="69"/>
      <c r="J176" s="18">
        <v>20</v>
      </c>
      <c r="K176" s="364"/>
      <c r="L176" s="80"/>
      <c r="M176" s="570"/>
      <c r="N176" s="570"/>
      <c r="O176" s="570"/>
      <c r="P176" s="571"/>
      <c r="R176" s="18">
        <f t="shared" si="2"/>
        <v>0</v>
      </c>
      <c r="S176" s="339"/>
      <c r="T176" s="365"/>
      <c r="U176" s="344"/>
      <c r="V176" s="344"/>
      <c r="W176" s="475"/>
    </row>
    <row r="177" spans="2:23" x14ac:dyDescent="0.25">
      <c r="B177" s="55" t="s">
        <v>237</v>
      </c>
      <c r="C177" s="354" t="s">
        <v>238</v>
      </c>
      <c r="D177" s="354"/>
      <c r="E177" s="354"/>
      <c r="F177" s="78">
        <f>'SQ_Auditoreingaben '!F170</f>
        <v>95</v>
      </c>
      <c r="G177" s="364"/>
      <c r="H177" s="79">
        <f>S177</f>
        <v>0</v>
      </c>
      <c r="I177" s="364"/>
      <c r="J177" s="21">
        <v>100</v>
      </c>
      <c r="K177" s="88">
        <v>4</v>
      </c>
      <c r="L177" s="80"/>
      <c r="M177" s="570"/>
      <c r="N177" s="570"/>
      <c r="O177" s="570"/>
      <c r="P177" s="571"/>
      <c r="R177" s="18">
        <f t="shared" si="2"/>
        <v>0</v>
      </c>
      <c r="S177" s="337">
        <f>SUM(R180:R205)</f>
        <v>0</v>
      </c>
      <c r="T177" s="343">
        <f>S177/100</f>
        <v>0</v>
      </c>
      <c r="U177" s="344"/>
      <c r="V177" s="344"/>
      <c r="W177" s="475"/>
    </row>
    <row r="178" spans="2:23" x14ac:dyDescent="0.25">
      <c r="B178" s="375"/>
      <c r="C178" s="351" t="s">
        <v>54</v>
      </c>
      <c r="D178" s="354" t="s">
        <v>239</v>
      </c>
      <c r="E178" s="354"/>
      <c r="F178" s="576"/>
      <c r="G178" s="364"/>
      <c r="H178" s="576"/>
      <c r="I178" s="364"/>
      <c r="J178" s="21">
        <v>20</v>
      </c>
      <c r="K178" s="364"/>
      <c r="L178" s="80"/>
      <c r="M178" s="570"/>
      <c r="N178" s="570"/>
      <c r="O178" s="570"/>
      <c r="P178" s="571"/>
      <c r="R178" s="18">
        <f t="shared" si="2"/>
        <v>0</v>
      </c>
      <c r="S178" s="338"/>
      <c r="T178" s="344"/>
      <c r="U178" s="344"/>
      <c r="V178" s="344"/>
      <c r="W178" s="475"/>
    </row>
    <row r="179" spans="2:23" x14ac:dyDescent="0.25">
      <c r="B179" s="375"/>
      <c r="C179" s="351"/>
      <c r="D179" s="361" t="s">
        <v>58</v>
      </c>
      <c r="E179" s="90" t="s">
        <v>240</v>
      </c>
      <c r="F179" s="576"/>
      <c r="G179" s="364"/>
      <c r="H179" s="576"/>
      <c r="I179" s="364"/>
      <c r="J179" s="21">
        <v>5</v>
      </c>
      <c r="K179" s="364"/>
      <c r="L179" s="80"/>
      <c r="M179" s="570"/>
      <c r="N179" s="570"/>
      <c r="O179" s="570"/>
      <c r="P179" s="571"/>
      <c r="R179" s="18">
        <f t="shared" si="2"/>
        <v>0</v>
      </c>
      <c r="S179" s="338"/>
      <c r="T179" s="344"/>
      <c r="U179" s="344"/>
      <c r="V179" s="344"/>
      <c r="W179" s="475"/>
    </row>
    <row r="180" spans="2:23" ht="39.6" x14ac:dyDescent="0.25">
      <c r="B180" s="375"/>
      <c r="C180" s="351"/>
      <c r="D180" s="361"/>
      <c r="E180" s="77" t="s">
        <v>241</v>
      </c>
      <c r="F180" s="576"/>
      <c r="G180" s="82">
        <f>'SQ_Auditoreingaben '!G173</f>
        <v>3</v>
      </c>
      <c r="H180" s="576"/>
      <c r="I180" s="69"/>
      <c r="J180" s="18">
        <v>3</v>
      </c>
      <c r="K180" s="364"/>
      <c r="L180" s="80"/>
      <c r="M180" s="570"/>
      <c r="N180" s="570"/>
      <c r="O180" s="570"/>
      <c r="P180" s="571"/>
      <c r="R180" s="18">
        <f t="shared" si="2"/>
        <v>0</v>
      </c>
      <c r="S180" s="338"/>
      <c r="T180" s="344"/>
      <c r="U180" s="344"/>
      <c r="V180" s="344"/>
      <c r="W180" s="475"/>
    </row>
    <row r="181" spans="2:23" ht="52.8" x14ac:dyDescent="0.25">
      <c r="B181" s="375"/>
      <c r="C181" s="351"/>
      <c r="D181" s="361"/>
      <c r="E181" s="77" t="s">
        <v>242</v>
      </c>
      <c r="F181" s="576"/>
      <c r="G181" s="82">
        <f>'SQ_Auditoreingaben '!G174</f>
        <v>2</v>
      </c>
      <c r="H181" s="576"/>
      <c r="I181" s="69"/>
      <c r="J181" s="18">
        <v>2</v>
      </c>
      <c r="K181" s="364"/>
      <c r="L181" s="80"/>
      <c r="M181" s="570"/>
      <c r="N181" s="570"/>
      <c r="O181" s="570"/>
      <c r="P181" s="571"/>
      <c r="R181" s="18">
        <f t="shared" si="2"/>
        <v>0</v>
      </c>
      <c r="S181" s="338"/>
      <c r="T181" s="344"/>
      <c r="U181" s="344"/>
      <c r="V181" s="344"/>
      <c r="W181" s="475"/>
    </row>
    <row r="182" spans="2:23" x14ac:dyDescent="0.25">
      <c r="B182" s="375"/>
      <c r="C182" s="351"/>
      <c r="D182" s="361" t="s">
        <v>88</v>
      </c>
      <c r="E182" s="90" t="s">
        <v>243</v>
      </c>
      <c r="F182" s="576"/>
      <c r="G182" s="113"/>
      <c r="H182" s="576"/>
      <c r="I182" s="113"/>
      <c r="J182" s="21">
        <v>5</v>
      </c>
      <c r="K182" s="364"/>
      <c r="L182" s="80"/>
      <c r="M182" s="570"/>
      <c r="N182" s="570"/>
      <c r="O182" s="570"/>
      <c r="P182" s="571"/>
      <c r="R182" s="18">
        <f t="shared" si="2"/>
        <v>0</v>
      </c>
      <c r="S182" s="338"/>
      <c r="T182" s="344"/>
      <c r="U182" s="344"/>
      <c r="V182" s="344"/>
      <c r="W182" s="475"/>
    </row>
    <row r="183" spans="2:23" ht="39.6" x14ac:dyDescent="0.25">
      <c r="B183" s="375"/>
      <c r="C183" s="351"/>
      <c r="D183" s="361"/>
      <c r="E183" s="77" t="s">
        <v>244</v>
      </c>
      <c r="F183" s="576"/>
      <c r="G183" s="82">
        <f>'SQ_Auditoreingaben '!G176</f>
        <v>3</v>
      </c>
      <c r="H183" s="576"/>
      <c r="I183" s="69"/>
      <c r="J183" s="18">
        <v>3</v>
      </c>
      <c r="K183" s="364"/>
      <c r="L183" s="80"/>
      <c r="M183" s="570"/>
      <c r="N183" s="570"/>
      <c r="O183" s="570"/>
      <c r="P183" s="571"/>
      <c r="R183" s="18">
        <f t="shared" si="2"/>
        <v>0</v>
      </c>
      <c r="S183" s="338"/>
      <c r="T183" s="344"/>
      <c r="U183" s="344"/>
      <c r="V183" s="344"/>
      <c r="W183" s="475"/>
    </row>
    <row r="184" spans="2:23" ht="52.8" x14ac:dyDescent="0.25">
      <c r="B184" s="375"/>
      <c r="C184" s="351"/>
      <c r="D184" s="361"/>
      <c r="E184" s="77" t="s">
        <v>245</v>
      </c>
      <c r="F184" s="576"/>
      <c r="G184" s="82">
        <f>'SQ_Auditoreingaben '!G177</f>
        <v>2</v>
      </c>
      <c r="H184" s="576"/>
      <c r="I184" s="69"/>
      <c r="J184" s="18">
        <v>2</v>
      </c>
      <c r="K184" s="364"/>
      <c r="L184" s="80"/>
      <c r="M184" s="570"/>
      <c r="N184" s="570"/>
      <c r="O184" s="570"/>
      <c r="P184" s="571"/>
      <c r="R184" s="18">
        <f t="shared" si="2"/>
        <v>0</v>
      </c>
      <c r="S184" s="338"/>
      <c r="T184" s="344"/>
      <c r="U184" s="344"/>
      <c r="V184" s="344"/>
      <c r="W184" s="475"/>
    </row>
    <row r="185" spans="2:23" x14ac:dyDescent="0.25">
      <c r="B185" s="375"/>
      <c r="C185" s="351"/>
      <c r="D185" s="361" t="s">
        <v>246</v>
      </c>
      <c r="E185" s="87" t="s">
        <v>247</v>
      </c>
      <c r="F185" s="576"/>
      <c r="G185" s="113"/>
      <c r="H185" s="576"/>
      <c r="I185" s="113"/>
      <c r="J185" s="21">
        <v>5</v>
      </c>
      <c r="K185" s="364"/>
      <c r="L185" s="80"/>
      <c r="M185" s="570"/>
      <c r="N185" s="570"/>
      <c r="O185" s="570"/>
      <c r="P185" s="571"/>
      <c r="R185" s="18">
        <f t="shared" si="2"/>
        <v>0</v>
      </c>
      <c r="S185" s="338"/>
      <c r="T185" s="344"/>
      <c r="U185" s="344"/>
      <c r="V185" s="344"/>
      <c r="W185" s="475"/>
    </row>
    <row r="186" spans="2:23" ht="39.6" x14ac:dyDescent="0.25">
      <c r="B186" s="375"/>
      <c r="C186" s="351"/>
      <c r="D186" s="361"/>
      <c r="E186" s="77" t="s">
        <v>248</v>
      </c>
      <c r="F186" s="576"/>
      <c r="G186" s="82">
        <f>'SQ_Auditoreingaben '!G179</f>
        <v>3</v>
      </c>
      <c r="H186" s="576"/>
      <c r="I186" s="69"/>
      <c r="J186" s="18">
        <v>3</v>
      </c>
      <c r="K186" s="364"/>
      <c r="L186" s="80"/>
      <c r="M186" s="570"/>
      <c r="N186" s="570"/>
      <c r="O186" s="570"/>
      <c r="P186" s="571"/>
      <c r="R186" s="18">
        <f t="shared" si="2"/>
        <v>0</v>
      </c>
      <c r="S186" s="338"/>
      <c r="T186" s="344"/>
      <c r="U186" s="344"/>
      <c r="V186" s="344"/>
      <c r="W186" s="475"/>
    </row>
    <row r="187" spans="2:23" ht="52.8" x14ac:dyDescent="0.25">
      <c r="B187" s="375"/>
      <c r="C187" s="351"/>
      <c r="D187" s="361"/>
      <c r="E187" s="77" t="s">
        <v>249</v>
      </c>
      <c r="F187" s="576"/>
      <c r="G187" s="82">
        <f>'SQ_Auditoreingaben '!G180</f>
        <v>2</v>
      </c>
      <c r="H187" s="576"/>
      <c r="I187" s="69"/>
      <c r="J187" s="18">
        <v>2</v>
      </c>
      <c r="K187" s="364"/>
      <c r="L187" s="80"/>
      <c r="M187" s="570"/>
      <c r="N187" s="570"/>
      <c r="O187" s="570"/>
      <c r="P187" s="571"/>
      <c r="R187" s="18">
        <f t="shared" si="2"/>
        <v>0</v>
      </c>
      <c r="S187" s="338"/>
      <c r="T187" s="344"/>
      <c r="U187" s="344"/>
      <c r="V187" s="344"/>
      <c r="W187" s="475"/>
    </row>
    <row r="188" spans="2:23" ht="26.4" x14ac:dyDescent="0.25">
      <c r="B188" s="375"/>
      <c r="C188" s="351"/>
      <c r="D188" s="361" t="s">
        <v>250</v>
      </c>
      <c r="E188" s="87" t="s">
        <v>251</v>
      </c>
      <c r="F188" s="576"/>
      <c r="G188" s="113"/>
      <c r="H188" s="576"/>
      <c r="I188" s="113"/>
      <c r="J188" s="21">
        <v>5</v>
      </c>
      <c r="K188" s="364"/>
      <c r="L188" s="80"/>
      <c r="M188" s="570"/>
      <c r="N188" s="570"/>
      <c r="O188" s="570"/>
      <c r="P188" s="571"/>
      <c r="R188" s="18">
        <f t="shared" si="2"/>
        <v>0</v>
      </c>
      <c r="S188" s="338"/>
      <c r="T188" s="344"/>
      <c r="U188" s="344"/>
      <c r="V188" s="344"/>
      <c r="W188" s="475"/>
    </row>
    <row r="189" spans="2:23" ht="39.6" x14ac:dyDescent="0.25">
      <c r="B189" s="375"/>
      <c r="C189" s="351"/>
      <c r="D189" s="361"/>
      <c r="E189" s="77" t="s">
        <v>252</v>
      </c>
      <c r="F189" s="576"/>
      <c r="G189" s="82">
        <f>'SQ_Auditoreingaben '!G182</f>
        <v>3</v>
      </c>
      <c r="H189" s="576"/>
      <c r="I189" s="69"/>
      <c r="J189" s="18">
        <v>3</v>
      </c>
      <c r="K189" s="364"/>
      <c r="L189" s="80"/>
      <c r="M189" s="570"/>
      <c r="N189" s="570"/>
      <c r="O189" s="570"/>
      <c r="P189" s="571"/>
      <c r="R189" s="18">
        <f t="shared" si="2"/>
        <v>0</v>
      </c>
      <c r="S189" s="338"/>
      <c r="T189" s="344"/>
      <c r="U189" s="344"/>
      <c r="V189" s="344"/>
      <c r="W189" s="475"/>
    </row>
    <row r="190" spans="2:23" ht="66" x14ac:dyDescent="0.25">
      <c r="B190" s="375"/>
      <c r="C190" s="351"/>
      <c r="D190" s="361"/>
      <c r="E190" s="77" t="s">
        <v>253</v>
      </c>
      <c r="F190" s="576"/>
      <c r="G190" s="82">
        <f>'SQ_Auditoreingaben '!G183</f>
        <v>2</v>
      </c>
      <c r="H190" s="576"/>
      <c r="I190" s="69"/>
      <c r="J190" s="18">
        <v>2</v>
      </c>
      <c r="K190" s="364"/>
      <c r="L190" s="80"/>
      <c r="M190" s="570"/>
      <c r="N190" s="570"/>
      <c r="O190" s="570"/>
      <c r="P190" s="571"/>
      <c r="R190" s="18">
        <f t="shared" si="2"/>
        <v>0</v>
      </c>
      <c r="S190" s="338"/>
      <c r="T190" s="344"/>
      <c r="U190" s="344"/>
      <c r="V190" s="344"/>
      <c r="W190" s="475"/>
    </row>
    <row r="191" spans="2:23" x14ac:dyDescent="0.25">
      <c r="B191" s="375"/>
      <c r="C191" s="351" t="s">
        <v>61</v>
      </c>
      <c r="D191" s="354" t="s">
        <v>254</v>
      </c>
      <c r="E191" s="354"/>
      <c r="F191" s="576"/>
      <c r="G191" s="113"/>
      <c r="H191" s="576"/>
      <c r="I191" s="113"/>
      <c r="J191" s="21">
        <v>50</v>
      </c>
      <c r="K191" s="364"/>
      <c r="L191" s="80"/>
      <c r="M191" s="570"/>
      <c r="N191" s="570"/>
      <c r="O191" s="570"/>
      <c r="P191" s="571"/>
      <c r="R191" s="18">
        <f t="shared" si="2"/>
        <v>0</v>
      </c>
      <c r="S191" s="338"/>
      <c r="T191" s="344"/>
      <c r="U191" s="344"/>
      <c r="V191" s="344"/>
      <c r="W191" s="475"/>
    </row>
    <row r="192" spans="2:23" ht="52.8" x14ac:dyDescent="0.25">
      <c r="B192" s="375"/>
      <c r="C192" s="351"/>
      <c r="D192" s="71" t="s">
        <v>63</v>
      </c>
      <c r="E192" s="77" t="s">
        <v>261</v>
      </c>
      <c r="F192" s="576"/>
      <c r="G192" s="82">
        <f>'SQ_Auditoreingaben '!G185</f>
        <v>10</v>
      </c>
      <c r="H192" s="576"/>
      <c r="I192" s="69"/>
      <c r="J192" s="18">
        <v>10</v>
      </c>
      <c r="K192" s="364"/>
      <c r="L192" s="80"/>
      <c r="M192" s="570"/>
      <c r="N192" s="570"/>
      <c r="O192" s="570"/>
      <c r="P192" s="571"/>
      <c r="R192" s="18">
        <f t="shared" si="2"/>
        <v>0</v>
      </c>
      <c r="S192" s="338"/>
      <c r="T192" s="344"/>
      <c r="U192" s="344"/>
      <c r="V192" s="344"/>
      <c r="W192" s="475"/>
    </row>
    <row r="193" spans="2:23" ht="52.8" x14ac:dyDescent="0.25">
      <c r="B193" s="375"/>
      <c r="C193" s="351"/>
      <c r="D193" s="71" t="s">
        <v>186</v>
      </c>
      <c r="E193" s="77" t="s">
        <v>262</v>
      </c>
      <c r="F193" s="576"/>
      <c r="G193" s="82">
        <f>'SQ_Auditoreingaben '!G186</f>
        <v>5</v>
      </c>
      <c r="H193" s="576"/>
      <c r="I193" s="69"/>
      <c r="J193" s="18">
        <v>5</v>
      </c>
      <c r="K193" s="364"/>
      <c r="L193" s="80"/>
      <c r="M193" s="570"/>
      <c r="N193" s="570"/>
      <c r="O193" s="570"/>
      <c r="P193" s="571"/>
      <c r="R193" s="18">
        <f t="shared" si="2"/>
        <v>0</v>
      </c>
      <c r="S193" s="338"/>
      <c r="T193" s="344"/>
      <c r="U193" s="344"/>
      <c r="V193" s="344"/>
      <c r="W193" s="475"/>
    </row>
    <row r="194" spans="2:23" ht="52.8" x14ac:dyDescent="0.25">
      <c r="B194" s="375"/>
      <c r="C194" s="351"/>
      <c r="D194" s="71" t="s">
        <v>255</v>
      </c>
      <c r="E194" s="77" t="s">
        <v>263</v>
      </c>
      <c r="F194" s="576"/>
      <c r="G194" s="82">
        <f>'SQ_Auditoreingaben '!G187</f>
        <v>5</v>
      </c>
      <c r="H194" s="576"/>
      <c r="I194" s="69"/>
      <c r="J194" s="18">
        <v>5</v>
      </c>
      <c r="K194" s="364"/>
      <c r="L194" s="80"/>
      <c r="M194" s="570"/>
      <c r="N194" s="570"/>
      <c r="O194" s="570"/>
      <c r="P194" s="571"/>
      <c r="R194" s="18">
        <f t="shared" si="2"/>
        <v>0</v>
      </c>
      <c r="S194" s="338"/>
      <c r="T194" s="344"/>
      <c r="U194" s="344"/>
      <c r="V194" s="344"/>
      <c r="W194" s="475"/>
    </row>
    <row r="195" spans="2:23" ht="39.6" x14ac:dyDescent="0.25">
      <c r="B195" s="375"/>
      <c r="C195" s="351"/>
      <c r="D195" s="71" t="s">
        <v>256</v>
      </c>
      <c r="E195" s="77" t="s">
        <v>264</v>
      </c>
      <c r="F195" s="576"/>
      <c r="G195" s="82">
        <f>'SQ_Auditoreingaben '!G188</f>
        <v>5</v>
      </c>
      <c r="H195" s="576"/>
      <c r="I195" s="69"/>
      <c r="J195" s="18">
        <v>5</v>
      </c>
      <c r="K195" s="364"/>
      <c r="L195" s="80"/>
      <c r="M195" s="570"/>
      <c r="N195" s="570"/>
      <c r="O195" s="570"/>
      <c r="P195" s="571"/>
      <c r="R195" s="18">
        <f t="shared" si="2"/>
        <v>0</v>
      </c>
      <c r="S195" s="338"/>
      <c r="T195" s="344"/>
      <c r="U195" s="344"/>
      <c r="V195" s="344"/>
      <c r="W195" s="475"/>
    </row>
    <row r="196" spans="2:23" ht="52.8" x14ac:dyDescent="0.25">
      <c r="B196" s="375"/>
      <c r="C196" s="351"/>
      <c r="D196" s="71" t="s">
        <v>257</v>
      </c>
      <c r="E196" s="77" t="s">
        <v>265</v>
      </c>
      <c r="F196" s="576"/>
      <c r="G196" s="82">
        <f>'SQ_Auditoreingaben '!G189</f>
        <v>5</v>
      </c>
      <c r="H196" s="576"/>
      <c r="I196" s="69"/>
      <c r="J196" s="18">
        <v>5</v>
      </c>
      <c r="K196" s="364"/>
      <c r="L196" s="80"/>
      <c r="M196" s="570"/>
      <c r="N196" s="570"/>
      <c r="O196" s="570"/>
      <c r="P196" s="571"/>
      <c r="R196" s="18">
        <f t="shared" si="2"/>
        <v>0</v>
      </c>
      <c r="S196" s="338"/>
      <c r="T196" s="344"/>
      <c r="U196" s="344"/>
      <c r="V196" s="344"/>
      <c r="W196" s="475"/>
    </row>
    <row r="197" spans="2:23" ht="52.8" x14ac:dyDescent="0.25">
      <c r="B197" s="375"/>
      <c r="C197" s="351"/>
      <c r="D197" s="71" t="s">
        <v>258</v>
      </c>
      <c r="E197" s="77" t="s">
        <v>266</v>
      </c>
      <c r="F197" s="576"/>
      <c r="G197" s="82">
        <f>'SQ_Auditoreingaben '!G190</f>
        <v>5</v>
      </c>
      <c r="H197" s="576"/>
      <c r="I197" s="69"/>
      <c r="J197" s="18">
        <v>5</v>
      </c>
      <c r="K197" s="364"/>
      <c r="L197" s="80"/>
      <c r="M197" s="570"/>
      <c r="N197" s="570"/>
      <c r="O197" s="570"/>
      <c r="P197" s="571"/>
      <c r="R197" s="18">
        <f t="shared" si="2"/>
        <v>0</v>
      </c>
      <c r="S197" s="338"/>
      <c r="T197" s="344"/>
      <c r="U197" s="344"/>
      <c r="V197" s="344"/>
      <c r="W197" s="475"/>
    </row>
    <row r="198" spans="2:23" ht="52.8" x14ac:dyDescent="0.25">
      <c r="B198" s="375"/>
      <c r="C198" s="351"/>
      <c r="D198" s="71" t="s">
        <v>259</v>
      </c>
      <c r="E198" s="77" t="s">
        <v>267</v>
      </c>
      <c r="F198" s="576"/>
      <c r="G198" s="82">
        <f>'SQ_Auditoreingaben '!G191</f>
        <v>10</v>
      </c>
      <c r="H198" s="576"/>
      <c r="I198" s="69"/>
      <c r="J198" s="18">
        <v>10</v>
      </c>
      <c r="K198" s="364"/>
      <c r="L198" s="80"/>
      <c r="M198" s="570"/>
      <c r="N198" s="570"/>
      <c r="O198" s="570"/>
      <c r="P198" s="571"/>
      <c r="R198" s="18">
        <f t="shared" si="2"/>
        <v>0</v>
      </c>
      <c r="S198" s="338"/>
      <c r="T198" s="344"/>
      <c r="U198" s="344"/>
      <c r="V198" s="344"/>
      <c r="W198" s="475"/>
    </row>
    <row r="199" spans="2:23" ht="79.2" x14ac:dyDescent="0.25">
      <c r="B199" s="375"/>
      <c r="C199" s="351"/>
      <c r="D199" s="71" t="s">
        <v>366</v>
      </c>
      <c r="E199" s="77" t="s">
        <v>714</v>
      </c>
      <c r="F199" s="576"/>
      <c r="G199" s="82">
        <f>'SQ_Auditoreingaben '!G192</f>
        <v>5</v>
      </c>
      <c r="H199" s="576"/>
      <c r="I199" s="69"/>
      <c r="J199" s="18">
        <v>5</v>
      </c>
      <c r="K199" s="364"/>
      <c r="L199" s="80"/>
      <c r="M199" s="570"/>
      <c r="N199" s="570"/>
      <c r="O199" s="570"/>
      <c r="P199" s="571"/>
      <c r="R199" s="18">
        <f t="shared" si="2"/>
        <v>0</v>
      </c>
      <c r="S199" s="338"/>
      <c r="T199" s="344"/>
      <c r="U199" s="344"/>
      <c r="V199" s="344"/>
      <c r="W199" s="475"/>
    </row>
    <row r="200" spans="2:23" ht="27" customHeight="1" x14ac:dyDescent="0.25">
      <c r="B200" s="375"/>
      <c r="C200" s="351" t="s">
        <v>64</v>
      </c>
      <c r="D200" s="578" t="s">
        <v>269</v>
      </c>
      <c r="E200" s="578"/>
      <c r="F200" s="576"/>
      <c r="G200" s="113"/>
      <c r="H200" s="576"/>
      <c r="I200" s="113"/>
      <c r="J200" s="21">
        <v>10</v>
      </c>
      <c r="K200" s="364"/>
      <c r="L200" s="80"/>
      <c r="M200" s="570"/>
      <c r="N200" s="570"/>
      <c r="O200" s="570"/>
      <c r="P200" s="571"/>
      <c r="R200" s="18">
        <f t="shared" si="2"/>
        <v>0</v>
      </c>
      <c r="S200" s="338"/>
      <c r="T200" s="344"/>
      <c r="U200" s="344"/>
      <c r="V200" s="344"/>
      <c r="W200" s="475"/>
    </row>
    <row r="201" spans="2:23" ht="26.4" x14ac:dyDescent="0.25">
      <c r="B201" s="375"/>
      <c r="C201" s="351"/>
      <c r="D201" s="71" t="s">
        <v>66</v>
      </c>
      <c r="E201" s="77" t="s">
        <v>268</v>
      </c>
      <c r="F201" s="576"/>
      <c r="G201" s="82">
        <f>'SQ_Auditoreingaben '!G194</f>
        <v>10</v>
      </c>
      <c r="H201" s="576"/>
      <c r="I201" s="69"/>
      <c r="J201" s="18">
        <v>10</v>
      </c>
      <c r="K201" s="364"/>
      <c r="L201" s="80"/>
      <c r="M201" s="570"/>
      <c r="N201" s="570"/>
      <c r="O201" s="570"/>
      <c r="P201" s="571"/>
      <c r="R201" s="18">
        <f t="shared" si="2"/>
        <v>0</v>
      </c>
      <c r="S201" s="338"/>
      <c r="T201" s="344"/>
      <c r="U201" s="344"/>
      <c r="V201" s="344"/>
      <c r="W201" s="475"/>
    </row>
    <row r="202" spans="2:23" ht="26.1" customHeight="1" x14ac:dyDescent="0.25">
      <c r="B202" s="375"/>
      <c r="C202" s="351" t="s">
        <v>67</v>
      </c>
      <c r="D202" s="579" t="s">
        <v>260</v>
      </c>
      <c r="E202" s="579"/>
      <c r="F202" s="576"/>
      <c r="G202" s="113"/>
      <c r="H202" s="576"/>
      <c r="I202" s="113"/>
      <c r="J202" s="21">
        <v>10</v>
      </c>
      <c r="K202" s="364"/>
      <c r="L202" s="80"/>
      <c r="M202" s="570"/>
      <c r="N202" s="570"/>
      <c r="O202" s="570"/>
      <c r="P202" s="571"/>
      <c r="R202" s="18">
        <f t="shared" si="2"/>
        <v>0</v>
      </c>
      <c r="S202" s="338"/>
      <c r="T202" s="344"/>
      <c r="U202" s="344"/>
      <c r="V202" s="344"/>
      <c r="W202" s="475"/>
    </row>
    <row r="203" spans="2:23" ht="26.4" x14ac:dyDescent="0.25">
      <c r="B203" s="375"/>
      <c r="C203" s="351"/>
      <c r="D203" s="71" t="s">
        <v>69</v>
      </c>
      <c r="E203" s="77" t="s">
        <v>268</v>
      </c>
      <c r="F203" s="576"/>
      <c r="G203" s="82">
        <f>'SQ_Auditoreingaben '!G196</f>
        <v>5</v>
      </c>
      <c r="H203" s="576"/>
      <c r="I203" s="69"/>
      <c r="J203" s="18">
        <v>10</v>
      </c>
      <c r="K203" s="364"/>
      <c r="L203" s="80"/>
      <c r="M203" s="570"/>
      <c r="N203" s="570"/>
      <c r="O203" s="570"/>
      <c r="P203" s="571"/>
      <c r="R203" s="18">
        <f t="shared" si="2"/>
        <v>0</v>
      </c>
      <c r="S203" s="338"/>
      <c r="T203" s="344"/>
      <c r="U203" s="344"/>
      <c r="V203" s="344"/>
      <c r="W203" s="475"/>
    </row>
    <row r="204" spans="2:23" s="72" customFormat="1" ht="12.9" customHeight="1" x14ac:dyDescent="0.25">
      <c r="B204" s="375"/>
      <c r="C204" s="392" t="s">
        <v>157</v>
      </c>
      <c r="D204" s="578" t="s">
        <v>715</v>
      </c>
      <c r="E204" s="578"/>
      <c r="F204" s="576"/>
      <c r="G204" s="113"/>
      <c r="H204" s="576"/>
      <c r="I204" s="113"/>
      <c r="J204" s="21">
        <v>10</v>
      </c>
      <c r="K204" s="364"/>
      <c r="L204" s="80"/>
      <c r="M204" s="570"/>
      <c r="N204" s="570"/>
      <c r="O204" s="570"/>
      <c r="P204" s="571"/>
      <c r="R204" s="18">
        <f t="shared" si="2"/>
        <v>0</v>
      </c>
      <c r="S204" s="338"/>
      <c r="T204" s="344"/>
      <c r="U204" s="344"/>
      <c r="V204" s="344"/>
      <c r="W204" s="475"/>
    </row>
    <row r="205" spans="2:23" ht="52.8" x14ac:dyDescent="0.25">
      <c r="B205" s="375"/>
      <c r="C205" s="351"/>
      <c r="D205" s="71" t="s">
        <v>159</v>
      </c>
      <c r="E205" s="77" t="s">
        <v>716</v>
      </c>
      <c r="F205" s="576"/>
      <c r="G205" s="82">
        <f>'SQ_Auditoreingaben '!G200</f>
        <v>5</v>
      </c>
      <c r="H205" s="576"/>
      <c r="I205" s="69"/>
      <c r="J205" s="18">
        <v>10</v>
      </c>
      <c r="K205" s="364"/>
      <c r="L205" s="80"/>
      <c r="M205" s="570"/>
      <c r="N205" s="570"/>
      <c r="O205" s="570"/>
      <c r="P205" s="571"/>
      <c r="R205" s="18">
        <f t="shared" si="2"/>
        <v>0</v>
      </c>
      <c r="S205" s="339"/>
      <c r="T205" s="365"/>
      <c r="U205" s="344"/>
      <c r="V205" s="344"/>
      <c r="W205" s="475"/>
    </row>
    <row r="206" spans="2:23" x14ac:dyDescent="0.25">
      <c r="B206" s="55" t="s">
        <v>270</v>
      </c>
      <c r="C206" s="354" t="s">
        <v>271</v>
      </c>
      <c r="D206" s="354"/>
      <c r="E206" s="354"/>
      <c r="F206" s="78">
        <f>'SQ_Auditoreingaben '!F201</f>
        <v>75</v>
      </c>
      <c r="G206" s="356"/>
      <c r="H206" s="79">
        <f>S206</f>
        <v>0</v>
      </c>
      <c r="I206" s="356"/>
      <c r="J206" s="21">
        <v>100</v>
      </c>
      <c r="K206" s="88">
        <v>4</v>
      </c>
      <c r="L206" s="80"/>
      <c r="M206" s="570"/>
      <c r="N206" s="570"/>
      <c r="O206" s="570"/>
      <c r="P206" s="571"/>
      <c r="R206" s="18">
        <f t="shared" si="2"/>
        <v>0</v>
      </c>
      <c r="S206" s="337">
        <f>IF(SUM(R209:R217,R222:R225)-R219&gt;100,100,SUM(R209:R217,R222:R225)-R219)</f>
        <v>0</v>
      </c>
      <c r="T206" s="343">
        <f>S206/100</f>
        <v>0</v>
      </c>
      <c r="U206" s="344"/>
      <c r="V206" s="344"/>
      <c r="W206" s="475"/>
    </row>
    <row r="207" spans="2:23" x14ac:dyDescent="0.25">
      <c r="B207" s="375"/>
      <c r="C207" s="351" t="s">
        <v>54</v>
      </c>
      <c r="D207" s="354" t="s">
        <v>272</v>
      </c>
      <c r="E207" s="354"/>
      <c r="F207" s="364"/>
      <c r="G207" s="356"/>
      <c r="H207" s="364"/>
      <c r="I207" s="356"/>
      <c r="J207" s="21">
        <v>30</v>
      </c>
      <c r="K207" s="364"/>
      <c r="L207" s="80"/>
      <c r="M207" s="570"/>
      <c r="N207" s="570"/>
      <c r="O207" s="570"/>
      <c r="P207" s="571"/>
      <c r="R207" s="18">
        <f t="shared" si="2"/>
        <v>0</v>
      </c>
      <c r="S207" s="338"/>
      <c r="T207" s="344"/>
      <c r="U207" s="344"/>
      <c r="V207" s="344"/>
      <c r="W207" s="475"/>
    </row>
    <row r="208" spans="2:23" x14ac:dyDescent="0.25">
      <c r="B208" s="375"/>
      <c r="C208" s="351"/>
      <c r="D208" s="361" t="s">
        <v>58</v>
      </c>
      <c r="E208" s="87" t="s">
        <v>273</v>
      </c>
      <c r="F208" s="364"/>
      <c r="G208" s="356"/>
      <c r="H208" s="364"/>
      <c r="I208" s="356"/>
      <c r="J208" s="21">
        <v>20</v>
      </c>
      <c r="K208" s="364"/>
      <c r="L208" s="80"/>
      <c r="M208" s="570"/>
      <c r="N208" s="570"/>
      <c r="O208" s="570"/>
      <c r="P208" s="571"/>
      <c r="R208" s="18">
        <f t="shared" si="2"/>
        <v>0</v>
      </c>
      <c r="S208" s="338"/>
      <c r="T208" s="344"/>
      <c r="U208" s="344"/>
      <c r="V208" s="344"/>
      <c r="W208" s="475"/>
    </row>
    <row r="209" spans="2:23" ht="26.4" x14ac:dyDescent="0.25">
      <c r="B209" s="375"/>
      <c r="C209" s="351"/>
      <c r="D209" s="361"/>
      <c r="E209" s="77" t="s">
        <v>275</v>
      </c>
      <c r="F209" s="364"/>
      <c r="G209" s="82">
        <f>'SQ_Auditoreingaben '!G204</f>
        <v>10</v>
      </c>
      <c r="H209" s="364"/>
      <c r="I209" s="69"/>
      <c r="J209" s="18">
        <v>10</v>
      </c>
      <c r="K209" s="364"/>
      <c r="L209" s="80"/>
      <c r="M209" s="570"/>
      <c r="N209" s="570"/>
      <c r="O209" s="570"/>
      <c r="P209" s="571"/>
      <c r="R209" s="18">
        <f t="shared" si="2"/>
        <v>0</v>
      </c>
      <c r="S209" s="338"/>
      <c r="T209" s="344"/>
      <c r="U209" s="344"/>
      <c r="V209" s="344"/>
      <c r="W209" s="475"/>
    </row>
    <row r="210" spans="2:23" ht="31.2" x14ac:dyDescent="0.25">
      <c r="B210" s="375"/>
      <c r="C210" s="351"/>
      <c r="D210" s="361"/>
      <c r="E210" s="77" t="s">
        <v>274</v>
      </c>
      <c r="F210" s="364"/>
      <c r="G210" s="82" t="e">
        <f>'SQ_Auditoreingaben '!#REF!</f>
        <v>#REF!</v>
      </c>
      <c r="H210" s="364"/>
      <c r="I210" s="69"/>
      <c r="J210" s="18">
        <v>10</v>
      </c>
      <c r="K210" s="364"/>
      <c r="L210" s="80"/>
      <c r="M210" s="570"/>
      <c r="N210" s="570"/>
      <c r="O210" s="570"/>
      <c r="P210" s="571"/>
      <c r="R210" s="18">
        <f t="shared" si="2"/>
        <v>0</v>
      </c>
      <c r="S210" s="338"/>
      <c r="T210" s="344"/>
      <c r="U210" s="344"/>
      <c r="V210" s="344"/>
      <c r="W210" s="475"/>
    </row>
    <row r="211" spans="2:23" ht="26.4" x14ac:dyDescent="0.25">
      <c r="B211" s="375"/>
      <c r="C211" s="351"/>
      <c r="D211" s="361" t="s">
        <v>181</v>
      </c>
      <c r="E211" s="87" t="s">
        <v>276</v>
      </c>
      <c r="F211" s="364"/>
      <c r="G211" s="113"/>
      <c r="H211" s="364"/>
      <c r="I211" s="113"/>
      <c r="J211" s="21">
        <v>10</v>
      </c>
      <c r="K211" s="364"/>
      <c r="L211" s="80"/>
      <c r="M211" s="570"/>
      <c r="N211" s="570"/>
      <c r="O211" s="570"/>
      <c r="P211" s="571"/>
      <c r="R211" s="18">
        <f t="shared" si="2"/>
        <v>0</v>
      </c>
      <c r="S211" s="338"/>
      <c r="T211" s="344"/>
      <c r="U211" s="344"/>
      <c r="V211" s="344"/>
      <c r="W211" s="475"/>
    </row>
    <row r="212" spans="2:23" ht="26.4" x14ac:dyDescent="0.25">
      <c r="B212" s="375"/>
      <c r="C212" s="351"/>
      <c r="D212" s="361"/>
      <c r="E212" s="77" t="s">
        <v>277</v>
      </c>
      <c r="F212" s="364"/>
      <c r="G212" s="82">
        <f>'SQ_Auditoreingaben '!G206</f>
        <v>0</v>
      </c>
      <c r="H212" s="364"/>
      <c r="I212" s="69"/>
      <c r="J212" s="18">
        <v>3</v>
      </c>
      <c r="K212" s="364"/>
      <c r="L212" s="80"/>
      <c r="M212" s="570"/>
      <c r="N212" s="570"/>
      <c r="O212" s="570"/>
      <c r="P212" s="571"/>
      <c r="R212" s="18">
        <f t="shared" si="2"/>
        <v>0</v>
      </c>
      <c r="S212" s="338"/>
      <c r="T212" s="344"/>
      <c r="U212" s="344"/>
      <c r="V212" s="344"/>
      <c r="W212" s="475"/>
    </row>
    <row r="213" spans="2:23" ht="66" x14ac:dyDescent="0.25">
      <c r="B213" s="375"/>
      <c r="C213" s="351"/>
      <c r="D213" s="361"/>
      <c r="E213" s="77" t="s">
        <v>717</v>
      </c>
      <c r="F213" s="364"/>
      <c r="G213" s="82">
        <f>'SQ_Auditoreingaben '!G207</f>
        <v>0</v>
      </c>
      <c r="H213" s="364"/>
      <c r="I213" s="69"/>
      <c r="J213" s="18">
        <v>7</v>
      </c>
      <c r="K213" s="364"/>
      <c r="L213" s="80"/>
      <c r="M213" s="570"/>
      <c r="N213" s="570"/>
      <c r="O213" s="570"/>
      <c r="P213" s="571"/>
      <c r="R213" s="18">
        <f t="shared" si="2"/>
        <v>0</v>
      </c>
      <c r="S213" s="338"/>
      <c r="T213" s="344"/>
      <c r="U213" s="344"/>
      <c r="V213" s="344"/>
      <c r="W213" s="475"/>
    </row>
    <row r="214" spans="2:23" x14ac:dyDescent="0.25">
      <c r="B214" s="375"/>
      <c r="C214" s="351" t="s">
        <v>61</v>
      </c>
      <c r="D214" s="354" t="s">
        <v>278</v>
      </c>
      <c r="E214" s="354"/>
      <c r="F214" s="364"/>
      <c r="G214" s="113"/>
      <c r="H214" s="364"/>
      <c r="I214" s="113"/>
      <c r="J214" s="21">
        <v>30</v>
      </c>
      <c r="K214" s="364"/>
      <c r="L214" s="80"/>
      <c r="M214" s="570"/>
      <c r="N214" s="570"/>
      <c r="O214" s="570"/>
      <c r="P214" s="571"/>
      <c r="R214" s="18">
        <f t="shared" si="2"/>
        <v>0</v>
      </c>
      <c r="S214" s="338"/>
      <c r="T214" s="344"/>
      <c r="U214" s="344"/>
      <c r="V214" s="344"/>
      <c r="W214" s="475"/>
    </row>
    <row r="215" spans="2:23" ht="39.6" x14ac:dyDescent="0.25">
      <c r="B215" s="375"/>
      <c r="C215" s="351"/>
      <c r="D215" s="71" t="s">
        <v>63</v>
      </c>
      <c r="E215" s="77" t="s">
        <v>279</v>
      </c>
      <c r="F215" s="364"/>
      <c r="G215" s="82">
        <f>'SQ_Auditoreingaben '!G209</f>
        <v>15</v>
      </c>
      <c r="H215" s="364"/>
      <c r="I215" s="69"/>
      <c r="J215" s="18">
        <v>30</v>
      </c>
      <c r="K215" s="364"/>
      <c r="L215" s="80"/>
      <c r="M215" s="570"/>
      <c r="N215" s="570"/>
      <c r="O215" s="570"/>
      <c r="P215" s="571"/>
      <c r="R215" s="18">
        <f t="shared" si="2"/>
        <v>0</v>
      </c>
      <c r="S215" s="338"/>
      <c r="T215" s="344"/>
      <c r="U215" s="344"/>
      <c r="V215" s="344"/>
      <c r="W215" s="475"/>
    </row>
    <row r="216" spans="2:23" x14ac:dyDescent="0.25">
      <c r="B216" s="375"/>
      <c r="C216" s="351" t="s">
        <v>64</v>
      </c>
      <c r="D216" s="354" t="s">
        <v>280</v>
      </c>
      <c r="E216" s="354"/>
      <c r="F216" s="364"/>
      <c r="G216" s="113"/>
      <c r="H216" s="364"/>
      <c r="I216" s="113"/>
      <c r="J216" s="21">
        <v>10</v>
      </c>
      <c r="K216" s="364"/>
      <c r="L216" s="80"/>
      <c r="M216" s="570"/>
      <c r="N216" s="570"/>
      <c r="O216" s="570"/>
      <c r="P216" s="571"/>
      <c r="R216" s="18">
        <f t="shared" si="2"/>
        <v>0</v>
      </c>
      <c r="S216" s="338"/>
      <c r="T216" s="344"/>
      <c r="U216" s="344"/>
      <c r="V216" s="344"/>
      <c r="W216" s="475"/>
    </row>
    <row r="217" spans="2:23" ht="26.4" x14ac:dyDescent="0.25">
      <c r="B217" s="375"/>
      <c r="C217" s="351"/>
      <c r="D217" s="71" t="s">
        <v>66</v>
      </c>
      <c r="E217" s="77" t="s">
        <v>281</v>
      </c>
      <c r="F217" s="364"/>
      <c r="G217" s="82">
        <f>'SQ_Auditoreingaben '!G211</f>
        <v>10</v>
      </c>
      <c r="H217" s="364"/>
      <c r="I217" s="69"/>
      <c r="J217" s="18">
        <v>10</v>
      </c>
      <c r="K217" s="364"/>
      <c r="L217" s="80"/>
      <c r="M217" s="570"/>
      <c r="N217" s="570"/>
      <c r="O217" s="570"/>
      <c r="P217" s="571"/>
      <c r="R217" s="18">
        <f t="shared" si="2"/>
        <v>0</v>
      </c>
      <c r="S217" s="338"/>
      <c r="T217" s="344"/>
      <c r="U217" s="344"/>
      <c r="V217" s="344"/>
      <c r="W217" s="475"/>
    </row>
    <row r="218" spans="2:23" ht="26.1" customHeight="1" x14ac:dyDescent="0.25">
      <c r="B218" s="375"/>
      <c r="C218" s="351" t="s">
        <v>282</v>
      </c>
      <c r="D218" s="579" t="s">
        <v>283</v>
      </c>
      <c r="E218" s="579"/>
      <c r="F218" s="364"/>
      <c r="G218" s="113"/>
      <c r="H218" s="364"/>
      <c r="I218" s="113"/>
      <c r="J218" s="21">
        <v>37.5</v>
      </c>
      <c r="K218" s="364"/>
      <c r="L218" s="80"/>
      <c r="M218" s="570"/>
      <c r="N218" s="570"/>
      <c r="O218" s="570"/>
      <c r="P218" s="571"/>
      <c r="R218" s="18">
        <f t="shared" ref="R218:R281" si="3">IF(I218&gt;J218,J218,I218)</f>
        <v>0</v>
      </c>
      <c r="S218" s="338"/>
      <c r="T218" s="344"/>
      <c r="U218" s="344"/>
      <c r="V218" s="344"/>
      <c r="W218" s="475"/>
    </row>
    <row r="219" spans="2:23" ht="92.4" x14ac:dyDescent="0.25">
      <c r="B219" s="375"/>
      <c r="C219" s="351"/>
      <c r="D219" s="71" t="s">
        <v>284</v>
      </c>
      <c r="E219" s="77" t="s">
        <v>650</v>
      </c>
      <c r="F219" s="364"/>
      <c r="G219" s="82">
        <f>'SQ_Auditoreingaben '!G215</f>
        <v>0</v>
      </c>
      <c r="H219" s="364"/>
      <c r="I219" s="69"/>
      <c r="J219" s="18">
        <v>37.5</v>
      </c>
      <c r="K219" s="364"/>
      <c r="L219" s="80"/>
      <c r="M219" s="570"/>
      <c r="N219" s="570"/>
      <c r="O219" s="570"/>
      <c r="P219" s="571"/>
      <c r="R219" s="18">
        <f t="shared" si="3"/>
        <v>0</v>
      </c>
      <c r="S219" s="338"/>
      <c r="T219" s="344"/>
      <c r="U219" s="344"/>
      <c r="V219" s="344"/>
      <c r="W219" s="475"/>
    </row>
    <row r="220" spans="2:23" x14ac:dyDescent="0.25">
      <c r="B220" s="375"/>
      <c r="C220" s="351" t="s">
        <v>285</v>
      </c>
      <c r="D220" s="354" t="s">
        <v>286</v>
      </c>
      <c r="E220" s="354"/>
      <c r="F220" s="364"/>
      <c r="G220" s="356"/>
      <c r="H220" s="364"/>
      <c r="I220" s="356"/>
      <c r="J220" s="21">
        <v>30</v>
      </c>
      <c r="K220" s="364"/>
      <c r="L220" s="80"/>
      <c r="M220" s="570"/>
      <c r="N220" s="570"/>
      <c r="O220" s="570"/>
      <c r="P220" s="571"/>
      <c r="R220" s="18">
        <f t="shared" si="3"/>
        <v>0</v>
      </c>
      <c r="S220" s="338"/>
      <c r="T220" s="344"/>
      <c r="U220" s="344"/>
      <c r="V220" s="344"/>
      <c r="W220" s="475"/>
    </row>
    <row r="221" spans="2:23" x14ac:dyDescent="0.25">
      <c r="B221" s="375"/>
      <c r="C221" s="351"/>
      <c r="D221" s="361" t="s">
        <v>287</v>
      </c>
      <c r="E221" s="87" t="s">
        <v>286</v>
      </c>
      <c r="F221" s="364"/>
      <c r="G221" s="356"/>
      <c r="H221" s="364"/>
      <c r="I221" s="356"/>
      <c r="J221" s="21">
        <v>30</v>
      </c>
      <c r="K221" s="364"/>
      <c r="L221" s="80"/>
      <c r="M221" s="570"/>
      <c r="N221" s="570"/>
      <c r="O221" s="570"/>
      <c r="P221" s="571"/>
      <c r="R221" s="18">
        <f t="shared" si="3"/>
        <v>0</v>
      </c>
      <c r="S221" s="338"/>
      <c r="T221" s="344"/>
      <c r="U221" s="344"/>
      <c r="V221" s="344"/>
      <c r="W221" s="475"/>
    </row>
    <row r="222" spans="2:23" ht="66" x14ac:dyDescent="0.25">
      <c r="B222" s="375"/>
      <c r="C222" s="351"/>
      <c r="D222" s="361"/>
      <c r="E222" s="77" t="s">
        <v>288</v>
      </c>
      <c r="F222" s="364"/>
      <c r="G222" s="82">
        <f>'SQ_Auditoreingaben '!G218</f>
        <v>8</v>
      </c>
      <c r="H222" s="364"/>
      <c r="I222" s="69"/>
      <c r="J222" s="18">
        <v>8</v>
      </c>
      <c r="K222" s="364"/>
      <c r="L222" s="80"/>
      <c r="M222" s="570"/>
      <c r="N222" s="570"/>
      <c r="O222" s="570"/>
      <c r="P222" s="571"/>
      <c r="R222" s="18">
        <f t="shared" si="3"/>
        <v>0</v>
      </c>
      <c r="S222" s="338"/>
      <c r="T222" s="344"/>
      <c r="U222" s="344"/>
      <c r="V222" s="344"/>
      <c r="W222" s="475"/>
    </row>
    <row r="223" spans="2:23" ht="39.6" x14ac:dyDescent="0.25">
      <c r="B223" s="375"/>
      <c r="C223" s="351"/>
      <c r="D223" s="361"/>
      <c r="E223" s="77" t="s">
        <v>289</v>
      </c>
      <c r="F223" s="364"/>
      <c r="G223" s="82">
        <f>'SQ_Auditoreingaben '!G219</f>
        <v>8</v>
      </c>
      <c r="H223" s="364"/>
      <c r="I223" s="69"/>
      <c r="J223" s="18">
        <v>8</v>
      </c>
      <c r="K223" s="364"/>
      <c r="L223" s="80"/>
      <c r="M223" s="570"/>
      <c r="N223" s="570"/>
      <c r="O223" s="570"/>
      <c r="P223" s="571"/>
      <c r="R223" s="18">
        <f t="shared" si="3"/>
        <v>0</v>
      </c>
      <c r="S223" s="338"/>
      <c r="T223" s="344"/>
      <c r="U223" s="344"/>
      <c r="V223" s="344"/>
      <c r="W223" s="475"/>
    </row>
    <row r="224" spans="2:23" ht="39.6" x14ac:dyDescent="0.25">
      <c r="B224" s="375"/>
      <c r="C224" s="351"/>
      <c r="D224" s="361"/>
      <c r="E224" s="77" t="s">
        <v>290</v>
      </c>
      <c r="F224" s="364"/>
      <c r="G224" s="82">
        <f>'SQ_Auditoreingaben '!G220</f>
        <v>8</v>
      </c>
      <c r="H224" s="364"/>
      <c r="I224" s="69"/>
      <c r="J224" s="18">
        <v>8</v>
      </c>
      <c r="K224" s="364"/>
      <c r="L224" s="80"/>
      <c r="M224" s="570"/>
      <c r="N224" s="570"/>
      <c r="O224" s="570"/>
      <c r="P224" s="571"/>
      <c r="R224" s="18">
        <f t="shared" si="3"/>
        <v>0</v>
      </c>
      <c r="S224" s="338"/>
      <c r="T224" s="344"/>
      <c r="U224" s="344"/>
      <c r="V224" s="344"/>
      <c r="W224" s="475"/>
    </row>
    <row r="225" spans="2:23" ht="26.4" x14ac:dyDescent="0.25">
      <c r="B225" s="375"/>
      <c r="C225" s="351"/>
      <c r="D225" s="361"/>
      <c r="E225" s="77" t="s">
        <v>291</v>
      </c>
      <c r="F225" s="364"/>
      <c r="G225" s="82">
        <f>'SQ_Auditoreingaben '!G221</f>
        <v>6</v>
      </c>
      <c r="H225" s="364"/>
      <c r="I225" s="69"/>
      <c r="J225" s="18">
        <v>6</v>
      </c>
      <c r="K225" s="364"/>
      <c r="L225" s="80"/>
      <c r="M225" s="570"/>
      <c r="N225" s="570"/>
      <c r="O225" s="570"/>
      <c r="P225" s="571"/>
      <c r="R225" s="18">
        <f t="shared" si="3"/>
        <v>0</v>
      </c>
      <c r="S225" s="338"/>
      <c r="T225" s="344"/>
      <c r="U225" s="344"/>
      <c r="V225" s="344"/>
      <c r="W225" s="475"/>
    </row>
    <row r="226" spans="2:23" x14ac:dyDescent="0.25">
      <c r="B226" s="55" t="s">
        <v>294</v>
      </c>
      <c r="C226" s="354" t="s">
        <v>295</v>
      </c>
      <c r="D226" s="354"/>
      <c r="E226" s="354"/>
      <c r="F226" s="78">
        <f>'SQ_Auditoreingaben '!F222</f>
        <v>82</v>
      </c>
      <c r="G226" s="364"/>
      <c r="H226" s="79">
        <f>S226</f>
        <v>0</v>
      </c>
      <c r="I226" s="364"/>
      <c r="J226" s="21">
        <v>100</v>
      </c>
      <c r="K226" s="21">
        <v>2</v>
      </c>
      <c r="L226" s="80"/>
      <c r="M226" s="570"/>
      <c r="N226" s="570"/>
      <c r="O226" s="570"/>
      <c r="P226" s="571"/>
      <c r="R226" s="18">
        <f t="shared" si="3"/>
        <v>0</v>
      </c>
      <c r="S226" s="337">
        <f>SUM(R228,IF(SUM(R231:R238)&gt;30,30,SUM(R231:R238)),IF(SUM(R241:R251)&gt;15,15,SUM(R241:R251)),IF(SUM(R254:R261)&gt;10,10,SUM(R254:R261)),IF(SUM(R264:R268)&gt;8,8,SUM(R264:R268)),IF(R271+R272+R273&gt;4,4,R271+R272+R273),R276,R277)</f>
        <v>0</v>
      </c>
      <c r="T226" s="343">
        <f>S226/100</f>
        <v>0</v>
      </c>
      <c r="U226" s="344"/>
      <c r="V226" s="344"/>
      <c r="W226" s="475"/>
    </row>
    <row r="227" spans="2:23" x14ac:dyDescent="0.25">
      <c r="B227" s="375"/>
      <c r="C227" s="574" t="s">
        <v>54</v>
      </c>
      <c r="D227" s="354" t="s">
        <v>296</v>
      </c>
      <c r="E227" s="354"/>
      <c r="F227" s="576"/>
      <c r="G227" s="364"/>
      <c r="H227" s="576"/>
      <c r="I227" s="364"/>
      <c r="J227" s="21">
        <v>30</v>
      </c>
      <c r="K227" s="364"/>
      <c r="L227" s="80"/>
      <c r="M227" s="570"/>
      <c r="N227" s="570"/>
      <c r="O227" s="570"/>
      <c r="P227" s="571"/>
      <c r="R227" s="18">
        <f t="shared" si="3"/>
        <v>0</v>
      </c>
      <c r="S227" s="338"/>
      <c r="T227" s="344"/>
      <c r="U227" s="344"/>
      <c r="V227" s="344"/>
      <c r="W227" s="475"/>
    </row>
    <row r="228" spans="2:23" ht="26.4" x14ac:dyDescent="0.25">
      <c r="B228" s="375"/>
      <c r="C228" s="574"/>
      <c r="D228" s="71" t="s">
        <v>58</v>
      </c>
      <c r="E228" s="77" t="s">
        <v>297</v>
      </c>
      <c r="F228" s="576"/>
      <c r="G228" s="82">
        <f>'SQ_Auditoreingaben '!G224</f>
        <v>25</v>
      </c>
      <c r="H228" s="576"/>
      <c r="I228" s="69"/>
      <c r="J228" s="18">
        <v>30</v>
      </c>
      <c r="K228" s="364"/>
      <c r="L228" s="80"/>
      <c r="M228" s="570"/>
      <c r="N228" s="570"/>
      <c r="O228" s="570"/>
      <c r="P228" s="571"/>
      <c r="R228" s="18">
        <f t="shared" si="3"/>
        <v>0</v>
      </c>
      <c r="S228" s="338"/>
      <c r="T228" s="344"/>
      <c r="U228" s="344"/>
      <c r="V228" s="344"/>
      <c r="W228" s="475"/>
    </row>
    <row r="229" spans="2:23" x14ac:dyDescent="0.25">
      <c r="B229" s="375"/>
      <c r="C229" s="351" t="s">
        <v>61</v>
      </c>
      <c r="D229" s="354" t="s">
        <v>298</v>
      </c>
      <c r="E229" s="354"/>
      <c r="F229" s="576"/>
      <c r="G229" s="356"/>
      <c r="H229" s="576"/>
      <c r="I229" s="356"/>
      <c r="J229" s="21">
        <v>30</v>
      </c>
      <c r="K229" s="364"/>
      <c r="L229" s="80"/>
      <c r="M229" s="570"/>
      <c r="N229" s="570"/>
      <c r="O229" s="570"/>
      <c r="P229" s="571"/>
      <c r="R229" s="18">
        <f t="shared" si="3"/>
        <v>0</v>
      </c>
      <c r="S229" s="338"/>
      <c r="T229" s="344"/>
      <c r="U229" s="344"/>
      <c r="V229" s="344"/>
      <c r="W229" s="475"/>
    </row>
    <row r="230" spans="2:23" x14ac:dyDescent="0.25">
      <c r="B230" s="375"/>
      <c r="C230" s="351"/>
      <c r="D230" s="361" t="s">
        <v>63</v>
      </c>
      <c r="E230" s="87" t="s">
        <v>299</v>
      </c>
      <c r="F230" s="576"/>
      <c r="G230" s="356"/>
      <c r="H230" s="576"/>
      <c r="I230" s="356"/>
      <c r="J230" s="21">
        <v>30</v>
      </c>
      <c r="K230" s="364"/>
      <c r="L230" s="80"/>
      <c r="M230" s="570"/>
      <c r="N230" s="570"/>
      <c r="O230" s="570"/>
      <c r="P230" s="571"/>
      <c r="R230" s="18">
        <f t="shared" si="3"/>
        <v>0</v>
      </c>
      <c r="S230" s="338"/>
      <c r="T230" s="344"/>
      <c r="U230" s="344"/>
      <c r="V230" s="344"/>
      <c r="W230" s="475"/>
    </row>
    <row r="231" spans="2:23" ht="39.6" x14ac:dyDescent="0.25">
      <c r="B231" s="375"/>
      <c r="C231" s="351"/>
      <c r="D231" s="361"/>
      <c r="E231" s="77" t="s">
        <v>300</v>
      </c>
      <c r="F231" s="576"/>
      <c r="G231" s="82">
        <f>'SQ_Auditoreingaben '!G227</f>
        <v>2.5</v>
      </c>
      <c r="H231" s="576"/>
      <c r="I231" s="69"/>
      <c r="J231" s="18">
        <v>5</v>
      </c>
      <c r="K231" s="364"/>
      <c r="L231" s="80"/>
      <c r="M231" s="570"/>
      <c r="N231" s="570"/>
      <c r="O231" s="570"/>
      <c r="P231" s="571"/>
      <c r="R231" s="18">
        <f t="shared" si="3"/>
        <v>0</v>
      </c>
      <c r="S231" s="338"/>
      <c r="T231" s="344"/>
      <c r="U231" s="344"/>
      <c r="V231" s="344"/>
      <c r="W231" s="475"/>
    </row>
    <row r="232" spans="2:23" ht="26.4" x14ac:dyDescent="0.25">
      <c r="B232" s="375"/>
      <c r="C232" s="351"/>
      <c r="D232" s="361"/>
      <c r="E232" s="77" t="s">
        <v>301</v>
      </c>
      <c r="F232" s="576"/>
      <c r="G232" s="82">
        <f>'SQ_Auditoreingaben '!G228</f>
        <v>2.5</v>
      </c>
      <c r="H232" s="576"/>
      <c r="I232" s="69"/>
      <c r="J232" s="18">
        <v>5</v>
      </c>
      <c r="K232" s="364"/>
      <c r="L232" s="80"/>
      <c r="M232" s="570"/>
      <c r="N232" s="570"/>
      <c r="O232" s="570"/>
      <c r="P232" s="571"/>
      <c r="R232" s="18">
        <f t="shared" si="3"/>
        <v>0</v>
      </c>
      <c r="S232" s="338"/>
      <c r="T232" s="344"/>
      <c r="U232" s="344"/>
      <c r="V232" s="344"/>
      <c r="W232" s="475"/>
    </row>
    <row r="233" spans="2:23" ht="39.6" x14ac:dyDescent="0.25">
      <c r="B233" s="375"/>
      <c r="C233" s="351"/>
      <c r="D233" s="361"/>
      <c r="E233" s="77" t="s">
        <v>302</v>
      </c>
      <c r="F233" s="576"/>
      <c r="G233" s="82">
        <f>'SQ_Auditoreingaben '!G229</f>
        <v>4</v>
      </c>
      <c r="H233" s="576"/>
      <c r="I233" s="69"/>
      <c r="J233" s="18">
        <v>5</v>
      </c>
      <c r="K233" s="364"/>
      <c r="L233" s="80"/>
      <c r="M233" s="570"/>
      <c r="N233" s="570"/>
      <c r="O233" s="570"/>
      <c r="P233" s="571"/>
      <c r="R233" s="18">
        <f t="shared" si="3"/>
        <v>0</v>
      </c>
      <c r="S233" s="338"/>
      <c r="T233" s="344"/>
      <c r="U233" s="344"/>
      <c r="V233" s="344"/>
      <c r="W233" s="475"/>
    </row>
    <row r="234" spans="2:23" ht="39.6" x14ac:dyDescent="0.25">
      <c r="B234" s="375"/>
      <c r="C234" s="351"/>
      <c r="D234" s="361"/>
      <c r="E234" s="77" t="s">
        <v>303</v>
      </c>
      <c r="F234" s="576"/>
      <c r="G234" s="82">
        <f>'SQ_Auditoreingaben '!G230</f>
        <v>3.5</v>
      </c>
      <c r="H234" s="576"/>
      <c r="I234" s="69"/>
      <c r="J234" s="18">
        <v>5</v>
      </c>
      <c r="K234" s="364"/>
      <c r="L234" s="80"/>
      <c r="M234" s="570"/>
      <c r="N234" s="570"/>
      <c r="O234" s="570"/>
      <c r="P234" s="571"/>
      <c r="R234" s="18">
        <f t="shared" si="3"/>
        <v>0</v>
      </c>
      <c r="S234" s="338"/>
      <c r="T234" s="344"/>
      <c r="U234" s="344"/>
      <c r="V234" s="344"/>
      <c r="W234" s="475"/>
    </row>
    <row r="235" spans="2:23" ht="39.6" x14ac:dyDescent="0.25">
      <c r="B235" s="375"/>
      <c r="C235" s="351"/>
      <c r="D235" s="361"/>
      <c r="E235" s="77" t="s">
        <v>304</v>
      </c>
      <c r="F235" s="576"/>
      <c r="G235" s="82">
        <f>'SQ_Auditoreingaben '!G231</f>
        <v>2.5</v>
      </c>
      <c r="H235" s="576"/>
      <c r="I235" s="69"/>
      <c r="J235" s="18">
        <v>5</v>
      </c>
      <c r="K235" s="364"/>
      <c r="L235" s="80"/>
      <c r="M235" s="570"/>
      <c r="N235" s="570"/>
      <c r="O235" s="570"/>
      <c r="P235" s="571"/>
      <c r="R235" s="18">
        <f t="shared" si="3"/>
        <v>0</v>
      </c>
      <c r="S235" s="338"/>
      <c r="T235" s="344"/>
      <c r="U235" s="344"/>
      <c r="V235" s="344"/>
      <c r="W235" s="475"/>
    </row>
    <row r="236" spans="2:23" ht="26.4" x14ac:dyDescent="0.25">
      <c r="B236" s="375"/>
      <c r="C236" s="351"/>
      <c r="D236" s="361"/>
      <c r="E236" s="77" t="s">
        <v>305</v>
      </c>
      <c r="F236" s="576"/>
      <c r="G236" s="82">
        <f>'SQ_Auditoreingaben '!G232</f>
        <v>2.5</v>
      </c>
      <c r="H236" s="576"/>
      <c r="I236" s="69"/>
      <c r="J236" s="18">
        <v>5</v>
      </c>
      <c r="K236" s="364"/>
      <c r="L236" s="80"/>
      <c r="M236" s="570"/>
      <c r="N236" s="570"/>
      <c r="O236" s="570"/>
      <c r="P236" s="571"/>
      <c r="R236" s="18">
        <f t="shared" si="3"/>
        <v>0</v>
      </c>
      <c r="S236" s="338"/>
      <c r="T236" s="344"/>
      <c r="U236" s="344"/>
      <c r="V236" s="344"/>
      <c r="W236" s="475"/>
    </row>
    <row r="237" spans="2:23" ht="26.4" x14ac:dyDescent="0.25">
      <c r="B237" s="375"/>
      <c r="C237" s="351"/>
      <c r="D237" s="361"/>
      <c r="E237" s="77" t="s">
        <v>718</v>
      </c>
      <c r="F237" s="576"/>
      <c r="G237" s="82">
        <f>'SQ_Auditoreingaben '!G233</f>
        <v>2.5</v>
      </c>
      <c r="H237" s="576"/>
      <c r="I237" s="69"/>
      <c r="J237" s="18">
        <v>5</v>
      </c>
      <c r="K237" s="364"/>
      <c r="L237" s="80"/>
      <c r="M237" s="570"/>
      <c r="N237" s="570"/>
      <c r="O237" s="570"/>
      <c r="P237" s="571"/>
      <c r="R237" s="18">
        <f t="shared" si="3"/>
        <v>0</v>
      </c>
      <c r="S237" s="338"/>
      <c r="T237" s="344"/>
      <c r="U237" s="344"/>
      <c r="V237" s="344"/>
      <c r="W237" s="475"/>
    </row>
    <row r="238" spans="2:23" ht="39.6" x14ac:dyDescent="0.25">
      <c r="B238" s="375"/>
      <c r="C238" s="351"/>
      <c r="D238" s="361"/>
      <c r="E238" s="77" t="s">
        <v>306</v>
      </c>
      <c r="F238" s="576"/>
      <c r="G238" s="82" t="e">
        <f>'SQ_Auditoreingaben '!#REF!</f>
        <v>#REF!</v>
      </c>
      <c r="H238" s="576"/>
      <c r="I238" s="69"/>
      <c r="J238" s="18">
        <v>5</v>
      </c>
      <c r="K238" s="364"/>
      <c r="L238" s="80"/>
      <c r="M238" s="570"/>
      <c r="N238" s="570"/>
      <c r="O238" s="570"/>
      <c r="P238" s="571"/>
      <c r="R238" s="18">
        <f t="shared" si="3"/>
        <v>0</v>
      </c>
      <c r="S238" s="338"/>
      <c r="T238" s="344"/>
      <c r="U238" s="344"/>
      <c r="V238" s="344"/>
      <c r="W238" s="475"/>
    </row>
    <row r="239" spans="2:23" x14ac:dyDescent="0.25">
      <c r="B239" s="375"/>
      <c r="C239" s="351" t="s">
        <v>64</v>
      </c>
      <c r="D239" s="354" t="s">
        <v>307</v>
      </c>
      <c r="E239" s="354"/>
      <c r="F239" s="576"/>
      <c r="G239" s="356"/>
      <c r="H239" s="576"/>
      <c r="I239" s="356"/>
      <c r="J239" s="21">
        <v>15</v>
      </c>
      <c r="K239" s="364"/>
      <c r="L239" s="80"/>
      <c r="M239" s="570"/>
      <c r="N239" s="570"/>
      <c r="O239" s="570"/>
      <c r="P239" s="571"/>
      <c r="R239" s="18">
        <f t="shared" si="3"/>
        <v>0</v>
      </c>
      <c r="S239" s="338"/>
      <c r="T239" s="344"/>
      <c r="U239" s="344"/>
      <c r="V239" s="344"/>
      <c r="W239" s="475"/>
    </row>
    <row r="240" spans="2:23" x14ac:dyDescent="0.25">
      <c r="B240" s="375"/>
      <c r="C240" s="351"/>
      <c r="D240" s="361" t="s">
        <v>66</v>
      </c>
      <c r="E240" s="87" t="s">
        <v>308</v>
      </c>
      <c r="F240" s="576"/>
      <c r="G240" s="356"/>
      <c r="H240" s="576"/>
      <c r="I240" s="356"/>
      <c r="J240" s="21">
        <v>15</v>
      </c>
      <c r="K240" s="364"/>
      <c r="L240" s="80"/>
      <c r="M240" s="570"/>
      <c r="N240" s="570"/>
      <c r="O240" s="570"/>
      <c r="P240" s="571"/>
      <c r="R240" s="18">
        <f t="shared" si="3"/>
        <v>0</v>
      </c>
      <c r="S240" s="338"/>
      <c r="T240" s="344"/>
      <c r="U240" s="344"/>
      <c r="V240" s="344"/>
      <c r="W240" s="475"/>
    </row>
    <row r="241" spans="2:23" ht="52.8" x14ac:dyDescent="0.25">
      <c r="B241" s="375"/>
      <c r="C241" s="351"/>
      <c r="D241" s="361"/>
      <c r="E241" s="77" t="s">
        <v>309</v>
      </c>
      <c r="F241" s="576"/>
      <c r="G241" s="82">
        <f>'SQ_Auditoreingaben '!G236</f>
        <v>2</v>
      </c>
      <c r="H241" s="576"/>
      <c r="I241" s="69"/>
      <c r="J241" s="18">
        <v>2</v>
      </c>
      <c r="K241" s="364"/>
      <c r="L241" s="80"/>
      <c r="M241" s="570"/>
      <c r="N241" s="570"/>
      <c r="O241" s="570"/>
      <c r="P241" s="571"/>
      <c r="R241" s="18">
        <f t="shared" si="3"/>
        <v>0</v>
      </c>
      <c r="S241" s="338"/>
      <c r="T241" s="344"/>
      <c r="U241" s="344"/>
      <c r="V241" s="344"/>
      <c r="W241" s="475"/>
    </row>
    <row r="242" spans="2:23" ht="39.6" x14ac:dyDescent="0.25">
      <c r="B242" s="375"/>
      <c r="C242" s="351"/>
      <c r="D242" s="361"/>
      <c r="E242" s="77" t="s">
        <v>310</v>
      </c>
      <c r="F242" s="576"/>
      <c r="G242" s="82">
        <f>'SQ_Auditoreingaben '!G237</f>
        <v>2</v>
      </c>
      <c r="H242" s="576"/>
      <c r="I242" s="69"/>
      <c r="J242" s="18">
        <v>2</v>
      </c>
      <c r="K242" s="364"/>
      <c r="L242" s="80"/>
      <c r="M242" s="570"/>
      <c r="N242" s="570"/>
      <c r="O242" s="570"/>
      <c r="P242" s="571"/>
      <c r="R242" s="18">
        <f t="shared" si="3"/>
        <v>0</v>
      </c>
      <c r="S242" s="338"/>
      <c r="T242" s="344"/>
      <c r="U242" s="344"/>
      <c r="V242" s="344"/>
      <c r="W242" s="475"/>
    </row>
    <row r="243" spans="2:23" ht="39.6" x14ac:dyDescent="0.25">
      <c r="B243" s="375"/>
      <c r="C243" s="351"/>
      <c r="D243" s="361"/>
      <c r="E243" s="77" t="s">
        <v>311</v>
      </c>
      <c r="F243" s="576"/>
      <c r="G243" s="82">
        <f>'SQ_Auditoreingaben '!G238</f>
        <v>2</v>
      </c>
      <c r="H243" s="576"/>
      <c r="I243" s="69"/>
      <c r="J243" s="18">
        <v>2</v>
      </c>
      <c r="K243" s="364"/>
      <c r="L243" s="80"/>
      <c r="M243" s="570"/>
      <c r="N243" s="570"/>
      <c r="O243" s="570"/>
      <c r="P243" s="571"/>
      <c r="R243" s="18">
        <f t="shared" si="3"/>
        <v>0</v>
      </c>
      <c r="S243" s="338"/>
      <c r="T243" s="344"/>
      <c r="U243" s="344"/>
      <c r="V243" s="344"/>
      <c r="W243" s="475"/>
    </row>
    <row r="244" spans="2:23" ht="52.8" x14ac:dyDescent="0.25">
      <c r="B244" s="375"/>
      <c r="C244" s="351"/>
      <c r="D244" s="361"/>
      <c r="E244" s="77" t="s">
        <v>312</v>
      </c>
      <c r="F244" s="576"/>
      <c r="G244" s="82">
        <f>'SQ_Auditoreingaben '!G239</f>
        <v>2</v>
      </c>
      <c r="H244" s="576"/>
      <c r="I244" s="69"/>
      <c r="J244" s="18">
        <v>2</v>
      </c>
      <c r="K244" s="364"/>
      <c r="L244" s="80"/>
      <c r="M244" s="570"/>
      <c r="N244" s="570"/>
      <c r="O244" s="570"/>
      <c r="P244" s="571"/>
      <c r="R244" s="18">
        <f t="shared" si="3"/>
        <v>0</v>
      </c>
      <c r="S244" s="338"/>
      <c r="T244" s="344"/>
      <c r="U244" s="344"/>
      <c r="V244" s="344"/>
      <c r="W244" s="475"/>
    </row>
    <row r="245" spans="2:23" ht="39.6" x14ac:dyDescent="0.25">
      <c r="B245" s="375"/>
      <c r="C245" s="351"/>
      <c r="D245" s="361"/>
      <c r="E245" s="77" t="s">
        <v>313</v>
      </c>
      <c r="F245" s="576"/>
      <c r="G245" s="82">
        <f>'SQ_Auditoreingaben '!G240</f>
        <v>2</v>
      </c>
      <c r="H245" s="576"/>
      <c r="I245" s="69"/>
      <c r="J245" s="18">
        <v>2</v>
      </c>
      <c r="K245" s="364"/>
      <c r="L245" s="80"/>
      <c r="M245" s="570"/>
      <c r="N245" s="570"/>
      <c r="O245" s="570"/>
      <c r="P245" s="571"/>
      <c r="R245" s="18">
        <f t="shared" si="3"/>
        <v>0</v>
      </c>
      <c r="S245" s="338"/>
      <c r="T245" s="344"/>
      <c r="U245" s="344"/>
      <c r="V245" s="344"/>
      <c r="W245" s="475"/>
    </row>
    <row r="246" spans="2:23" ht="39.6" x14ac:dyDescent="0.25">
      <c r="B246" s="375"/>
      <c r="C246" s="351"/>
      <c r="D246" s="361"/>
      <c r="E246" s="77" t="s">
        <v>314</v>
      </c>
      <c r="F246" s="576"/>
      <c r="G246" s="82">
        <f>'SQ_Auditoreingaben '!G241</f>
        <v>2</v>
      </c>
      <c r="H246" s="576"/>
      <c r="I246" s="69"/>
      <c r="J246" s="18">
        <v>2</v>
      </c>
      <c r="K246" s="364"/>
      <c r="L246" s="80"/>
      <c r="M246" s="570"/>
      <c r="N246" s="570"/>
      <c r="O246" s="570"/>
      <c r="P246" s="571"/>
      <c r="R246" s="18">
        <f t="shared" si="3"/>
        <v>0</v>
      </c>
      <c r="S246" s="338"/>
      <c r="T246" s="344"/>
      <c r="U246" s="344"/>
      <c r="V246" s="344"/>
      <c r="W246" s="475"/>
    </row>
    <row r="247" spans="2:23" ht="39.6" x14ac:dyDescent="0.25">
      <c r="B247" s="375"/>
      <c r="C247" s="351"/>
      <c r="D247" s="361"/>
      <c r="E247" s="77" t="s">
        <v>315</v>
      </c>
      <c r="F247" s="576"/>
      <c r="G247" s="82">
        <f>'SQ_Auditoreingaben '!G242</f>
        <v>2</v>
      </c>
      <c r="H247" s="576"/>
      <c r="I247" s="69"/>
      <c r="J247" s="18">
        <v>2</v>
      </c>
      <c r="K247" s="364"/>
      <c r="L247" s="80"/>
      <c r="M247" s="570"/>
      <c r="N247" s="570"/>
      <c r="O247" s="570"/>
      <c r="P247" s="571"/>
      <c r="R247" s="18">
        <f t="shared" si="3"/>
        <v>0</v>
      </c>
      <c r="S247" s="338"/>
      <c r="T247" s="344"/>
      <c r="U247" s="344"/>
      <c r="V247" s="344"/>
      <c r="W247" s="475"/>
    </row>
    <row r="248" spans="2:23" ht="39.6" x14ac:dyDescent="0.25">
      <c r="B248" s="375"/>
      <c r="C248" s="351"/>
      <c r="D248" s="361"/>
      <c r="E248" s="77" t="s">
        <v>316</v>
      </c>
      <c r="F248" s="576"/>
      <c r="G248" s="82">
        <f>'SQ_Auditoreingaben '!G243</f>
        <v>2</v>
      </c>
      <c r="H248" s="576"/>
      <c r="I248" s="69"/>
      <c r="J248" s="18">
        <v>2</v>
      </c>
      <c r="K248" s="364"/>
      <c r="L248" s="80"/>
      <c r="M248" s="570"/>
      <c r="N248" s="570"/>
      <c r="O248" s="570"/>
      <c r="P248" s="571"/>
      <c r="R248" s="18">
        <f t="shared" si="3"/>
        <v>0</v>
      </c>
      <c r="S248" s="338"/>
      <c r="T248" s="344"/>
      <c r="U248" s="344"/>
      <c r="V248" s="344"/>
      <c r="W248" s="475"/>
    </row>
    <row r="249" spans="2:23" ht="39.6" x14ac:dyDescent="0.25">
      <c r="B249" s="375"/>
      <c r="C249" s="351"/>
      <c r="D249" s="361"/>
      <c r="E249" s="77" t="s">
        <v>317</v>
      </c>
      <c r="F249" s="576"/>
      <c r="G249" s="82">
        <f>'SQ_Auditoreingaben '!G244</f>
        <v>2</v>
      </c>
      <c r="H249" s="576"/>
      <c r="I249" s="69"/>
      <c r="J249" s="18">
        <v>2</v>
      </c>
      <c r="K249" s="364"/>
      <c r="L249" s="80"/>
      <c r="M249" s="570"/>
      <c r="N249" s="570"/>
      <c r="O249" s="570"/>
      <c r="P249" s="571"/>
      <c r="R249" s="18">
        <f t="shared" si="3"/>
        <v>0</v>
      </c>
      <c r="S249" s="338"/>
      <c r="T249" s="344"/>
      <c r="U249" s="344"/>
      <c r="V249" s="344"/>
      <c r="W249" s="475"/>
    </row>
    <row r="250" spans="2:23" ht="52.8" x14ac:dyDescent="0.25">
      <c r="B250" s="375"/>
      <c r="C250" s="351"/>
      <c r="D250" s="361"/>
      <c r="E250" s="77" t="s">
        <v>318</v>
      </c>
      <c r="F250" s="576"/>
      <c r="G250" s="82">
        <f>'SQ_Auditoreingaben '!G245</f>
        <v>2</v>
      </c>
      <c r="H250" s="576"/>
      <c r="I250" s="69"/>
      <c r="J250" s="18">
        <v>2</v>
      </c>
      <c r="K250" s="364"/>
      <c r="L250" s="80"/>
      <c r="M250" s="570"/>
      <c r="N250" s="570"/>
      <c r="O250" s="570"/>
      <c r="P250" s="571"/>
      <c r="R250" s="18">
        <f t="shared" si="3"/>
        <v>0</v>
      </c>
      <c r="S250" s="338"/>
      <c r="T250" s="344"/>
      <c r="U250" s="344"/>
      <c r="V250" s="344"/>
      <c r="W250" s="475"/>
    </row>
    <row r="251" spans="2:23" ht="66" x14ac:dyDescent="0.25">
      <c r="B251" s="375"/>
      <c r="C251" s="351"/>
      <c r="D251" s="361"/>
      <c r="E251" s="77" t="s">
        <v>319</v>
      </c>
      <c r="F251" s="576"/>
      <c r="G251" s="82">
        <f>'SQ_Auditoreingaben '!G246</f>
        <v>2</v>
      </c>
      <c r="H251" s="576"/>
      <c r="I251" s="69"/>
      <c r="J251" s="18">
        <v>2</v>
      </c>
      <c r="K251" s="364"/>
      <c r="L251" s="80"/>
      <c r="M251" s="570"/>
      <c r="N251" s="570"/>
      <c r="O251" s="570"/>
      <c r="P251" s="571"/>
      <c r="R251" s="18">
        <f t="shared" si="3"/>
        <v>0</v>
      </c>
      <c r="S251" s="338"/>
      <c r="T251" s="344"/>
      <c r="U251" s="344"/>
      <c r="V251" s="344"/>
      <c r="W251" s="475"/>
    </row>
    <row r="252" spans="2:23" x14ac:dyDescent="0.25">
      <c r="B252" s="375"/>
      <c r="C252" s="351" t="s">
        <v>67</v>
      </c>
      <c r="D252" s="354" t="s">
        <v>320</v>
      </c>
      <c r="E252" s="354"/>
      <c r="F252" s="576"/>
      <c r="G252" s="356"/>
      <c r="H252" s="576"/>
      <c r="I252" s="356"/>
      <c r="J252" s="21">
        <v>10</v>
      </c>
      <c r="K252" s="364"/>
      <c r="L252" s="80"/>
      <c r="M252" s="570"/>
      <c r="N252" s="570"/>
      <c r="O252" s="570"/>
      <c r="P252" s="571"/>
      <c r="R252" s="18">
        <f t="shared" si="3"/>
        <v>0</v>
      </c>
      <c r="S252" s="338"/>
      <c r="T252" s="344"/>
      <c r="U252" s="344"/>
      <c r="V252" s="344"/>
      <c r="W252" s="475"/>
    </row>
    <row r="253" spans="2:23" x14ac:dyDescent="0.25">
      <c r="B253" s="375"/>
      <c r="C253" s="351"/>
      <c r="D253" s="361" t="s">
        <v>69</v>
      </c>
      <c r="E253" s="87" t="s">
        <v>321</v>
      </c>
      <c r="F253" s="576"/>
      <c r="G253" s="356"/>
      <c r="H253" s="576"/>
      <c r="I253" s="356"/>
      <c r="J253" s="21">
        <v>10</v>
      </c>
      <c r="K253" s="364"/>
      <c r="L253" s="80"/>
      <c r="M253" s="570"/>
      <c r="N253" s="570"/>
      <c r="O253" s="570"/>
      <c r="P253" s="571"/>
      <c r="R253" s="18">
        <f t="shared" si="3"/>
        <v>0</v>
      </c>
      <c r="S253" s="338"/>
      <c r="T253" s="344"/>
      <c r="U253" s="344"/>
      <c r="V253" s="344"/>
      <c r="W253" s="475"/>
    </row>
    <row r="254" spans="2:23" ht="52.8" x14ac:dyDescent="0.25">
      <c r="B254" s="375"/>
      <c r="C254" s="351"/>
      <c r="D254" s="361"/>
      <c r="E254" s="77" t="s">
        <v>322</v>
      </c>
      <c r="F254" s="576"/>
      <c r="G254" s="82">
        <f>'SQ_Auditoreingaben '!G249</f>
        <v>2</v>
      </c>
      <c r="H254" s="576"/>
      <c r="I254" s="69"/>
      <c r="J254" s="18">
        <v>2</v>
      </c>
      <c r="K254" s="364"/>
      <c r="L254" s="80"/>
      <c r="M254" s="570"/>
      <c r="N254" s="570"/>
      <c r="O254" s="570"/>
      <c r="P254" s="571"/>
      <c r="R254" s="18">
        <f t="shared" si="3"/>
        <v>0</v>
      </c>
      <c r="S254" s="338"/>
      <c r="T254" s="344"/>
      <c r="U254" s="344"/>
      <c r="V254" s="344"/>
      <c r="W254" s="475"/>
    </row>
    <row r="255" spans="2:23" ht="52.8" x14ac:dyDescent="0.25">
      <c r="B255" s="375"/>
      <c r="C255" s="351"/>
      <c r="D255" s="361"/>
      <c r="E255" s="77" t="s">
        <v>323</v>
      </c>
      <c r="F255" s="576"/>
      <c r="G255" s="82">
        <f>'SQ_Auditoreingaben '!G250</f>
        <v>2</v>
      </c>
      <c r="H255" s="576"/>
      <c r="I255" s="69"/>
      <c r="J255" s="18">
        <v>2</v>
      </c>
      <c r="K255" s="364"/>
      <c r="L255" s="80"/>
      <c r="M255" s="570"/>
      <c r="N255" s="570"/>
      <c r="O255" s="570"/>
      <c r="P255" s="571"/>
      <c r="R255" s="18">
        <f t="shared" si="3"/>
        <v>0</v>
      </c>
      <c r="S255" s="338"/>
      <c r="T255" s="344"/>
      <c r="U255" s="344"/>
      <c r="V255" s="344"/>
      <c r="W255" s="475"/>
    </row>
    <row r="256" spans="2:23" ht="26.4" x14ac:dyDescent="0.25">
      <c r="B256" s="375"/>
      <c r="C256" s="351"/>
      <c r="D256" s="361"/>
      <c r="E256" s="77" t="s">
        <v>324</v>
      </c>
      <c r="F256" s="576"/>
      <c r="G256" s="82">
        <f>'SQ_Auditoreingaben '!G251</f>
        <v>2</v>
      </c>
      <c r="H256" s="576"/>
      <c r="I256" s="69"/>
      <c r="J256" s="18">
        <v>2</v>
      </c>
      <c r="K256" s="364"/>
      <c r="L256" s="80"/>
      <c r="M256" s="570"/>
      <c r="N256" s="570"/>
      <c r="O256" s="570"/>
      <c r="P256" s="571"/>
      <c r="R256" s="18">
        <f t="shared" si="3"/>
        <v>0</v>
      </c>
      <c r="S256" s="338"/>
      <c r="T256" s="344"/>
      <c r="U256" s="344"/>
      <c r="V256" s="344"/>
      <c r="W256" s="475"/>
    </row>
    <row r="257" spans="2:23" ht="39.6" x14ac:dyDescent="0.25">
      <c r="B257" s="375"/>
      <c r="C257" s="351"/>
      <c r="D257" s="361"/>
      <c r="E257" s="77" t="s">
        <v>325</v>
      </c>
      <c r="F257" s="576"/>
      <c r="G257" s="82">
        <f>'SQ_Auditoreingaben '!G252</f>
        <v>2</v>
      </c>
      <c r="H257" s="576"/>
      <c r="I257" s="69"/>
      <c r="J257" s="18">
        <v>2</v>
      </c>
      <c r="K257" s="364"/>
      <c r="L257" s="80"/>
      <c r="M257" s="570"/>
      <c r="N257" s="570"/>
      <c r="O257" s="570"/>
      <c r="P257" s="571"/>
      <c r="R257" s="18">
        <f t="shared" si="3"/>
        <v>0</v>
      </c>
      <c r="S257" s="338"/>
      <c r="T257" s="344"/>
      <c r="U257" s="344"/>
      <c r="V257" s="344"/>
      <c r="W257" s="475"/>
    </row>
    <row r="258" spans="2:23" ht="26.4" x14ac:dyDescent="0.25">
      <c r="B258" s="375"/>
      <c r="C258" s="351"/>
      <c r="D258" s="361"/>
      <c r="E258" s="77" t="s">
        <v>326</v>
      </c>
      <c r="F258" s="576"/>
      <c r="G258" s="82">
        <f>'SQ_Auditoreingaben '!G253</f>
        <v>2</v>
      </c>
      <c r="H258" s="576"/>
      <c r="I258" s="69"/>
      <c r="J258" s="18">
        <v>2</v>
      </c>
      <c r="K258" s="364"/>
      <c r="L258" s="80"/>
      <c r="M258" s="570"/>
      <c r="N258" s="570"/>
      <c r="O258" s="570"/>
      <c r="P258" s="571"/>
      <c r="R258" s="18">
        <f t="shared" si="3"/>
        <v>0</v>
      </c>
      <c r="S258" s="338"/>
      <c r="T258" s="344"/>
      <c r="U258" s="344"/>
      <c r="V258" s="344"/>
      <c r="W258" s="475"/>
    </row>
    <row r="259" spans="2:23" ht="39.6" x14ac:dyDescent="0.25">
      <c r="B259" s="375"/>
      <c r="C259" s="351"/>
      <c r="D259" s="361"/>
      <c r="E259" s="77" t="s">
        <v>327</v>
      </c>
      <c r="F259" s="576"/>
      <c r="G259" s="82">
        <f>'SQ_Auditoreingaben '!G254</f>
        <v>2</v>
      </c>
      <c r="H259" s="576"/>
      <c r="I259" s="69"/>
      <c r="J259" s="18">
        <v>2</v>
      </c>
      <c r="K259" s="364"/>
      <c r="L259" s="80"/>
      <c r="M259" s="570"/>
      <c r="N259" s="570"/>
      <c r="O259" s="570"/>
      <c r="P259" s="571"/>
      <c r="R259" s="18">
        <f t="shared" si="3"/>
        <v>0</v>
      </c>
      <c r="S259" s="338"/>
      <c r="T259" s="344"/>
      <c r="U259" s="344"/>
      <c r="V259" s="344"/>
      <c r="W259" s="475"/>
    </row>
    <row r="260" spans="2:23" ht="39.6" x14ac:dyDescent="0.25">
      <c r="B260" s="375"/>
      <c r="C260" s="351"/>
      <c r="D260" s="361"/>
      <c r="E260" s="77" t="s">
        <v>328</v>
      </c>
      <c r="F260" s="576"/>
      <c r="G260" s="82">
        <f>'SQ_Auditoreingaben '!G255</f>
        <v>2</v>
      </c>
      <c r="H260" s="576"/>
      <c r="I260" s="69"/>
      <c r="J260" s="18">
        <v>2</v>
      </c>
      <c r="K260" s="364"/>
      <c r="L260" s="80"/>
      <c r="M260" s="570"/>
      <c r="N260" s="570"/>
      <c r="O260" s="570"/>
      <c r="P260" s="571"/>
      <c r="R260" s="18">
        <f t="shared" si="3"/>
        <v>0</v>
      </c>
      <c r="S260" s="338"/>
      <c r="T260" s="344"/>
      <c r="U260" s="344"/>
      <c r="V260" s="344"/>
      <c r="W260" s="475"/>
    </row>
    <row r="261" spans="2:23" ht="39.6" x14ac:dyDescent="0.25">
      <c r="B261" s="375"/>
      <c r="C261" s="351"/>
      <c r="D261" s="361"/>
      <c r="E261" s="77" t="s">
        <v>329</v>
      </c>
      <c r="F261" s="576"/>
      <c r="G261" s="82">
        <f>'SQ_Auditoreingaben '!G256</f>
        <v>2</v>
      </c>
      <c r="H261" s="576"/>
      <c r="I261" s="69"/>
      <c r="J261" s="18">
        <v>2</v>
      </c>
      <c r="K261" s="364"/>
      <c r="L261" s="80"/>
      <c r="M261" s="570"/>
      <c r="N261" s="570"/>
      <c r="O261" s="570"/>
      <c r="P261" s="571"/>
      <c r="R261" s="18">
        <f t="shared" si="3"/>
        <v>0</v>
      </c>
      <c r="S261" s="338"/>
      <c r="T261" s="344"/>
      <c r="U261" s="344"/>
      <c r="V261" s="344"/>
      <c r="W261" s="475"/>
    </row>
    <row r="262" spans="2:23" x14ac:dyDescent="0.25">
      <c r="B262" s="375"/>
      <c r="C262" s="574" t="s">
        <v>154</v>
      </c>
      <c r="D262" s="354" t="s">
        <v>330</v>
      </c>
      <c r="E262" s="354"/>
      <c r="F262" s="576"/>
      <c r="G262" s="356"/>
      <c r="H262" s="576"/>
      <c r="I262" s="356"/>
      <c r="J262" s="21">
        <v>8</v>
      </c>
      <c r="K262" s="364"/>
      <c r="L262" s="80"/>
      <c r="M262" s="570"/>
      <c r="N262" s="570"/>
      <c r="O262" s="570"/>
      <c r="P262" s="571"/>
      <c r="R262" s="18">
        <f t="shared" si="3"/>
        <v>0</v>
      </c>
      <c r="S262" s="338"/>
      <c r="T262" s="344"/>
      <c r="U262" s="344"/>
      <c r="V262" s="344"/>
      <c r="W262" s="475"/>
    </row>
    <row r="263" spans="2:23" x14ac:dyDescent="0.25">
      <c r="B263" s="375"/>
      <c r="C263" s="574"/>
      <c r="D263" s="361" t="s">
        <v>156</v>
      </c>
      <c r="E263" s="87" t="s">
        <v>331</v>
      </c>
      <c r="F263" s="576"/>
      <c r="G263" s="356"/>
      <c r="H263" s="576"/>
      <c r="I263" s="356"/>
      <c r="J263" s="21">
        <v>8</v>
      </c>
      <c r="K263" s="364"/>
      <c r="L263" s="80"/>
      <c r="M263" s="570"/>
      <c r="N263" s="570"/>
      <c r="O263" s="570"/>
      <c r="P263" s="571"/>
      <c r="R263" s="18">
        <f t="shared" si="3"/>
        <v>0</v>
      </c>
      <c r="S263" s="338"/>
      <c r="T263" s="344"/>
      <c r="U263" s="344"/>
      <c r="V263" s="344"/>
      <c r="W263" s="475"/>
    </row>
    <row r="264" spans="2:23" ht="39.6" x14ac:dyDescent="0.25">
      <c r="B264" s="375"/>
      <c r="C264" s="574"/>
      <c r="D264" s="361"/>
      <c r="E264" s="77" t="s">
        <v>332</v>
      </c>
      <c r="F264" s="576"/>
      <c r="G264" s="82">
        <f>'SQ_Auditoreingaben '!G259</f>
        <v>2</v>
      </c>
      <c r="H264" s="576"/>
      <c r="I264" s="69"/>
      <c r="J264" s="18">
        <v>2</v>
      </c>
      <c r="K264" s="364"/>
      <c r="L264" s="80"/>
      <c r="M264" s="570"/>
      <c r="N264" s="570"/>
      <c r="O264" s="570"/>
      <c r="P264" s="571"/>
      <c r="R264" s="18">
        <f t="shared" si="3"/>
        <v>0</v>
      </c>
      <c r="S264" s="338"/>
      <c r="T264" s="344"/>
      <c r="U264" s="344"/>
      <c r="V264" s="344"/>
      <c r="W264" s="475"/>
    </row>
    <row r="265" spans="2:23" ht="26.4" x14ac:dyDescent="0.25">
      <c r="B265" s="375"/>
      <c r="C265" s="574"/>
      <c r="D265" s="361"/>
      <c r="E265" s="77" t="s">
        <v>333</v>
      </c>
      <c r="F265" s="576"/>
      <c r="G265" s="82">
        <f>'SQ_Auditoreingaben '!G260</f>
        <v>2</v>
      </c>
      <c r="H265" s="576"/>
      <c r="I265" s="69"/>
      <c r="J265" s="18">
        <v>2</v>
      </c>
      <c r="K265" s="364"/>
      <c r="L265" s="80"/>
      <c r="M265" s="570"/>
      <c r="N265" s="570"/>
      <c r="O265" s="570"/>
      <c r="P265" s="571"/>
      <c r="R265" s="18">
        <f t="shared" si="3"/>
        <v>0</v>
      </c>
      <c r="S265" s="338"/>
      <c r="T265" s="344"/>
      <c r="U265" s="344"/>
      <c r="V265" s="344"/>
      <c r="W265" s="475"/>
    </row>
    <row r="266" spans="2:23" ht="26.4" x14ac:dyDescent="0.25">
      <c r="B266" s="375"/>
      <c r="C266" s="574"/>
      <c r="D266" s="361"/>
      <c r="E266" s="77" t="s">
        <v>334</v>
      </c>
      <c r="F266" s="576"/>
      <c r="G266" s="82">
        <f>'SQ_Auditoreingaben '!G261</f>
        <v>2</v>
      </c>
      <c r="H266" s="576"/>
      <c r="I266" s="69"/>
      <c r="J266" s="18">
        <v>2</v>
      </c>
      <c r="K266" s="364"/>
      <c r="L266" s="80"/>
      <c r="M266" s="570"/>
      <c r="N266" s="570"/>
      <c r="O266" s="570"/>
      <c r="P266" s="571"/>
      <c r="R266" s="18">
        <f t="shared" si="3"/>
        <v>0</v>
      </c>
      <c r="S266" s="338"/>
      <c r="T266" s="344"/>
      <c r="U266" s="344"/>
      <c r="V266" s="344"/>
      <c r="W266" s="475"/>
    </row>
    <row r="267" spans="2:23" ht="26.4" x14ac:dyDescent="0.25">
      <c r="B267" s="375"/>
      <c r="C267" s="574"/>
      <c r="D267" s="361"/>
      <c r="E267" s="77" t="s">
        <v>335</v>
      </c>
      <c r="F267" s="576"/>
      <c r="G267" s="82">
        <f>'SQ_Auditoreingaben '!G262</f>
        <v>2</v>
      </c>
      <c r="H267" s="576"/>
      <c r="I267" s="69"/>
      <c r="J267" s="18">
        <v>2</v>
      </c>
      <c r="K267" s="364"/>
      <c r="L267" s="80"/>
      <c r="M267" s="570"/>
      <c r="N267" s="570"/>
      <c r="O267" s="570"/>
      <c r="P267" s="571"/>
      <c r="R267" s="18">
        <f t="shared" si="3"/>
        <v>0</v>
      </c>
      <c r="S267" s="338"/>
      <c r="T267" s="344"/>
      <c r="U267" s="344"/>
      <c r="V267" s="344"/>
      <c r="W267" s="475"/>
    </row>
    <row r="268" spans="2:23" ht="26.4" x14ac:dyDescent="0.25">
      <c r="B268" s="375"/>
      <c r="C268" s="574"/>
      <c r="D268" s="361"/>
      <c r="E268" s="77" t="s">
        <v>336</v>
      </c>
      <c r="F268" s="576"/>
      <c r="G268" s="82">
        <f>'SQ_Auditoreingaben '!G263</f>
        <v>2</v>
      </c>
      <c r="H268" s="576"/>
      <c r="I268" s="69"/>
      <c r="J268" s="18">
        <v>2</v>
      </c>
      <c r="K268" s="364"/>
      <c r="L268" s="80"/>
      <c r="M268" s="570"/>
      <c r="N268" s="570"/>
      <c r="O268" s="570"/>
      <c r="P268" s="571"/>
      <c r="R268" s="18">
        <f t="shared" si="3"/>
        <v>0</v>
      </c>
      <c r="S268" s="338"/>
      <c r="T268" s="344"/>
      <c r="U268" s="344"/>
      <c r="V268" s="344"/>
      <c r="W268" s="475"/>
    </row>
    <row r="269" spans="2:23" x14ac:dyDescent="0.25">
      <c r="B269" s="375"/>
      <c r="C269" s="351" t="s">
        <v>157</v>
      </c>
      <c r="D269" s="354" t="s">
        <v>337</v>
      </c>
      <c r="E269" s="354"/>
      <c r="F269" s="576"/>
      <c r="G269" s="356"/>
      <c r="H269" s="576"/>
      <c r="I269" s="356"/>
      <c r="J269" s="21">
        <v>4</v>
      </c>
      <c r="K269" s="364"/>
      <c r="L269" s="80"/>
      <c r="M269" s="570"/>
      <c r="N269" s="570"/>
      <c r="O269" s="570"/>
      <c r="P269" s="571"/>
      <c r="R269" s="18">
        <f t="shared" si="3"/>
        <v>0</v>
      </c>
      <c r="S269" s="338"/>
      <c r="T269" s="344"/>
      <c r="U269" s="344"/>
      <c r="V269" s="344"/>
      <c r="W269" s="475"/>
    </row>
    <row r="270" spans="2:23" x14ac:dyDescent="0.25">
      <c r="B270" s="375"/>
      <c r="C270" s="351"/>
      <c r="D270" s="361" t="s">
        <v>159</v>
      </c>
      <c r="E270" s="87" t="s">
        <v>338</v>
      </c>
      <c r="F270" s="576"/>
      <c r="G270" s="356"/>
      <c r="H270" s="576"/>
      <c r="I270" s="356"/>
      <c r="J270" s="21">
        <v>4</v>
      </c>
      <c r="K270" s="364"/>
      <c r="L270" s="80"/>
      <c r="M270" s="570"/>
      <c r="N270" s="570"/>
      <c r="O270" s="570"/>
      <c r="P270" s="571"/>
      <c r="R270" s="18">
        <f t="shared" si="3"/>
        <v>0</v>
      </c>
      <c r="S270" s="338"/>
      <c r="T270" s="344"/>
      <c r="U270" s="344"/>
      <c r="V270" s="344"/>
      <c r="W270" s="475"/>
    </row>
    <row r="271" spans="2:23" ht="39.6" x14ac:dyDescent="0.25">
      <c r="B271" s="375"/>
      <c r="C271" s="351"/>
      <c r="D271" s="361"/>
      <c r="E271" s="77" t="s">
        <v>339</v>
      </c>
      <c r="F271" s="576"/>
      <c r="G271" s="82">
        <f>'SQ_Auditoreingaben '!G266</f>
        <v>2</v>
      </c>
      <c r="H271" s="576"/>
      <c r="I271" s="69"/>
      <c r="J271" s="18">
        <v>2</v>
      </c>
      <c r="K271" s="364"/>
      <c r="L271" s="80"/>
      <c r="M271" s="570"/>
      <c r="N271" s="570"/>
      <c r="O271" s="570"/>
      <c r="P271" s="571"/>
      <c r="R271" s="18">
        <f t="shared" si="3"/>
        <v>0</v>
      </c>
      <c r="S271" s="338"/>
      <c r="T271" s="344"/>
      <c r="U271" s="344"/>
      <c r="V271" s="344"/>
      <c r="W271" s="475"/>
    </row>
    <row r="272" spans="2:23" ht="26.4" x14ac:dyDescent="0.25">
      <c r="B272" s="375"/>
      <c r="C272" s="351"/>
      <c r="D272" s="361"/>
      <c r="E272" s="77" t="s">
        <v>340</v>
      </c>
      <c r="F272" s="576"/>
      <c r="G272" s="82">
        <f>'SQ_Auditoreingaben '!G267</f>
        <v>2</v>
      </c>
      <c r="H272" s="576"/>
      <c r="I272" s="69"/>
      <c r="J272" s="18">
        <v>2</v>
      </c>
      <c r="K272" s="364"/>
      <c r="L272" s="80"/>
      <c r="M272" s="570"/>
      <c r="N272" s="570"/>
      <c r="O272" s="570"/>
      <c r="P272" s="571"/>
      <c r="R272" s="18">
        <f t="shared" si="3"/>
        <v>0</v>
      </c>
      <c r="S272" s="338"/>
      <c r="T272" s="344"/>
      <c r="U272" s="344"/>
      <c r="V272" s="344"/>
      <c r="W272" s="475"/>
    </row>
    <row r="273" spans="2:23" ht="26.4" x14ac:dyDescent="0.25">
      <c r="B273" s="375"/>
      <c r="C273" s="351"/>
      <c r="D273" s="361"/>
      <c r="E273" s="77" t="s">
        <v>341</v>
      </c>
      <c r="F273" s="576"/>
      <c r="G273" s="82">
        <f>'SQ_Auditoreingaben '!G268</f>
        <v>2</v>
      </c>
      <c r="H273" s="576"/>
      <c r="I273" s="69"/>
      <c r="J273" s="18">
        <v>2</v>
      </c>
      <c r="K273" s="364"/>
      <c r="L273" s="80"/>
      <c r="M273" s="570"/>
      <c r="N273" s="570"/>
      <c r="O273" s="570"/>
      <c r="P273" s="571"/>
      <c r="R273" s="18">
        <f t="shared" si="3"/>
        <v>0</v>
      </c>
      <c r="S273" s="338"/>
      <c r="T273" s="344"/>
      <c r="U273" s="344"/>
      <c r="V273" s="344"/>
      <c r="W273" s="475"/>
    </row>
    <row r="274" spans="2:23" x14ac:dyDescent="0.25">
      <c r="B274" s="375"/>
      <c r="C274" s="351" t="s">
        <v>282</v>
      </c>
      <c r="D274" s="354" t="s">
        <v>342</v>
      </c>
      <c r="E274" s="354"/>
      <c r="F274" s="576"/>
      <c r="G274" s="356"/>
      <c r="H274" s="576"/>
      <c r="I274" s="356"/>
      <c r="J274" s="21">
        <v>3</v>
      </c>
      <c r="K274" s="364"/>
      <c r="L274" s="80"/>
      <c r="M274" s="570"/>
      <c r="N274" s="570"/>
      <c r="O274" s="570"/>
      <c r="P274" s="571"/>
      <c r="R274" s="18">
        <f t="shared" si="3"/>
        <v>0</v>
      </c>
      <c r="S274" s="338"/>
      <c r="T274" s="344"/>
      <c r="U274" s="344"/>
      <c r="V274" s="344"/>
      <c r="W274" s="475"/>
    </row>
    <row r="275" spans="2:23" x14ac:dyDescent="0.25">
      <c r="B275" s="375"/>
      <c r="C275" s="351"/>
      <c r="D275" s="361" t="s">
        <v>284</v>
      </c>
      <c r="E275" s="87" t="s">
        <v>343</v>
      </c>
      <c r="F275" s="576"/>
      <c r="G275" s="356"/>
      <c r="H275" s="576"/>
      <c r="I275" s="356"/>
      <c r="J275" s="21">
        <v>3</v>
      </c>
      <c r="K275" s="364"/>
      <c r="L275" s="80"/>
      <c r="M275" s="570"/>
      <c r="N275" s="570"/>
      <c r="O275" s="570"/>
      <c r="P275" s="571"/>
      <c r="R275" s="18">
        <f t="shared" si="3"/>
        <v>0</v>
      </c>
      <c r="S275" s="338"/>
      <c r="T275" s="344"/>
      <c r="U275" s="344"/>
      <c r="V275" s="344"/>
      <c r="W275" s="475"/>
    </row>
    <row r="276" spans="2:23" ht="52.8" x14ac:dyDescent="0.25">
      <c r="B276" s="375"/>
      <c r="C276" s="351"/>
      <c r="D276" s="361"/>
      <c r="E276" s="77" t="s">
        <v>344</v>
      </c>
      <c r="F276" s="576"/>
      <c r="G276" s="82">
        <f>'SQ_Auditoreingaben '!G271</f>
        <v>0</v>
      </c>
      <c r="H276" s="576"/>
      <c r="I276" s="69"/>
      <c r="J276" s="18">
        <v>1</v>
      </c>
      <c r="K276" s="364"/>
      <c r="L276" s="80"/>
      <c r="M276" s="570"/>
      <c r="N276" s="570"/>
      <c r="O276" s="570"/>
      <c r="P276" s="571"/>
      <c r="R276" s="18">
        <f t="shared" si="3"/>
        <v>0</v>
      </c>
      <c r="S276" s="338"/>
      <c r="T276" s="344"/>
      <c r="U276" s="344"/>
      <c r="V276" s="344"/>
      <c r="W276" s="475"/>
    </row>
    <row r="277" spans="2:23" ht="39.6" x14ac:dyDescent="0.25">
      <c r="B277" s="375"/>
      <c r="C277" s="351"/>
      <c r="D277" s="361"/>
      <c r="E277" s="77" t="s">
        <v>345</v>
      </c>
      <c r="F277" s="576"/>
      <c r="G277" s="82">
        <f>'SQ_Auditoreingaben '!G272</f>
        <v>0</v>
      </c>
      <c r="H277" s="576"/>
      <c r="I277" s="69"/>
      <c r="J277" s="18">
        <v>2</v>
      </c>
      <c r="K277" s="364"/>
      <c r="L277" s="80"/>
      <c r="M277" s="570"/>
      <c r="N277" s="570"/>
      <c r="O277" s="570"/>
      <c r="P277" s="571"/>
      <c r="R277" s="18">
        <f t="shared" si="3"/>
        <v>0</v>
      </c>
      <c r="S277" s="339"/>
      <c r="T277" s="365"/>
      <c r="U277" s="344"/>
      <c r="V277" s="344"/>
      <c r="W277" s="475"/>
    </row>
    <row r="278" spans="2:23" x14ac:dyDescent="0.25">
      <c r="B278" s="55" t="s">
        <v>346</v>
      </c>
      <c r="C278" s="354" t="s">
        <v>197</v>
      </c>
      <c r="D278" s="354"/>
      <c r="E278" s="354"/>
      <c r="F278" s="78">
        <f>'SQ_Auditoreingaben '!F273</f>
        <v>100</v>
      </c>
      <c r="G278" s="364"/>
      <c r="H278" s="91">
        <f>S278</f>
        <v>0</v>
      </c>
      <c r="I278" s="364"/>
      <c r="J278" s="21">
        <v>100</v>
      </c>
      <c r="K278" s="88">
        <v>3</v>
      </c>
      <c r="L278" s="80"/>
      <c r="M278" s="570"/>
      <c r="N278" s="570"/>
      <c r="O278" s="570"/>
      <c r="P278" s="571"/>
      <c r="R278" s="18">
        <f t="shared" si="3"/>
        <v>0</v>
      </c>
      <c r="S278" s="337">
        <f>SUM(SUM(R281:R291),IF(SUM(R293:R298)&gt;50,50,SUM(R293:R298)))</f>
        <v>0</v>
      </c>
      <c r="T278" s="343">
        <f>S278/100</f>
        <v>0</v>
      </c>
      <c r="U278" s="344"/>
      <c r="V278" s="344"/>
      <c r="W278" s="475"/>
    </row>
    <row r="279" spans="2:23" x14ac:dyDescent="0.25">
      <c r="B279" s="375"/>
      <c r="C279" s="351" t="s">
        <v>54</v>
      </c>
      <c r="D279" s="354" t="s">
        <v>347</v>
      </c>
      <c r="E279" s="354"/>
      <c r="F279" s="576"/>
      <c r="G279" s="364"/>
      <c r="H279" s="576"/>
      <c r="I279" s="364"/>
      <c r="J279" s="21">
        <v>50</v>
      </c>
      <c r="K279" s="364"/>
      <c r="L279" s="80"/>
      <c r="M279" s="570"/>
      <c r="N279" s="570"/>
      <c r="O279" s="570"/>
      <c r="P279" s="571"/>
      <c r="R279" s="18">
        <f t="shared" si="3"/>
        <v>0</v>
      </c>
      <c r="S279" s="338"/>
      <c r="T279" s="344"/>
      <c r="U279" s="344"/>
      <c r="V279" s="344"/>
      <c r="W279" s="475"/>
    </row>
    <row r="280" spans="2:23" x14ac:dyDescent="0.25">
      <c r="B280" s="375"/>
      <c r="C280" s="351"/>
      <c r="D280" s="361" t="s">
        <v>58</v>
      </c>
      <c r="E280" s="90" t="s">
        <v>348</v>
      </c>
      <c r="F280" s="576"/>
      <c r="G280" s="364"/>
      <c r="H280" s="576"/>
      <c r="I280" s="364"/>
      <c r="J280" s="21">
        <v>20</v>
      </c>
      <c r="K280" s="364"/>
      <c r="L280" s="80"/>
      <c r="M280" s="570"/>
      <c r="N280" s="570"/>
      <c r="O280" s="570"/>
      <c r="P280" s="571"/>
      <c r="R280" s="18">
        <f t="shared" si="3"/>
        <v>0</v>
      </c>
      <c r="S280" s="338"/>
      <c r="T280" s="344"/>
      <c r="U280" s="344"/>
      <c r="V280" s="344"/>
      <c r="W280" s="475"/>
    </row>
    <row r="281" spans="2:23" ht="39.6" x14ac:dyDescent="0.25">
      <c r="B281" s="375"/>
      <c r="C281" s="351"/>
      <c r="D281" s="361"/>
      <c r="E281" s="77" t="s">
        <v>349</v>
      </c>
      <c r="F281" s="576"/>
      <c r="G281" s="82">
        <f>'SQ_Auditoreingaben '!G276</f>
        <v>10</v>
      </c>
      <c r="H281" s="576"/>
      <c r="I281" s="69"/>
      <c r="J281" s="18">
        <v>10</v>
      </c>
      <c r="K281" s="364"/>
      <c r="L281" s="80"/>
      <c r="M281" s="570"/>
      <c r="N281" s="570"/>
      <c r="O281" s="570"/>
      <c r="P281" s="571"/>
      <c r="R281" s="18">
        <f t="shared" si="3"/>
        <v>0</v>
      </c>
      <c r="S281" s="338"/>
      <c r="T281" s="344"/>
      <c r="U281" s="344"/>
      <c r="V281" s="344"/>
      <c r="W281" s="475"/>
    </row>
    <row r="282" spans="2:23" ht="52.8" x14ac:dyDescent="0.25">
      <c r="B282" s="375"/>
      <c r="C282" s="351"/>
      <c r="D282" s="361"/>
      <c r="E282" s="77" t="s">
        <v>350</v>
      </c>
      <c r="F282" s="576"/>
      <c r="G282" s="82">
        <f>'SQ_Auditoreingaben '!G277</f>
        <v>10</v>
      </c>
      <c r="H282" s="576"/>
      <c r="I282" s="69"/>
      <c r="J282" s="18">
        <v>10</v>
      </c>
      <c r="K282" s="364"/>
      <c r="L282" s="80"/>
      <c r="M282" s="570"/>
      <c r="N282" s="570"/>
      <c r="O282" s="570"/>
      <c r="P282" s="571"/>
      <c r="R282" s="18">
        <f t="shared" ref="R282:R345" si="4">IF(I282&gt;J282,J282,I282)</f>
        <v>0</v>
      </c>
      <c r="S282" s="338"/>
      <c r="T282" s="344"/>
      <c r="U282" s="344"/>
      <c r="V282" s="344"/>
      <c r="W282" s="475"/>
    </row>
    <row r="283" spans="2:23" x14ac:dyDescent="0.25">
      <c r="B283" s="375"/>
      <c r="C283" s="351"/>
      <c r="D283" s="361" t="s">
        <v>181</v>
      </c>
      <c r="E283" s="90" t="s">
        <v>351</v>
      </c>
      <c r="F283" s="576"/>
      <c r="G283" s="113"/>
      <c r="H283" s="576"/>
      <c r="I283" s="113"/>
      <c r="J283" s="21">
        <v>10</v>
      </c>
      <c r="K283" s="364"/>
      <c r="L283" s="80"/>
      <c r="M283" s="570"/>
      <c r="N283" s="570"/>
      <c r="O283" s="570"/>
      <c r="P283" s="571"/>
      <c r="R283" s="18">
        <f t="shared" si="4"/>
        <v>0</v>
      </c>
      <c r="S283" s="338"/>
      <c r="T283" s="344"/>
      <c r="U283" s="344"/>
      <c r="V283" s="344"/>
      <c r="W283" s="475"/>
    </row>
    <row r="284" spans="2:23" ht="39.6" x14ac:dyDescent="0.25">
      <c r="B284" s="375"/>
      <c r="C284" s="351"/>
      <c r="D284" s="361"/>
      <c r="E284" s="77" t="s">
        <v>352</v>
      </c>
      <c r="F284" s="576"/>
      <c r="G284" s="82">
        <f>'SQ_Auditoreingaben '!G279</f>
        <v>5</v>
      </c>
      <c r="H284" s="576"/>
      <c r="I284" s="69"/>
      <c r="J284" s="18">
        <v>5</v>
      </c>
      <c r="K284" s="364"/>
      <c r="L284" s="80"/>
      <c r="M284" s="570"/>
      <c r="N284" s="570"/>
      <c r="O284" s="570"/>
      <c r="P284" s="571"/>
      <c r="R284" s="18">
        <f t="shared" si="4"/>
        <v>0</v>
      </c>
      <c r="S284" s="338"/>
      <c r="T284" s="344"/>
      <c r="U284" s="344"/>
      <c r="V284" s="344"/>
      <c r="W284" s="475"/>
    </row>
    <row r="285" spans="2:23" ht="52.8" x14ac:dyDescent="0.25">
      <c r="B285" s="375"/>
      <c r="C285" s="351"/>
      <c r="D285" s="361"/>
      <c r="E285" s="77" t="s">
        <v>353</v>
      </c>
      <c r="F285" s="576"/>
      <c r="G285" s="82">
        <f>'SQ_Auditoreingaben '!G280</f>
        <v>5</v>
      </c>
      <c r="H285" s="576"/>
      <c r="I285" s="69"/>
      <c r="J285" s="18">
        <v>5</v>
      </c>
      <c r="K285" s="364"/>
      <c r="L285" s="80"/>
      <c r="M285" s="570"/>
      <c r="N285" s="570"/>
      <c r="O285" s="570"/>
      <c r="P285" s="571"/>
      <c r="R285" s="18">
        <f t="shared" si="4"/>
        <v>0</v>
      </c>
      <c r="S285" s="338"/>
      <c r="T285" s="344"/>
      <c r="U285" s="344"/>
      <c r="V285" s="344"/>
      <c r="W285" s="475"/>
    </row>
    <row r="286" spans="2:23" x14ac:dyDescent="0.25">
      <c r="B286" s="375"/>
      <c r="C286" s="351"/>
      <c r="D286" s="361" t="s">
        <v>246</v>
      </c>
      <c r="E286" s="87" t="s">
        <v>354</v>
      </c>
      <c r="F286" s="576"/>
      <c r="G286" s="113"/>
      <c r="H286" s="576"/>
      <c r="I286" s="113"/>
      <c r="J286" s="21">
        <v>10</v>
      </c>
      <c r="K286" s="364"/>
      <c r="L286" s="80"/>
      <c r="M286" s="570"/>
      <c r="N286" s="570"/>
      <c r="O286" s="570"/>
      <c r="P286" s="571"/>
      <c r="R286" s="18">
        <f t="shared" si="4"/>
        <v>0</v>
      </c>
      <c r="S286" s="338"/>
      <c r="T286" s="344"/>
      <c r="U286" s="344"/>
      <c r="V286" s="344"/>
      <c r="W286" s="475"/>
    </row>
    <row r="287" spans="2:23" ht="39.6" x14ac:dyDescent="0.25">
      <c r="B287" s="375"/>
      <c r="C287" s="351"/>
      <c r="D287" s="361"/>
      <c r="E287" s="77" t="s">
        <v>355</v>
      </c>
      <c r="F287" s="576"/>
      <c r="G287" s="82">
        <f>'SQ_Auditoreingaben '!G282</f>
        <v>5</v>
      </c>
      <c r="H287" s="576"/>
      <c r="I287" s="69"/>
      <c r="J287" s="18">
        <v>5</v>
      </c>
      <c r="K287" s="364"/>
      <c r="L287" s="80"/>
      <c r="M287" s="570"/>
      <c r="N287" s="570"/>
      <c r="O287" s="570"/>
      <c r="P287" s="571"/>
      <c r="R287" s="18">
        <f t="shared" si="4"/>
        <v>0</v>
      </c>
      <c r="S287" s="338"/>
      <c r="T287" s="344"/>
      <c r="U287" s="344"/>
      <c r="V287" s="344"/>
      <c r="W287" s="475"/>
    </row>
    <row r="288" spans="2:23" ht="66" x14ac:dyDescent="0.25">
      <c r="B288" s="375"/>
      <c r="C288" s="351"/>
      <c r="D288" s="361"/>
      <c r="E288" s="77" t="s">
        <v>356</v>
      </c>
      <c r="F288" s="576"/>
      <c r="G288" s="82">
        <f>'SQ_Auditoreingaben '!G283</f>
        <v>5</v>
      </c>
      <c r="H288" s="576"/>
      <c r="I288" s="69"/>
      <c r="J288" s="18">
        <v>5</v>
      </c>
      <c r="K288" s="364"/>
      <c r="L288" s="80"/>
      <c r="M288" s="570"/>
      <c r="N288" s="570"/>
      <c r="O288" s="570"/>
      <c r="P288" s="571"/>
      <c r="R288" s="18">
        <f t="shared" si="4"/>
        <v>0</v>
      </c>
      <c r="S288" s="338"/>
      <c r="T288" s="344"/>
      <c r="U288" s="344"/>
      <c r="V288" s="344"/>
      <c r="W288" s="475"/>
    </row>
    <row r="289" spans="2:23" x14ac:dyDescent="0.25">
      <c r="B289" s="375"/>
      <c r="C289" s="351"/>
      <c r="D289" s="361" t="s">
        <v>250</v>
      </c>
      <c r="E289" s="87" t="s">
        <v>357</v>
      </c>
      <c r="F289" s="576"/>
      <c r="G289" s="113"/>
      <c r="H289" s="576"/>
      <c r="I289" s="113"/>
      <c r="J289" s="21">
        <v>10</v>
      </c>
      <c r="K289" s="364"/>
      <c r="L289" s="80"/>
      <c r="M289" s="570"/>
      <c r="N289" s="570"/>
      <c r="O289" s="570"/>
      <c r="P289" s="571"/>
      <c r="R289" s="18">
        <f t="shared" si="4"/>
        <v>0</v>
      </c>
      <c r="S289" s="338"/>
      <c r="T289" s="344"/>
      <c r="U289" s="344"/>
      <c r="V289" s="344"/>
      <c r="W289" s="475"/>
    </row>
    <row r="290" spans="2:23" ht="39.6" x14ac:dyDescent="0.25">
      <c r="B290" s="375"/>
      <c r="C290" s="351"/>
      <c r="D290" s="361"/>
      <c r="E290" s="77" t="s">
        <v>358</v>
      </c>
      <c r="F290" s="576"/>
      <c r="G290" s="82">
        <f>'SQ_Auditoreingaben '!G285</f>
        <v>5</v>
      </c>
      <c r="H290" s="576"/>
      <c r="I290" s="69"/>
      <c r="J290" s="18">
        <v>5</v>
      </c>
      <c r="K290" s="364"/>
      <c r="L290" s="80"/>
      <c r="M290" s="570"/>
      <c r="N290" s="570"/>
      <c r="O290" s="570"/>
      <c r="P290" s="571"/>
      <c r="R290" s="18">
        <f t="shared" si="4"/>
        <v>0</v>
      </c>
      <c r="S290" s="338"/>
      <c r="T290" s="344"/>
      <c r="U290" s="344"/>
      <c r="V290" s="344"/>
      <c r="W290" s="475"/>
    </row>
    <row r="291" spans="2:23" ht="52.8" x14ac:dyDescent="0.25">
      <c r="B291" s="375"/>
      <c r="C291" s="351"/>
      <c r="D291" s="361"/>
      <c r="E291" s="77" t="s">
        <v>359</v>
      </c>
      <c r="F291" s="576"/>
      <c r="G291" s="82">
        <f>'SQ_Auditoreingaben '!G286</f>
        <v>5</v>
      </c>
      <c r="H291" s="576"/>
      <c r="I291" s="69"/>
      <c r="J291" s="18">
        <v>5</v>
      </c>
      <c r="K291" s="364"/>
      <c r="L291" s="80"/>
      <c r="M291" s="570"/>
      <c r="N291" s="570"/>
      <c r="O291" s="570"/>
      <c r="P291" s="571"/>
      <c r="R291" s="18">
        <f t="shared" si="4"/>
        <v>0</v>
      </c>
      <c r="S291" s="338"/>
      <c r="T291" s="344"/>
      <c r="U291" s="344"/>
      <c r="V291" s="344"/>
      <c r="W291" s="475"/>
    </row>
    <row r="292" spans="2:23" x14ac:dyDescent="0.25">
      <c r="B292" s="375"/>
      <c r="C292" s="351" t="s">
        <v>61</v>
      </c>
      <c r="D292" s="354" t="s">
        <v>360</v>
      </c>
      <c r="E292" s="354"/>
      <c r="F292" s="576"/>
      <c r="G292" s="113"/>
      <c r="H292" s="576"/>
      <c r="I292" s="113"/>
      <c r="J292" s="21">
        <v>50</v>
      </c>
      <c r="K292" s="364"/>
      <c r="L292" s="80"/>
      <c r="M292" s="570"/>
      <c r="N292" s="570"/>
      <c r="O292" s="570"/>
      <c r="P292" s="571"/>
      <c r="R292" s="18">
        <f t="shared" si="4"/>
        <v>0</v>
      </c>
      <c r="S292" s="338"/>
      <c r="T292" s="344"/>
      <c r="U292" s="344"/>
      <c r="V292" s="344"/>
      <c r="W292" s="475"/>
    </row>
    <row r="293" spans="2:23" ht="66" x14ac:dyDescent="0.25">
      <c r="B293" s="375"/>
      <c r="C293" s="351"/>
      <c r="D293" s="71" t="s">
        <v>63</v>
      </c>
      <c r="E293" s="77" t="s">
        <v>561</v>
      </c>
      <c r="F293" s="576"/>
      <c r="G293" s="82">
        <f>'SQ_Auditoreingaben '!G288</f>
        <v>4</v>
      </c>
      <c r="H293" s="576"/>
      <c r="I293" s="69"/>
      <c r="J293" s="18">
        <v>20</v>
      </c>
      <c r="K293" s="364"/>
      <c r="L293" s="80"/>
      <c r="M293" s="570"/>
      <c r="N293" s="570"/>
      <c r="O293" s="570"/>
      <c r="P293" s="571"/>
      <c r="R293" s="18">
        <f t="shared" si="4"/>
        <v>0</v>
      </c>
      <c r="S293" s="338"/>
      <c r="T293" s="344"/>
      <c r="U293" s="344"/>
      <c r="V293" s="344"/>
      <c r="W293" s="475"/>
    </row>
    <row r="294" spans="2:23" ht="79.2" x14ac:dyDescent="0.25">
      <c r="B294" s="375"/>
      <c r="C294" s="351"/>
      <c r="D294" s="71" t="s">
        <v>186</v>
      </c>
      <c r="E294" s="77" t="s">
        <v>663</v>
      </c>
      <c r="F294" s="576"/>
      <c r="G294" s="82">
        <f>'SQ_Auditoreingaben '!G289</f>
        <v>4</v>
      </c>
      <c r="H294" s="576"/>
      <c r="I294" s="69"/>
      <c r="J294" s="18">
        <v>10</v>
      </c>
      <c r="K294" s="364"/>
      <c r="L294" s="80"/>
      <c r="M294" s="570"/>
      <c r="N294" s="570"/>
      <c r="O294" s="570"/>
      <c r="P294" s="571"/>
      <c r="R294" s="18">
        <f t="shared" si="4"/>
        <v>0</v>
      </c>
      <c r="S294" s="338"/>
      <c r="T294" s="344"/>
      <c r="U294" s="344"/>
      <c r="V294" s="344"/>
      <c r="W294" s="475"/>
    </row>
    <row r="295" spans="2:23" ht="79.2" x14ac:dyDescent="0.25">
      <c r="B295" s="375"/>
      <c r="C295" s="351"/>
      <c r="D295" s="71" t="s">
        <v>255</v>
      </c>
      <c r="E295" s="77" t="s">
        <v>562</v>
      </c>
      <c r="F295" s="576"/>
      <c r="G295" s="82">
        <f>'SQ_Auditoreingaben '!G290</f>
        <v>4</v>
      </c>
      <c r="H295" s="576"/>
      <c r="I295" s="69"/>
      <c r="J295" s="18">
        <v>10</v>
      </c>
      <c r="K295" s="364"/>
      <c r="L295" s="80"/>
      <c r="M295" s="570"/>
      <c r="N295" s="570"/>
      <c r="O295" s="570"/>
      <c r="P295" s="571"/>
      <c r="R295" s="18">
        <f t="shared" si="4"/>
        <v>0</v>
      </c>
      <c r="S295" s="338"/>
      <c r="T295" s="344"/>
      <c r="U295" s="344"/>
      <c r="V295" s="344"/>
      <c r="W295" s="475"/>
    </row>
    <row r="296" spans="2:23" ht="79.2" x14ac:dyDescent="0.25">
      <c r="B296" s="375"/>
      <c r="C296" s="351"/>
      <c r="D296" s="71" t="s">
        <v>361</v>
      </c>
      <c r="E296" s="77" t="s">
        <v>563</v>
      </c>
      <c r="F296" s="576"/>
      <c r="G296" s="82">
        <f>'SQ_Auditoreingaben '!G291</f>
        <v>4</v>
      </c>
      <c r="H296" s="576"/>
      <c r="I296" s="69"/>
      <c r="J296" s="18">
        <v>5</v>
      </c>
      <c r="K296" s="364"/>
      <c r="L296" s="80"/>
      <c r="M296" s="570"/>
      <c r="N296" s="570"/>
      <c r="O296" s="570"/>
      <c r="P296" s="571"/>
      <c r="R296" s="18">
        <f t="shared" si="4"/>
        <v>0</v>
      </c>
      <c r="S296" s="338"/>
      <c r="T296" s="344"/>
      <c r="U296" s="344"/>
      <c r="V296" s="344"/>
      <c r="W296" s="475"/>
    </row>
    <row r="297" spans="2:23" ht="79.2" x14ac:dyDescent="0.25">
      <c r="B297" s="375"/>
      <c r="C297" s="351"/>
      <c r="D297" s="71" t="s">
        <v>257</v>
      </c>
      <c r="E297" s="77" t="s">
        <v>564</v>
      </c>
      <c r="F297" s="576"/>
      <c r="G297" s="82">
        <f>'SQ_Auditoreingaben '!G292</f>
        <v>4</v>
      </c>
      <c r="H297" s="576"/>
      <c r="I297" s="69"/>
      <c r="J297" s="18">
        <v>5</v>
      </c>
      <c r="K297" s="364"/>
      <c r="L297" s="80"/>
      <c r="M297" s="570"/>
      <c r="N297" s="570"/>
      <c r="O297" s="570"/>
      <c r="P297" s="571"/>
      <c r="R297" s="18">
        <f t="shared" si="4"/>
        <v>0</v>
      </c>
      <c r="S297" s="338"/>
      <c r="T297" s="344"/>
      <c r="U297" s="344"/>
      <c r="V297" s="344"/>
      <c r="W297" s="475"/>
    </row>
    <row r="298" spans="2:23" ht="79.2" x14ac:dyDescent="0.25">
      <c r="B298" s="375"/>
      <c r="C298" s="351"/>
      <c r="D298" s="71" t="s">
        <v>258</v>
      </c>
      <c r="E298" s="77" t="s">
        <v>664</v>
      </c>
      <c r="F298" s="576"/>
      <c r="G298" s="82">
        <f>'SQ_Auditoreingaben '!G296</f>
        <v>0</v>
      </c>
      <c r="H298" s="576"/>
      <c r="I298" s="69"/>
      <c r="J298" s="18">
        <v>5</v>
      </c>
      <c r="K298" s="364"/>
      <c r="L298" s="80"/>
      <c r="M298" s="570"/>
      <c r="N298" s="570"/>
      <c r="O298" s="570"/>
      <c r="P298" s="571"/>
      <c r="R298" s="18">
        <f t="shared" si="4"/>
        <v>0</v>
      </c>
      <c r="S298" s="339"/>
      <c r="T298" s="365"/>
      <c r="U298" s="344"/>
      <c r="V298" s="344"/>
      <c r="W298" s="475"/>
    </row>
    <row r="299" spans="2:23" x14ac:dyDescent="0.25">
      <c r="B299" s="55" t="s">
        <v>362</v>
      </c>
      <c r="C299" s="354" t="s">
        <v>363</v>
      </c>
      <c r="D299" s="354"/>
      <c r="E299" s="354"/>
      <c r="F299" s="78">
        <f>'SQ_Auditoreingaben '!F297</f>
        <v>84</v>
      </c>
      <c r="G299" s="364"/>
      <c r="H299" s="91">
        <f>S299</f>
        <v>0</v>
      </c>
      <c r="I299" s="364"/>
      <c r="J299" s="21">
        <v>100</v>
      </c>
      <c r="K299" s="88">
        <v>5</v>
      </c>
      <c r="L299" s="80"/>
      <c r="M299" s="570"/>
      <c r="N299" s="570"/>
      <c r="O299" s="570"/>
      <c r="P299" s="571"/>
      <c r="R299" s="18">
        <f t="shared" si="4"/>
        <v>0</v>
      </c>
      <c r="S299" s="337">
        <f>SUM(R301:R315)</f>
        <v>0</v>
      </c>
      <c r="T299" s="343">
        <f>S299/100</f>
        <v>0</v>
      </c>
      <c r="U299" s="344"/>
      <c r="V299" s="344"/>
      <c r="W299" s="475"/>
    </row>
    <row r="300" spans="2:23" x14ac:dyDescent="0.25">
      <c r="B300" s="375"/>
      <c r="C300" s="351" t="s">
        <v>54</v>
      </c>
      <c r="D300" s="354" t="s">
        <v>364</v>
      </c>
      <c r="E300" s="354"/>
      <c r="F300" s="576"/>
      <c r="G300" s="364"/>
      <c r="H300" s="576"/>
      <c r="I300" s="364"/>
      <c r="J300" s="21">
        <v>20</v>
      </c>
      <c r="K300" s="364"/>
      <c r="L300" s="80"/>
      <c r="M300" s="570"/>
      <c r="N300" s="570"/>
      <c r="O300" s="570"/>
      <c r="P300" s="571"/>
      <c r="R300" s="18">
        <f t="shared" si="4"/>
        <v>0</v>
      </c>
      <c r="S300" s="338"/>
      <c r="T300" s="344"/>
      <c r="U300" s="344"/>
      <c r="V300" s="344"/>
      <c r="W300" s="475"/>
    </row>
    <row r="301" spans="2:23" ht="118.8" x14ac:dyDescent="0.25">
      <c r="B301" s="375"/>
      <c r="C301" s="351"/>
      <c r="D301" s="71" t="s">
        <v>58</v>
      </c>
      <c r="E301" s="77" t="s">
        <v>720</v>
      </c>
      <c r="F301" s="576"/>
      <c r="G301" s="82">
        <f>'SQ_Auditoreingaben '!G299</f>
        <v>15</v>
      </c>
      <c r="H301" s="576"/>
      <c r="I301" s="69"/>
      <c r="J301" s="18">
        <v>10</v>
      </c>
      <c r="K301" s="364"/>
      <c r="L301" s="80"/>
      <c r="M301" s="570"/>
      <c r="N301" s="570"/>
      <c r="O301" s="570"/>
      <c r="P301" s="571"/>
      <c r="R301" s="18">
        <f t="shared" si="4"/>
        <v>0</v>
      </c>
      <c r="S301" s="338"/>
      <c r="T301" s="344"/>
      <c r="U301" s="344"/>
      <c r="V301" s="344"/>
      <c r="W301" s="475"/>
    </row>
    <row r="302" spans="2:23" ht="52.8" x14ac:dyDescent="0.25">
      <c r="B302" s="375"/>
      <c r="C302" s="351"/>
      <c r="D302" s="71" t="s">
        <v>181</v>
      </c>
      <c r="E302" s="77" t="s">
        <v>719</v>
      </c>
      <c r="F302" s="576"/>
      <c r="G302" s="82">
        <f>'SQ_Auditoreingaben '!G300</f>
        <v>0</v>
      </c>
      <c r="H302" s="576"/>
      <c r="I302" s="69"/>
      <c r="J302" s="18">
        <v>5</v>
      </c>
      <c r="K302" s="364"/>
      <c r="L302" s="80"/>
      <c r="M302" s="570"/>
      <c r="N302" s="570"/>
      <c r="O302" s="570"/>
      <c r="P302" s="571"/>
      <c r="R302" s="18">
        <f t="shared" si="4"/>
        <v>0</v>
      </c>
      <c r="S302" s="338"/>
      <c r="T302" s="344"/>
      <c r="U302" s="344"/>
      <c r="V302" s="344"/>
      <c r="W302" s="475"/>
    </row>
    <row r="303" spans="2:23" ht="39.6" x14ac:dyDescent="0.25">
      <c r="B303" s="375"/>
      <c r="C303" s="351"/>
      <c r="D303" s="71" t="s">
        <v>246</v>
      </c>
      <c r="E303" s="77" t="s">
        <v>721</v>
      </c>
      <c r="F303" s="576"/>
      <c r="G303" s="82" t="e">
        <f>'SQ_Auditoreingaben '!#REF!</f>
        <v>#REF!</v>
      </c>
      <c r="H303" s="576"/>
      <c r="I303" s="69"/>
      <c r="J303" s="18">
        <v>5</v>
      </c>
      <c r="K303" s="364"/>
      <c r="L303" s="80"/>
      <c r="M303" s="570"/>
      <c r="N303" s="570"/>
      <c r="O303" s="570"/>
      <c r="P303" s="571"/>
      <c r="R303" s="18">
        <f t="shared" si="4"/>
        <v>0</v>
      </c>
      <c r="S303" s="338"/>
      <c r="T303" s="344"/>
      <c r="U303" s="344"/>
      <c r="V303" s="344"/>
      <c r="W303" s="475"/>
    </row>
    <row r="304" spans="2:23" x14ac:dyDescent="0.25">
      <c r="B304" s="375"/>
      <c r="C304" s="351" t="s">
        <v>61</v>
      </c>
      <c r="D304" s="354" t="s">
        <v>365</v>
      </c>
      <c r="E304" s="354"/>
      <c r="F304" s="576"/>
      <c r="G304" s="113"/>
      <c r="H304" s="576"/>
      <c r="I304" s="113"/>
      <c r="J304" s="21">
        <v>40</v>
      </c>
      <c r="K304" s="364"/>
      <c r="L304" s="80"/>
      <c r="M304" s="570"/>
      <c r="N304" s="570"/>
      <c r="O304" s="570"/>
      <c r="P304" s="571"/>
      <c r="R304" s="18">
        <f t="shared" si="4"/>
        <v>0</v>
      </c>
      <c r="S304" s="338"/>
      <c r="T304" s="344"/>
      <c r="U304" s="344"/>
      <c r="V304" s="344"/>
      <c r="W304" s="475"/>
    </row>
    <row r="305" spans="2:23" ht="66" x14ac:dyDescent="0.25">
      <c r="B305" s="375"/>
      <c r="C305" s="351"/>
      <c r="D305" s="71" t="s">
        <v>63</v>
      </c>
      <c r="E305" s="77" t="s">
        <v>722</v>
      </c>
      <c r="F305" s="576"/>
      <c r="G305" s="82">
        <f>'SQ_Auditoreingaben '!G302</f>
        <v>8</v>
      </c>
      <c r="H305" s="576"/>
      <c r="I305" s="69"/>
      <c r="J305" s="18">
        <v>8</v>
      </c>
      <c r="K305" s="364"/>
      <c r="L305" s="80"/>
      <c r="M305" s="570"/>
      <c r="N305" s="570"/>
      <c r="O305" s="570"/>
      <c r="P305" s="571"/>
      <c r="R305" s="18">
        <f t="shared" si="4"/>
        <v>0</v>
      </c>
      <c r="S305" s="338"/>
      <c r="T305" s="344"/>
      <c r="U305" s="344"/>
      <c r="V305" s="344"/>
      <c r="W305" s="475"/>
    </row>
    <row r="306" spans="2:23" ht="66" x14ac:dyDescent="0.25">
      <c r="B306" s="375"/>
      <c r="C306" s="351"/>
      <c r="D306" s="71" t="s">
        <v>186</v>
      </c>
      <c r="E306" s="77" t="s">
        <v>723</v>
      </c>
      <c r="F306" s="576"/>
      <c r="G306" s="82">
        <f>'SQ_Auditoreingaben '!G303</f>
        <v>4</v>
      </c>
      <c r="H306" s="576"/>
      <c r="I306" s="69"/>
      <c r="J306" s="18">
        <v>4</v>
      </c>
      <c r="K306" s="364"/>
      <c r="L306" s="80"/>
      <c r="M306" s="570"/>
      <c r="N306" s="570"/>
      <c r="O306" s="570"/>
      <c r="P306" s="571"/>
      <c r="R306" s="18">
        <f t="shared" si="4"/>
        <v>0</v>
      </c>
      <c r="S306" s="338"/>
      <c r="T306" s="344"/>
      <c r="U306" s="344"/>
      <c r="V306" s="344"/>
      <c r="W306" s="475"/>
    </row>
    <row r="307" spans="2:23" ht="66" x14ac:dyDescent="0.25">
      <c r="B307" s="375"/>
      <c r="C307" s="351"/>
      <c r="D307" s="71" t="s">
        <v>255</v>
      </c>
      <c r="E307" s="77" t="s">
        <v>370</v>
      </c>
      <c r="F307" s="576"/>
      <c r="G307" s="82">
        <f>'SQ_Auditoreingaben '!G304</f>
        <v>4</v>
      </c>
      <c r="H307" s="576"/>
      <c r="I307" s="69"/>
      <c r="J307" s="18">
        <v>4</v>
      </c>
      <c r="K307" s="364"/>
      <c r="L307" s="80"/>
      <c r="M307" s="570"/>
      <c r="N307" s="570"/>
      <c r="O307" s="570"/>
      <c r="P307" s="571"/>
      <c r="R307" s="18">
        <f t="shared" si="4"/>
        <v>0</v>
      </c>
      <c r="S307" s="338"/>
      <c r="T307" s="344"/>
      <c r="U307" s="344"/>
      <c r="V307" s="344"/>
      <c r="W307" s="475"/>
    </row>
    <row r="308" spans="2:23" ht="92.4" x14ac:dyDescent="0.25">
      <c r="B308" s="375"/>
      <c r="C308" s="351"/>
      <c r="D308" s="71" t="s">
        <v>256</v>
      </c>
      <c r="E308" s="77" t="s">
        <v>724</v>
      </c>
      <c r="F308" s="576"/>
      <c r="G308" s="82">
        <f>'SQ_Auditoreingaben '!G305</f>
        <v>6</v>
      </c>
      <c r="H308" s="576"/>
      <c r="I308" s="69"/>
      <c r="J308" s="18">
        <v>8</v>
      </c>
      <c r="K308" s="364"/>
      <c r="L308" s="80"/>
      <c r="M308" s="570"/>
      <c r="N308" s="570"/>
      <c r="O308" s="570"/>
      <c r="P308" s="571"/>
      <c r="R308" s="18">
        <f t="shared" si="4"/>
        <v>0</v>
      </c>
      <c r="S308" s="338"/>
      <c r="T308" s="344"/>
      <c r="U308" s="344"/>
      <c r="V308" s="344"/>
      <c r="W308" s="475"/>
    </row>
    <row r="309" spans="2:23" ht="105.6" x14ac:dyDescent="0.25">
      <c r="B309" s="375"/>
      <c r="C309" s="351"/>
      <c r="D309" s="71" t="s">
        <v>257</v>
      </c>
      <c r="E309" s="77" t="s">
        <v>725</v>
      </c>
      <c r="F309" s="576"/>
      <c r="G309" s="82">
        <f>'SQ_Auditoreingaben '!G306</f>
        <v>13</v>
      </c>
      <c r="H309" s="576"/>
      <c r="I309" s="69"/>
      <c r="J309" s="18">
        <v>8</v>
      </c>
      <c r="K309" s="364"/>
      <c r="L309" s="80"/>
      <c r="M309" s="570"/>
      <c r="N309" s="570"/>
      <c r="O309" s="570"/>
      <c r="P309" s="571"/>
      <c r="R309" s="18">
        <f t="shared" si="4"/>
        <v>0</v>
      </c>
      <c r="S309" s="338"/>
      <c r="T309" s="344"/>
      <c r="U309" s="344"/>
      <c r="V309" s="344"/>
      <c r="W309" s="475"/>
    </row>
    <row r="310" spans="2:23" ht="92.4" x14ac:dyDescent="0.25">
      <c r="B310" s="375"/>
      <c r="C310" s="351"/>
      <c r="D310" s="71" t="s">
        <v>258</v>
      </c>
      <c r="E310" s="77" t="s">
        <v>726</v>
      </c>
      <c r="F310" s="576"/>
      <c r="G310" s="82">
        <f>'SQ_Auditoreingaben '!G307</f>
        <v>4</v>
      </c>
      <c r="H310" s="576"/>
      <c r="I310" s="69"/>
      <c r="J310" s="18">
        <v>8</v>
      </c>
      <c r="K310" s="364"/>
      <c r="L310" s="80"/>
      <c r="M310" s="570"/>
      <c r="N310" s="570"/>
      <c r="O310" s="570"/>
      <c r="P310" s="571"/>
      <c r="R310" s="18">
        <f t="shared" si="4"/>
        <v>0</v>
      </c>
      <c r="S310" s="338"/>
      <c r="T310" s="344"/>
      <c r="U310" s="344"/>
      <c r="V310" s="344"/>
      <c r="W310" s="475"/>
    </row>
    <row r="311" spans="2:23" x14ac:dyDescent="0.25">
      <c r="B311" s="375"/>
      <c r="C311" s="351" t="s">
        <v>64</v>
      </c>
      <c r="D311" s="354" t="s">
        <v>367</v>
      </c>
      <c r="E311" s="354"/>
      <c r="F311" s="576"/>
      <c r="G311" s="113"/>
      <c r="H311" s="576"/>
      <c r="I311" s="113"/>
      <c r="J311" s="21">
        <v>40</v>
      </c>
      <c r="K311" s="364"/>
      <c r="L311" s="80"/>
      <c r="M311" s="570"/>
      <c r="N311" s="570"/>
      <c r="O311" s="570"/>
      <c r="P311" s="571"/>
      <c r="R311" s="18">
        <f t="shared" si="4"/>
        <v>0</v>
      </c>
      <c r="S311" s="338"/>
      <c r="T311" s="344"/>
      <c r="U311" s="344"/>
      <c r="V311" s="344"/>
      <c r="W311" s="475"/>
    </row>
    <row r="312" spans="2:23" ht="134.4" x14ac:dyDescent="0.25">
      <c r="B312" s="375"/>
      <c r="C312" s="351"/>
      <c r="D312" s="71" t="s">
        <v>66</v>
      </c>
      <c r="E312" s="87" t="s">
        <v>727</v>
      </c>
      <c r="F312" s="576"/>
      <c r="G312" s="82">
        <f>'SQ_Auditoreingaben '!G309</f>
        <v>15</v>
      </c>
      <c r="H312" s="576"/>
      <c r="I312" s="69"/>
      <c r="J312" s="18">
        <v>25</v>
      </c>
      <c r="K312" s="364"/>
      <c r="L312" s="80"/>
      <c r="M312" s="570"/>
      <c r="N312" s="570"/>
      <c r="O312" s="570"/>
      <c r="P312" s="571"/>
      <c r="R312" s="18">
        <f t="shared" si="4"/>
        <v>0</v>
      </c>
      <c r="S312" s="338"/>
      <c r="T312" s="344"/>
      <c r="U312" s="344"/>
      <c r="V312" s="344"/>
      <c r="W312" s="475"/>
    </row>
    <row r="313" spans="2:23" ht="26.4" x14ac:dyDescent="0.25">
      <c r="B313" s="375"/>
      <c r="C313" s="351"/>
      <c r="D313" s="361" t="s">
        <v>150</v>
      </c>
      <c r="E313" s="77" t="s">
        <v>371</v>
      </c>
      <c r="F313" s="576"/>
      <c r="G313" s="113"/>
      <c r="H313" s="576"/>
      <c r="I313" s="113"/>
      <c r="J313" s="21">
        <v>15</v>
      </c>
      <c r="K313" s="364"/>
      <c r="L313" s="80"/>
      <c r="M313" s="570"/>
      <c r="N313" s="570"/>
      <c r="O313" s="570"/>
      <c r="P313" s="571"/>
      <c r="R313" s="18">
        <f t="shared" si="4"/>
        <v>0</v>
      </c>
      <c r="S313" s="338"/>
      <c r="T313" s="344"/>
      <c r="U313" s="344"/>
      <c r="V313" s="344"/>
      <c r="W313" s="475"/>
    </row>
    <row r="314" spans="2:23" ht="39.6" x14ac:dyDescent="0.25">
      <c r="B314" s="375"/>
      <c r="C314" s="351"/>
      <c r="D314" s="361"/>
      <c r="E314" s="77" t="s">
        <v>368</v>
      </c>
      <c r="F314" s="576"/>
      <c r="G314" s="82">
        <f>'SQ_Auditoreingaben '!G311</f>
        <v>5</v>
      </c>
      <c r="H314" s="576"/>
      <c r="I314" s="69"/>
      <c r="J314" s="18">
        <v>5</v>
      </c>
      <c r="K314" s="364"/>
      <c r="L314" s="80"/>
      <c r="M314" s="570"/>
      <c r="N314" s="570"/>
      <c r="O314" s="570"/>
      <c r="P314" s="571"/>
      <c r="R314" s="18">
        <f t="shared" si="4"/>
        <v>0</v>
      </c>
      <c r="S314" s="338"/>
      <c r="T314" s="344"/>
      <c r="U314" s="344"/>
      <c r="V314" s="344"/>
      <c r="W314" s="475"/>
    </row>
    <row r="315" spans="2:23" ht="26.4" x14ac:dyDescent="0.25">
      <c r="B315" s="375"/>
      <c r="C315" s="351"/>
      <c r="D315" s="361"/>
      <c r="E315" s="77" t="s">
        <v>369</v>
      </c>
      <c r="F315" s="576"/>
      <c r="G315" s="82">
        <f>'SQ_Auditoreingaben '!G312</f>
        <v>10</v>
      </c>
      <c r="H315" s="576"/>
      <c r="I315" s="69"/>
      <c r="J315" s="18">
        <v>10</v>
      </c>
      <c r="K315" s="364"/>
      <c r="L315" s="80"/>
      <c r="M315" s="570"/>
      <c r="N315" s="570"/>
      <c r="O315" s="570"/>
      <c r="P315" s="571"/>
      <c r="R315" s="18">
        <f t="shared" si="4"/>
        <v>0</v>
      </c>
      <c r="S315" s="339"/>
      <c r="T315" s="365"/>
      <c r="U315" s="344"/>
      <c r="V315" s="344"/>
      <c r="W315" s="475"/>
    </row>
    <row r="316" spans="2:23" x14ac:dyDescent="0.25">
      <c r="B316" s="55" t="s">
        <v>372</v>
      </c>
      <c r="C316" s="354" t="s">
        <v>373</v>
      </c>
      <c r="D316" s="354"/>
      <c r="E316" s="354"/>
      <c r="F316" s="78">
        <f>'SQ_Auditoreingaben '!F313</f>
        <v>105</v>
      </c>
      <c r="G316" s="364"/>
      <c r="H316" s="91">
        <f>S316</f>
        <v>0</v>
      </c>
      <c r="I316" s="364"/>
      <c r="J316" s="21">
        <v>110</v>
      </c>
      <c r="K316" s="88">
        <v>3</v>
      </c>
      <c r="L316" s="80"/>
      <c r="M316" s="570"/>
      <c r="N316" s="570"/>
      <c r="O316" s="570"/>
      <c r="P316" s="571"/>
      <c r="R316" s="18">
        <f t="shared" si="4"/>
        <v>0</v>
      </c>
      <c r="S316" s="337">
        <f>SUM(SUM(R318:R322),IF(SUM(R324:R331)&gt;50,50,SUM(R324:R331)),R333)</f>
        <v>0</v>
      </c>
      <c r="T316" s="343">
        <f>S316/100</f>
        <v>0</v>
      </c>
      <c r="U316" s="344"/>
      <c r="V316" s="344"/>
      <c r="W316" s="475"/>
    </row>
    <row r="317" spans="2:23" x14ac:dyDescent="0.25">
      <c r="B317" s="375"/>
      <c r="C317" s="351" t="s">
        <v>54</v>
      </c>
      <c r="D317" s="354" t="s">
        <v>374</v>
      </c>
      <c r="E317" s="354"/>
      <c r="F317" s="576"/>
      <c r="G317" s="364"/>
      <c r="H317" s="576"/>
      <c r="I317" s="364"/>
      <c r="J317" s="21">
        <v>50</v>
      </c>
      <c r="K317" s="364"/>
      <c r="L317" s="80"/>
      <c r="M317" s="570"/>
      <c r="N317" s="570"/>
      <c r="O317" s="570"/>
      <c r="P317" s="571"/>
      <c r="R317" s="18">
        <f t="shared" si="4"/>
        <v>0</v>
      </c>
      <c r="S317" s="338"/>
      <c r="T317" s="344"/>
      <c r="U317" s="344"/>
      <c r="V317" s="344"/>
      <c r="W317" s="475"/>
    </row>
    <row r="318" spans="2:23" ht="39.6" x14ac:dyDescent="0.25">
      <c r="B318" s="375"/>
      <c r="C318" s="351"/>
      <c r="D318" s="71" t="s">
        <v>58</v>
      </c>
      <c r="E318" s="93" t="s">
        <v>665</v>
      </c>
      <c r="F318" s="576"/>
      <c r="G318" s="82">
        <f>'SQ_Auditoreingaben '!G315</f>
        <v>15</v>
      </c>
      <c r="H318" s="576"/>
      <c r="I318" s="69"/>
      <c r="J318" s="18">
        <v>15</v>
      </c>
      <c r="K318" s="364"/>
      <c r="L318" s="80"/>
      <c r="M318" s="570"/>
      <c r="N318" s="570"/>
      <c r="O318" s="570"/>
      <c r="P318" s="571"/>
      <c r="R318" s="18">
        <f t="shared" si="4"/>
        <v>0</v>
      </c>
      <c r="S318" s="338"/>
      <c r="T318" s="344"/>
      <c r="U318" s="344"/>
      <c r="V318" s="344"/>
      <c r="W318" s="475"/>
    </row>
    <row r="319" spans="2:23" ht="39.6" x14ac:dyDescent="0.25">
      <c r="B319" s="375"/>
      <c r="C319" s="351"/>
      <c r="D319" s="71" t="s">
        <v>181</v>
      </c>
      <c r="E319" s="93" t="s">
        <v>666</v>
      </c>
      <c r="F319" s="576"/>
      <c r="G319" s="82">
        <f>'SQ_Auditoreingaben '!G316</f>
        <v>5</v>
      </c>
      <c r="H319" s="576"/>
      <c r="I319" s="69"/>
      <c r="J319" s="18">
        <v>5</v>
      </c>
      <c r="K319" s="364"/>
      <c r="L319" s="80"/>
      <c r="M319" s="570"/>
      <c r="N319" s="570"/>
      <c r="O319" s="570"/>
      <c r="P319" s="571"/>
      <c r="R319" s="18">
        <f t="shared" si="4"/>
        <v>0</v>
      </c>
      <c r="S319" s="338"/>
      <c r="T319" s="344"/>
      <c r="U319" s="344"/>
      <c r="V319" s="344"/>
      <c r="W319" s="475"/>
    </row>
    <row r="320" spans="2:23" ht="79.2" x14ac:dyDescent="0.25">
      <c r="B320" s="375"/>
      <c r="C320" s="351"/>
      <c r="D320" s="71" t="s">
        <v>246</v>
      </c>
      <c r="E320" s="77" t="s">
        <v>667</v>
      </c>
      <c r="F320" s="576"/>
      <c r="G320" s="82">
        <f>'SQ_Auditoreingaben '!G317</f>
        <v>10</v>
      </c>
      <c r="H320" s="576"/>
      <c r="I320" s="69"/>
      <c r="J320" s="18">
        <v>15</v>
      </c>
      <c r="K320" s="364"/>
      <c r="L320" s="80"/>
      <c r="M320" s="570"/>
      <c r="N320" s="570"/>
      <c r="O320" s="570"/>
      <c r="P320" s="571"/>
      <c r="R320" s="18">
        <f t="shared" si="4"/>
        <v>0</v>
      </c>
      <c r="S320" s="338"/>
      <c r="T320" s="344"/>
      <c r="U320" s="344"/>
      <c r="V320" s="344"/>
      <c r="W320" s="475"/>
    </row>
    <row r="321" spans="2:23" ht="26.4" x14ac:dyDescent="0.25">
      <c r="B321" s="375"/>
      <c r="C321" s="351"/>
      <c r="D321" s="71" t="s">
        <v>250</v>
      </c>
      <c r="E321" s="77" t="s">
        <v>728</v>
      </c>
      <c r="F321" s="576"/>
      <c r="G321" s="82">
        <f>'SQ_Auditoreingaben '!G318</f>
        <v>10</v>
      </c>
      <c r="H321" s="576"/>
      <c r="I321" s="69"/>
      <c r="J321" s="18">
        <v>10</v>
      </c>
      <c r="K321" s="364"/>
      <c r="L321" s="80"/>
      <c r="M321" s="570"/>
      <c r="N321" s="570"/>
      <c r="O321" s="570"/>
      <c r="P321" s="571"/>
      <c r="R321" s="18">
        <f t="shared" si="4"/>
        <v>0</v>
      </c>
      <c r="S321" s="338"/>
      <c r="T321" s="344"/>
      <c r="U321" s="344"/>
      <c r="V321" s="344"/>
      <c r="W321" s="475"/>
    </row>
    <row r="322" spans="2:23" ht="52.8" x14ac:dyDescent="0.25">
      <c r="B322" s="375"/>
      <c r="C322" s="351"/>
      <c r="D322" s="71" t="s">
        <v>121</v>
      </c>
      <c r="E322" s="77" t="s">
        <v>668</v>
      </c>
      <c r="F322" s="576"/>
      <c r="G322" s="82">
        <f>'SQ_Auditoreingaben '!G319</f>
        <v>5</v>
      </c>
      <c r="H322" s="576"/>
      <c r="I322" s="69"/>
      <c r="J322" s="18">
        <v>5</v>
      </c>
      <c r="K322" s="364"/>
      <c r="L322" s="80"/>
      <c r="M322" s="570"/>
      <c r="N322" s="570"/>
      <c r="O322" s="570"/>
      <c r="P322" s="571"/>
      <c r="R322" s="18">
        <f t="shared" si="4"/>
        <v>0</v>
      </c>
      <c r="S322" s="338"/>
      <c r="T322" s="344"/>
      <c r="U322" s="344"/>
      <c r="V322" s="344"/>
      <c r="W322" s="475"/>
    </row>
    <row r="323" spans="2:23" x14ac:dyDescent="0.25">
      <c r="B323" s="375"/>
      <c r="C323" s="351" t="s">
        <v>61</v>
      </c>
      <c r="D323" s="354" t="s">
        <v>375</v>
      </c>
      <c r="E323" s="354"/>
      <c r="F323" s="576"/>
      <c r="G323" s="113"/>
      <c r="H323" s="576"/>
      <c r="I323" s="113"/>
      <c r="J323" s="21">
        <v>50</v>
      </c>
      <c r="K323" s="364"/>
      <c r="L323" s="80"/>
      <c r="M323" s="570"/>
      <c r="N323" s="570"/>
      <c r="O323" s="570"/>
      <c r="P323" s="571"/>
      <c r="R323" s="18">
        <f t="shared" si="4"/>
        <v>0</v>
      </c>
      <c r="S323" s="338"/>
      <c r="T323" s="344"/>
      <c r="U323" s="344"/>
      <c r="V323" s="344"/>
      <c r="W323" s="475"/>
    </row>
    <row r="324" spans="2:23" ht="39.6" x14ac:dyDescent="0.25">
      <c r="B324" s="375"/>
      <c r="C324" s="351"/>
      <c r="D324" s="71" t="s">
        <v>63</v>
      </c>
      <c r="E324" s="77" t="s">
        <v>376</v>
      </c>
      <c r="F324" s="576"/>
      <c r="G324" s="82">
        <f>'SQ_Auditoreingaben '!G321</f>
        <v>10</v>
      </c>
      <c r="H324" s="576"/>
      <c r="I324" s="69"/>
      <c r="J324" s="18">
        <v>10</v>
      </c>
      <c r="K324" s="364"/>
      <c r="L324" s="80"/>
      <c r="M324" s="570"/>
      <c r="N324" s="570"/>
      <c r="O324" s="570"/>
      <c r="P324" s="571"/>
      <c r="R324" s="18">
        <f t="shared" si="4"/>
        <v>0</v>
      </c>
      <c r="S324" s="338"/>
      <c r="T324" s="344"/>
      <c r="U324" s="344"/>
      <c r="V324" s="344"/>
      <c r="W324" s="475"/>
    </row>
    <row r="325" spans="2:23" ht="66" x14ac:dyDescent="0.25">
      <c r="B325" s="375"/>
      <c r="C325" s="351"/>
      <c r="D325" s="71" t="s">
        <v>186</v>
      </c>
      <c r="E325" s="77" t="s">
        <v>669</v>
      </c>
      <c r="F325" s="576"/>
      <c r="G325" s="82">
        <f>'SQ_Auditoreingaben '!G322</f>
        <v>15</v>
      </c>
      <c r="H325" s="576"/>
      <c r="I325" s="69"/>
      <c r="J325" s="18">
        <v>15</v>
      </c>
      <c r="K325" s="364"/>
      <c r="L325" s="80"/>
      <c r="M325" s="570"/>
      <c r="N325" s="570"/>
      <c r="O325" s="570"/>
      <c r="P325" s="571"/>
      <c r="R325" s="18">
        <f t="shared" si="4"/>
        <v>0</v>
      </c>
      <c r="S325" s="338"/>
      <c r="T325" s="344"/>
      <c r="U325" s="344"/>
      <c r="V325" s="344"/>
      <c r="W325" s="475"/>
    </row>
    <row r="326" spans="2:23" ht="66" x14ac:dyDescent="0.25">
      <c r="B326" s="375"/>
      <c r="C326" s="351"/>
      <c r="D326" s="71" t="s">
        <v>255</v>
      </c>
      <c r="E326" s="77" t="s">
        <v>729</v>
      </c>
      <c r="F326" s="576"/>
      <c r="G326" s="82">
        <f>'SQ_Auditoreingaben '!G323</f>
        <v>5</v>
      </c>
      <c r="H326" s="576"/>
      <c r="I326" s="69"/>
      <c r="J326" s="18">
        <v>5</v>
      </c>
      <c r="K326" s="364"/>
      <c r="L326" s="80"/>
      <c r="M326" s="570"/>
      <c r="N326" s="570"/>
      <c r="O326" s="570"/>
      <c r="P326" s="571"/>
      <c r="R326" s="18">
        <f t="shared" si="4"/>
        <v>0</v>
      </c>
      <c r="S326" s="338"/>
      <c r="T326" s="344"/>
      <c r="U326" s="344"/>
      <c r="V326" s="344"/>
      <c r="W326" s="475"/>
    </row>
    <row r="327" spans="2:23" ht="39.6" x14ac:dyDescent="0.25">
      <c r="B327" s="375"/>
      <c r="C327" s="351"/>
      <c r="D327" s="71" t="s">
        <v>256</v>
      </c>
      <c r="E327" s="77" t="s">
        <v>730</v>
      </c>
      <c r="F327" s="576"/>
      <c r="G327" s="82">
        <f>'SQ_Auditoreingaben '!G324</f>
        <v>0</v>
      </c>
      <c r="H327" s="576"/>
      <c r="I327" s="69"/>
      <c r="J327" s="18">
        <v>5</v>
      </c>
      <c r="K327" s="364"/>
      <c r="L327" s="80"/>
      <c r="M327" s="570"/>
      <c r="N327" s="570"/>
      <c r="O327" s="570"/>
      <c r="P327" s="571"/>
      <c r="R327" s="18">
        <f t="shared" si="4"/>
        <v>0</v>
      </c>
      <c r="S327" s="338"/>
      <c r="T327" s="344"/>
      <c r="U327" s="344"/>
      <c r="V327" s="344"/>
      <c r="W327" s="475"/>
    </row>
    <row r="328" spans="2:23" ht="52.8" x14ac:dyDescent="0.25">
      <c r="B328" s="375"/>
      <c r="C328" s="351"/>
      <c r="D328" s="71" t="s">
        <v>257</v>
      </c>
      <c r="E328" s="77" t="s">
        <v>670</v>
      </c>
      <c r="F328" s="576"/>
      <c r="G328" s="82">
        <f>'SQ_Auditoreingaben '!G325</f>
        <v>5</v>
      </c>
      <c r="H328" s="576"/>
      <c r="I328" s="69"/>
      <c r="J328" s="18">
        <v>5</v>
      </c>
      <c r="K328" s="364"/>
      <c r="L328" s="80"/>
      <c r="M328" s="570"/>
      <c r="N328" s="570"/>
      <c r="O328" s="570"/>
      <c r="P328" s="571"/>
      <c r="R328" s="18">
        <f t="shared" si="4"/>
        <v>0</v>
      </c>
      <c r="S328" s="338"/>
      <c r="T328" s="344"/>
      <c r="U328" s="344"/>
      <c r="V328" s="344"/>
      <c r="W328" s="475"/>
    </row>
    <row r="329" spans="2:23" ht="66" x14ac:dyDescent="0.25">
      <c r="B329" s="375"/>
      <c r="C329" s="351"/>
      <c r="D329" s="71" t="s">
        <v>258</v>
      </c>
      <c r="E329" s="77" t="s">
        <v>671</v>
      </c>
      <c r="F329" s="576"/>
      <c r="G329" s="82">
        <f>'SQ_Auditoreingaben '!G326</f>
        <v>5</v>
      </c>
      <c r="H329" s="576"/>
      <c r="I329" s="69"/>
      <c r="J329" s="18">
        <v>5</v>
      </c>
      <c r="K329" s="364"/>
      <c r="L329" s="80"/>
      <c r="M329" s="570"/>
      <c r="N329" s="570"/>
      <c r="O329" s="570"/>
      <c r="P329" s="571"/>
      <c r="R329" s="18">
        <f t="shared" si="4"/>
        <v>0</v>
      </c>
      <c r="S329" s="338"/>
      <c r="T329" s="344"/>
      <c r="U329" s="344"/>
      <c r="V329" s="344"/>
      <c r="W329" s="475"/>
    </row>
    <row r="330" spans="2:23" ht="66" x14ac:dyDescent="0.25">
      <c r="B330" s="375"/>
      <c r="C330" s="351"/>
      <c r="D330" s="71" t="s">
        <v>259</v>
      </c>
      <c r="E330" s="77" t="s">
        <v>675</v>
      </c>
      <c r="F330" s="576"/>
      <c r="G330" s="82">
        <f>'SQ_Auditoreingaben '!G327</f>
        <v>10</v>
      </c>
      <c r="H330" s="576"/>
      <c r="I330" s="69"/>
      <c r="J330" s="18">
        <v>10</v>
      </c>
      <c r="K330" s="364"/>
      <c r="L330" s="80"/>
      <c r="M330" s="570"/>
      <c r="N330" s="570"/>
      <c r="O330" s="570"/>
      <c r="P330" s="571"/>
      <c r="R330" s="18">
        <f t="shared" si="4"/>
        <v>0</v>
      </c>
      <c r="S330" s="338"/>
      <c r="T330" s="344"/>
      <c r="U330" s="344"/>
      <c r="V330" s="344"/>
      <c r="W330" s="475"/>
    </row>
    <row r="331" spans="2:23" ht="39.6" x14ac:dyDescent="0.25">
      <c r="B331" s="375"/>
      <c r="C331" s="351"/>
      <c r="D331" s="71" t="s">
        <v>366</v>
      </c>
      <c r="E331" s="77" t="s">
        <v>674</v>
      </c>
      <c r="F331" s="576"/>
      <c r="G331" s="82">
        <f>'SQ_Auditoreingaben '!G328</f>
        <v>5</v>
      </c>
      <c r="H331" s="576"/>
      <c r="I331" s="69"/>
      <c r="J331" s="18">
        <v>5</v>
      </c>
      <c r="K331" s="364"/>
      <c r="L331" s="80"/>
      <c r="M331" s="570"/>
      <c r="N331" s="570"/>
      <c r="O331" s="570"/>
      <c r="P331" s="571"/>
      <c r="R331" s="18">
        <f t="shared" si="4"/>
        <v>0</v>
      </c>
      <c r="S331" s="338"/>
      <c r="T331" s="344"/>
      <c r="U331" s="344"/>
      <c r="V331" s="344"/>
      <c r="W331" s="475"/>
    </row>
    <row r="332" spans="2:23" s="76" customFormat="1" ht="27" customHeight="1" x14ac:dyDescent="0.25">
      <c r="B332" s="375"/>
      <c r="C332" s="392" t="s">
        <v>67</v>
      </c>
      <c r="D332" s="580" t="s">
        <v>672</v>
      </c>
      <c r="E332" s="580"/>
      <c r="F332" s="576"/>
      <c r="G332" s="113"/>
      <c r="H332" s="576"/>
      <c r="I332" s="113"/>
      <c r="J332" s="94">
        <v>10</v>
      </c>
      <c r="K332" s="364"/>
      <c r="L332" s="80"/>
      <c r="M332" s="570"/>
      <c r="N332" s="570"/>
      <c r="O332" s="570"/>
      <c r="P332" s="571"/>
      <c r="R332" s="18">
        <f t="shared" si="4"/>
        <v>0</v>
      </c>
      <c r="S332" s="338"/>
      <c r="T332" s="344"/>
      <c r="U332" s="344"/>
      <c r="V332" s="344"/>
      <c r="W332" s="475"/>
    </row>
    <row r="333" spans="2:23" ht="92.4" x14ac:dyDescent="0.25">
      <c r="B333" s="375"/>
      <c r="C333" s="392"/>
      <c r="D333" s="71" t="s">
        <v>69</v>
      </c>
      <c r="E333" s="77" t="s">
        <v>673</v>
      </c>
      <c r="F333" s="576"/>
      <c r="G333" s="82">
        <f>'SQ_Auditoreingaben '!G330</f>
        <v>10</v>
      </c>
      <c r="H333" s="576"/>
      <c r="I333" s="69"/>
      <c r="J333" s="18">
        <v>10</v>
      </c>
      <c r="K333" s="364"/>
      <c r="L333" s="80"/>
      <c r="M333" s="570"/>
      <c r="N333" s="570"/>
      <c r="O333" s="570"/>
      <c r="P333" s="571"/>
      <c r="R333" s="18">
        <f t="shared" si="4"/>
        <v>0</v>
      </c>
      <c r="S333" s="339"/>
      <c r="T333" s="365"/>
      <c r="U333" s="365"/>
      <c r="V333" s="365"/>
      <c r="W333" s="475"/>
    </row>
    <row r="334" spans="2:23" x14ac:dyDescent="0.25">
      <c r="B334" s="55" t="s">
        <v>378</v>
      </c>
      <c r="C334" s="354" t="s">
        <v>379</v>
      </c>
      <c r="D334" s="354"/>
      <c r="E334" s="354"/>
      <c r="F334" s="78">
        <f>'SQ_Auditoreingaben '!F331</f>
        <v>105</v>
      </c>
      <c r="G334" s="364"/>
      <c r="H334" s="91">
        <f>S334</f>
        <v>0</v>
      </c>
      <c r="I334" s="364"/>
      <c r="J334" s="21">
        <v>110</v>
      </c>
      <c r="K334" s="88">
        <v>4</v>
      </c>
      <c r="L334" s="80"/>
      <c r="M334" s="570"/>
      <c r="N334" s="570"/>
      <c r="O334" s="570"/>
      <c r="P334" s="571"/>
      <c r="R334" s="18">
        <f t="shared" si="4"/>
        <v>0</v>
      </c>
      <c r="S334" s="337">
        <f>SUM(R336:R348)</f>
        <v>0</v>
      </c>
      <c r="T334" s="343">
        <f>S334/100</f>
        <v>0</v>
      </c>
      <c r="U334" s="474">
        <v>0.2</v>
      </c>
      <c r="V334" s="343">
        <f>IF((T334*K334+T349*K349+T370*K370+T391*K391+T421*K421)/(K334+K349+K370+K391+K421)&gt;1,1,(T334*K334+T349*K349+T370*K370+T391*K391+T421*K421)/(K334+K349+K370+K391+K421))</f>
        <v>0</v>
      </c>
      <c r="W334" s="475"/>
    </row>
    <row r="335" spans="2:23" x14ac:dyDescent="0.25">
      <c r="B335" s="375"/>
      <c r="C335" s="351" t="s">
        <v>54</v>
      </c>
      <c r="D335" s="354" t="s">
        <v>380</v>
      </c>
      <c r="E335" s="354"/>
      <c r="F335" s="576"/>
      <c r="G335" s="364"/>
      <c r="H335" s="576"/>
      <c r="I335" s="364"/>
      <c r="J335" s="21">
        <v>40</v>
      </c>
      <c r="K335" s="364"/>
      <c r="L335" s="80"/>
      <c r="M335" s="570"/>
      <c r="N335" s="570"/>
      <c r="O335" s="570"/>
      <c r="P335" s="571"/>
      <c r="R335" s="18">
        <f t="shared" si="4"/>
        <v>0</v>
      </c>
      <c r="S335" s="338"/>
      <c r="T335" s="344"/>
      <c r="U335" s="474"/>
      <c r="V335" s="344"/>
      <c r="W335" s="475"/>
    </row>
    <row r="336" spans="2:23" ht="79.2" x14ac:dyDescent="0.25">
      <c r="B336" s="375"/>
      <c r="C336" s="351"/>
      <c r="D336" s="71" t="s">
        <v>58</v>
      </c>
      <c r="E336" s="77" t="s">
        <v>386</v>
      </c>
      <c r="F336" s="576"/>
      <c r="G336" s="82">
        <f>'SQ_Auditoreingaben '!G333</f>
        <v>10</v>
      </c>
      <c r="H336" s="576"/>
      <c r="I336" s="69"/>
      <c r="J336" s="18">
        <v>10</v>
      </c>
      <c r="K336" s="364"/>
      <c r="L336" s="80"/>
      <c r="M336" s="570"/>
      <c r="N336" s="570"/>
      <c r="O336" s="570"/>
      <c r="P336" s="571"/>
      <c r="R336" s="18">
        <f t="shared" si="4"/>
        <v>0</v>
      </c>
      <c r="S336" s="338"/>
      <c r="T336" s="344"/>
      <c r="U336" s="474"/>
      <c r="V336" s="344"/>
      <c r="W336" s="475"/>
    </row>
    <row r="337" spans="2:23" ht="66" x14ac:dyDescent="0.25">
      <c r="B337" s="375"/>
      <c r="C337" s="351"/>
      <c r="D337" s="71" t="s">
        <v>181</v>
      </c>
      <c r="E337" s="87" t="s">
        <v>676</v>
      </c>
      <c r="F337" s="576"/>
      <c r="G337" s="82">
        <f>'SQ_Auditoreingaben '!G334</f>
        <v>10</v>
      </c>
      <c r="H337" s="576"/>
      <c r="I337" s="69"/>
      <c r="J337" s="18">
        <v>10</v>
      </c>
      <c r="K337" s="364"/>
      <c r="L337" s="80"/>
      <c r="M337" s="570"/>
      <c r="N337" s="570"/>
      <c r="O337" s="570"/>
      <c r="P337" s="571"/>
      <c r="R337" s="18">
        <f t="shared" si="4"/>
        <v>0</v>
      </c>
      <c r="S337" s="338"/>
      <c r="T337" s="344"/>
      <c r="U337" s="474"/>
      <c r="V337" s="344"/>
      <c r="W337" s="475"/>
    </row>
    <row r="338" spans="2:23" ht="52.8" x14ac:dyDescent="0.25">
      <c r="B338" s="375"/>
      <c r="C338" s="351"/>
      <c r="D338" s="71" t="s">
        <v>246</v>
      </c>
      <c r="E338" s="77" t="s">
        <v>387</v>
      </c>
      <c r="F338" s="576"/>
      <c r="G338" s="82">
        <f>'SQ_Auditoreingaben '!G335</f>
        <v>6</v>
      </c>
      <c r="H338" s="576"/>
      <c r="I338" s="69"/>
      <c r="J338" s="18">
        <v>6</v>
      </c>
      <c r="K338" s="364"/>
      <c r="L338" s="80"/>
      <c r="M338" s="570"/>
      <c r="N338" s="570"/>
      <c r="O338" s="570"/>
      <c r="P338" s="571"/>
      <c r="R338" s="18">
        <f t="shared" si="4"/>
        <v>0</v>
      </c>
      <c r="S338" s="338"/>
      <c r="T338" s="344"/>
      <c r="U338" s="474"/>
      <c r="V338" s="344"/>
      <c r="W338" s="475"/>
    </row>
    <row r="339" spans="2:23" ht="66" x14ac:dyDescent="0.25">
      <c r="B339" s="375"/>
      <c r="C339" s="351"/>
      <c r="D339" s="71" t="s">
        <v>250</v>
      </c>
      <c r="E339" s="77" t="s">
        <v>388</v>
      </c>
      <c r="F339" s="576"/>
      <c r="G339" s="82">
        <f>'SQ_Auditoreingaben '!G336</f>
        <v>7</v>
      </c>
      <c r="H339" s="576"/>
      <c r="I339" s="69"/>
      <c r="J339" s="18">
        <v>7</v>
      </c>
      <c r="K339" s="364"/>
      <c r="L339" s="80"/>
      <c r="M339" s="570"/>
      <c r="N339" s="570"/>
      <c r="O339" s="570"/>
      <c r="P339" s="571"/>
      <c r="R339" s="18">
        <f t="shared" si="4"/>
        <v>0</v>
      </c>
      <c r="S339" s="338"/>
      <c r="T339" s="344"/>
      <c r="U339" s="474"/>
      <c r="V339" s="344"/>
      <c r="W339" s="475"/>
    </row>
    <row r="340" spans="2:23" ht="66" x14ac:dyDescent="0.25">
      <c r="B340" s="375"/>
      <c r="C340" s="351"/>
      <c r="D340" s="71" t="s">
        <v>121</v>
      </c>
      <c r="E340" s="77" t="s">
        <v>389</v>
      </c>
      <c r="F340" s="576"/>
      <c r="G340" s="82">
        <f>'SQ_Auditoreingaben '!G337</f>
        <v>7</v>
      </c>
      <c r="H340" s="576"/>
      <c r="I340" s="69"/>
      <c r="J340" s="18">
        <v>7</v>
      </c>
      <c r="K340" s="364"/>
      <c r="L340" s="80"/>
      <c r="M340" s="570"/>
      <c r="N340" s="570"/>
      <c r="O340" s="570"/>
      <c r="P340" s="571"/>
      <c r="R340" s="18">
        <f t="shared" si="4"/>
        <v>0</v>
      </c>
      <c r="S340" s="338"/>
      <c r="T340" s="344"/>
      <c r="U340" s="474"/>
      <c r="V340" s="344"/>
      <c r="W340" s="475"/>
    </row>
    <row r="341" spans="2:23" x14ac:dyDescent="0.25">
      <c r="B341" s="375"/>
      <c r="C341" s="351" t="s">
        <v>61</v>
      </c>
      <c r="D341" s="354" t="s">
        <v>381</v>
      </c>
      <c r="E341" s="354"/>
      <c r="F341" s="576"/>
      <c r="G341" s="113"/>
      <c r="H341" s="576"/>
      <c r="I341" s="113"/>
      <c r="J341" s="21">
        <v>20</v>
      </c>
      <c r="K341" s="364"/>
      <c r="L341" s="80"/>
      <c r="M341" s="570"/>
      <c r="N341" s="570"/>
      <c r="O341" s="570"/>
      <c r="P341" s="571"/>
      <c r="R341" s="18">
        <f t="shared" si="4"/>
        <v>0</v>
      </c>
      <c r="S341" s="338"/>
      <c r="T341" s="344"/>
      <c r="U341" s="474"/>
      <c r="V341" s="344"/>
      <c r="W341" s="475"/>
    </row>
    <row r="342" spans="2:23" ht="39.6" x14ac:dyDescent="0.25">
      <c r="B342" s="375"/>
      <c r="C342" s="351"/>
      <c r="D342" s="71" t="s">
        <v>63</v>
      </c>
      <c r="E342" s="77" t="s">
        <v>731</v>
      </c>
      <c r="F342" s="576"/>
      <c r="G342" s="82">
        <f>'SQ_Auditoreingaben '!G339</f>
        <v>20</v>
      </c>
      <c r="H342" s="576"/>
      <c r="I342" s="69"/>
      <c r="J342" s="18">
        <v>20</v>
      </c>
      <c r="K342" s="364"/>
      <c r="L342" s="80"/>
      <c r="M342" s="570"/>
      <c r="N342" s="570"/>
      <c r="O342" s="570"/>
      <c r="P342" s="571"/>
      <c r="R342" s="18">
        <f t="shared" si="4"/>
        <v>0</v>
      </c>
      <c r="S342" s="338"/>
      <c r="T342" s="344"/>
      <c r="U342" s="474"/>
      <c r="V342" s="344"/>
      <c r="W342" s="475"/>
    </row>
    <row r="343" spans="2:23" x14ac:dyDescent="0.25">
      <c r="B343" s="375"/>
      <c r="C343" s="351" t="s">
        <v>64</v>
      </c>
      <c r="D343" s="354" t="s">
        <v>382</v>
      </c>
      <c r="E343" s="354"/>
      <c r="F343" s="576"/>
      <c r="G343" s="113"/>
      <c r="H343" s="576"/>
      <c r="I343" s="113"/>
      <c r="J343" s="21">
        <v>40</v>
      </c>
      <c r="K343" s="364"/>
      <c r="L343" s="80"/>
      <c r="M343" s="570"/>
      <c r="N343" s="570"/>
      <c r="O343" s="570"/>
      <c r="P343" s="571"/>
      <c r="R343" s="18">
        <f t="shared" si="4"/>
        <v>0</v>
      </c>
      <c r="S343" s="338"/>
      <c r="T343" s="344"/>
      <c r="U343" s="474"/>
      <c r="V343" s="344"/>
      <c r="W343" s="475"/>
    </row>
    <row r="344" spans="2:23" ht="92.4" x14ac:dyDescent="0.25">
      <c r="B344" s="375"/>
      <c r="C344" s="351"/>
      <c r="D344" s="71" t="s">
        <v>66</v>
      </c>
      <c r="E344" s="77" t="s">
        <v>677</v>
      </c>
      <c r="F344" s="576"/>
      <c r="G344" s="82">
        <f>'SQ_Auditoreingaben '!G341</f>
        <v>30</v>
      </c>
      <c r="H344" s="576"/>
      <c r="I344" s="69"/>
      <c r="J344" s="18">
        <v>30</v>
      </c>
      <c r="K344" s="364"/>
      <c r="L344" s="80"/>
      <c r="M344" s="570"/>
      <c r="N344" s="570"/>
      <c r="O344" s="570"/>
      <c r="P344" s="571"/>
      <c r="R344" s="18">
        <f t="shared" si="4"/>
        <v>0</v>
      </c>
      <c r="S344" s="338"/>
      <c r="T344" s="344"/>
      <c r="U344" s="474"/>
      <c r="V344" s="344"/>
      <c r="W344" s="475"/>
    </row>
    <row r="345" spans="2:23" x14ac:dyDescent="0.25">
      <c r="B345" s="375"/>
      <c r="C345" s="351"/>
      <c r="D345" s="361" t="s">
        <v>188</v>
      </c>
      <c r="E345" s="84" t="s">
        <v>383</v>
      </c>
      <c r="F345" s="576"/>
      <c r="G345" s="113"/>
      <c r="H345" s="576"/>
      <c r="I345" s="113"/>
      <c r="J345" s="21">
        <v>10</v>
      </c>
      <c r="K345" s="364"/>
      <c r="L345" s="80"/>
      <c r="M345" s="570"/>
      <c r="N345" s="570"/>
      <c r="O345" s="570"/>
      <c r="P345" s="571"/>
      <c r="R345" s="18">
        <f t="shared" si="4"/>
        <v>0</v>
      </c>
      <c r="S345" s="338"/>
      <c r="T345" s="344"/>
      <c r="U345" s="474"/>
      <c r="V345" s="344"/>
      <c r="W345" s="475"/>
    </row>
    <row r="346" spans="2:23" ht="52.8" x14ac:dyDescent="0.25">
      <c r="B346" s="375"/>
      <c r="C346" s="351"/>
      <c r="D346" s="361"/>
      <c r="E346" s="77" t="s">
        <v>384</v>
      </c>
      <c r="F346" s="576"/>
      <c r="G346" s="82">
        <f>'SQ_Auditoreingaben '!G343</f>
        <v>10</v>
      </c>
      <c r="H346" s="576"/>
      <c r="I346" s="69"/>
      <c r="J346" s="18">
        <v>10</v>
      </c>
      <c r="K346" s="364"/>
      <c r="L346" s="80"/>
      <c r="M346" s="570"/>
      <c r="N346" s="570"/>
      <c r="O346" s="570"/>
      <c r="P346" s="571"/>
      <c r="R346" s="18">
        <f t="shared" ref="R346:R409" si="5">IF(I346&gt;J346,J346,I346)</f>
        <v>0</v>
      </c>
      <c r="S346" s="338"/>
      <c r="T346" s="344"/>
      <c r="U346" s="474"/>
      <c r="V346" s="344"/>
      <c r="W346" s="475"/>
    </row>
    <row r="347" spans="2:23" x14ac:dyDescent="0.25">
      <c r="B347" s="375"/>
      <c r="C347" s="351" t="s">
        <v>157</v>
      </c>
      <c r="D347" s="354" t="s">
        <v>385</v>
      </c>
      <c r="E347" s="354"/>
      <c r="F347" s="576"/>
      <c r="G347" s="113"/>
      <c r="H347" s="576"/>
      <c r="I347" s="113"/>
      <c r="J347" s="21">
        <v>10</v>
      </c>
      <c r="K347" s="364"/>
      <c r="L347" s="80"/>
      <c r="M347" s="570"/>
      <c r="N347" s="570"/>
      <c r="O347" s="570"/>
      <c r="P347" s="571"/>
      <c r="R347" s="18">
        <f t="shared" si="5"/>
        <v>0</v>
      </c>
      <c r="S347" s="338"/>
      <c r="T347" s="344"/>
      <c r="U347" s="474"/>
      <c r="V347" s="344"/>
      <c r="W347" s="475"/>
    </row>
    <row r="348" spans="2:23" ht="52.8" x14ac:dyDescent="0.25">
      <c r="B348" s="375"/>
      <c r="C348" s="351"/>
      <c r="D348" s="71" t="s">
        <v>159</v>
      </c>
      <c r="E348" s="77" t="s">
        <v>390</v>
      </c>
      <c r="F348" s="576"/>
      <c r="G348" s="82">
        <f>'SQ_Auditoreingaben '!G345</f>
        <v>5</v>
      </c>
      <c r="H348" s="576"/>
      <c r="I348" s="69"/>
      <c r="J348" s="18">
        <v>10</v>
      </c>
      <c r="K348" s="364"/>
      <c r="L348" s="80"/>
      <c r="M348" s="570"/>
      <c r="N348" s="570"/>
      <c r="O348" s="570"/>
      <c r="P348" s="571"/>
      <c r="R348" s="18">
        <f t="shared" si="5"/>
        <v>0</v>
      </c>
      <c r="S348" s="339"/>
      <c r="T348" s="365"/>
      <c r="U348" s="474"/>
      <c r="V348" s="344"/>
      <c r="W348" s="475"/>
    </row>
    <row r="349" spans="2:23" x14ac:dyDescent="0.25">
      <c r="B349" s="55" t="s">
        <v>391</v>
      </c>
      <c r="C349" s="354" t="s">
        <v>392</v>
      </c>
      <c r="D349" s="354"/>
      <c r="E349" s="354"/>
      <c r="F349" s="78">
        <f>'SQ_Auditoreingaben '!F348</f>
        <v>77.5</v>
      </c>
      <c r="G349" s="364"/>
      <c r="H349" s="91">
        <f>S349</f>
        <v>0</v>
      </c>
      <c r="I349" s="364"/>
      <c r="J349" s="21">
        <v>120</v>
      </c>
      <c r="K349" s="88">
        <v>2</v>
      </c>
      <c r="L349" s="80"/>
      <c r="M349" s="570"/>
      <c r="N349" s="570"/>
      <c r="O349" s="570"/>
      <c r="P349" s="571"/>
      <c r="R349" s="18">
        <f t="shared" si="5"/>
        <v>0</v>
      </c>
      <c r="S349" s="337">
        <f>SUM(SUM(R351:R366),IF(R368+R369&gt;20,20,R368+R369))</f>
        <v>0</v>
      </c>
      <c r="T349" s="490">
        <f>S349/100</f>
        <v>0</v>
      </c>
      <c r="U349" s="474"/>
      <c r="V349" s="344"/>
      <c r="W349" s="475"/>
    </row>
    <row r="350" spans="2:23" x14ac:dyDescent="0.25">
      <c r="B350" s="375"/>
      <c r="C350" s="351" t="s">
        <v>54</v>
      </c>
      <c r="D350" s="354" t="s">
        <v>393</v>
      </c>
      <c r="E350" s="354"/>
      <c r="F350" s="576"/>
      <c r="G350" s="364"/>
      <c r="H350" s="576"/>
      <c r="I350" s="364"/>
      <c r="J350" s="21">
        <v>10</v>
      </c>
      <c r="K350" s="364"/>
      <c r="L350" s="80"/>
      <c r="M350" s="570"/>
      <c r="N350" s="570"/>
      <c r="O350" s="570"/>
      <c r="P350" s="571"/>
      <c r="R350" s="18">
        <f t="shared" si="5"/>
        <v>0</v>
      </c>
      <c r="S350" s="338"/>
      <c r="T350" s="491"/>
      <c r="U350" s="474"/>
      <c r="V350" s="344"/>
      <c r="W350" s="475"/>
    </row>
    <row r="351" spans="2:23" ht="52.8" x14ac:dyDescent="0.25">
      <c r="B351" s="375"/>
      <c r="C351" s="351"/>
      <c r="D351" s="71" t="s">
        <v>58</v>
      </c>
      <c r="E351" s="77" t="s">
        <v>403</v>
      </c>
      <c r="F351" s="576"/>
      <c r="G351" s="82">
        <f>'SQ_Auditoreingaben '!G350</f>
        <v>0</v>
      </c>
      <c r="H351" s="576"/>
      <c r="I351" s="69"/>
      <c r="J351" s="18">
        <v>10</v>
      </c>
      <c r="K351" s="364"/>
      <c r="L351" s="80"/>
      <c r="M351" s="570"/>
      <c r="N351" s="570"/>
      <c r="O351" s="570"/>
      <c r="P351" s="571"/>
      <c r="R351" s="18">
        <f t="shared" si="5"/>
        <v>0</v>
      </c>
      <c r="S351" s="338"/>
      <c r="T351" s="491"/>
      <c r="U351" s="474"/>
      <c r="V351" s="344"/>
      <c r="W351" s="475"/>
    </row>
    <row r="352" spans="2:23" x14ac:dyDescent="0.25">
      <c r="B352" s="375"/>
      <c r="C352" s="351" t="s">
        <v>61</v>
      </c>
      <c r="D352" s="354" t="s">
        <v>394</v>
      </c>
      <c r="E352" s="354"/>
      <c r="F352" s="576"/>
      <c r="G352" s="113"/>
      <c r="H352" s="576"/>
      <c r="I352" s="113"/>
      <c r="J352" s="21">
        <v>10</v>
      </c>
      <c r="K352" s="364"/>
      <c r="L352" s="80"/>
      <c r="M352" s="570"/>
      <c r="N352" s="570"/>
      <c r="O352" s="570"/>
      <c r="P352" s="571"/>
      <c r="R352" s="18">
        <f t="shared" si="5"/>
        <v>0</v>
      </c>
      <c r="S352" s="338"/>
      <c r="T352" s="491"/>
      <c r="U352" s="474"/>
      <c r="V352" s="344"/>
      <c r="W352" s="475"/>
    </row>
    <row r="353" spans="2:23" ht="39.6" x14ac:dyDescent="0.25">
      <c r="B353" s="375"/>
      <c r="C353" s="351"/>
      <c r="D353" s="71" t="s">
        <v>63</v>
      </c>
      <c r="E353" s="77" t="s">
        <v>404</v>
      </c>
      <c r="F353" s="576"/>
      <c r="G353" s="82" t="e">
        <f>'SQ_Auditoreingaben '!#REF!</f>
        <v>#REF!</v>
      </c>
      <c r="H353" s="576"/>
      <c r="I353" s="69"/>
      <c r="J353" s="18">
        <v>10</v>
      </c>
      <c r="K353" s="364"/>
      <c r="L353" s="80"/>
      <c r="M353" s="570"/>
      <c r="N353" s="570"/>
      <c r="O353" s="570"/>
      <c r="P353" s="571"/>
      <c r="R353" s="18">
        <f t="shared" si="5"/>
        <v>0</v>
      </c>
      <c r="S353" s="338"/>
      <c r="T353" s="491"/>
      <c r="U353" s="474"/>
      <c r="V353" s="344"/>
      <c r="W353" s="475"/>
    </row>
    <row r="354" spans="2:23" x14ac:dyDescent="0.25">
      <c r="B354" s="375"/>
      <c r="C354" s="351" t="s">
        <v>64</v>
      </c>
      <c r="D354" s="354" t="s">
        <v>395</v>
      </c>
      <c r="E354" s="354"/>
      <c r="F354" s="576"/>
      <c r="G354" s="113"/>
      <c r="H354" s="576"/>
      <c r="I354" s="113"/>
      <c r="J354" s="21">
        <v>25</v>
      </c>
      <c r="K354" s="364"/>
      <c r="L354" s="80"/>
      <c r="M354" s="570"/>
      <c r="N354" s="570"/>
      <c r="O354" s="570"/>
      <c r="P354" s="571"/>
      <c r="R354" s="18">
        <f t="shared" si="5"/>
        <v>0</v>
      </c>
      <c r="S354" s="338"/>
      <c r="T354" s="491"/>
      <c r="U354" s="474"/>
      <c r="V354" s="344"/>
      <c r="W354" s="475"/>
    </row>
    <row r="355" spans="2:23" ht="66" x14ac:dyDescent="0.25">
      <c r="B355" s="375"/>
      <c r="C355" s="351"/>
      <c r="D355" s="71" t="s">
        <v>66</v>
      </c>
      <c r="E355" s="114" t="s">
        <v>678</v>
      </c>
      <c r="F355" s="576"/>
      <c r="G355" s="82">
        <f>'SQ_Auditoreingaben '!G353</f>
        <v>20</v>
      </c>
      <c r="H355" s="576"/>
      <c r="I355" s="69"/>
      <c r="J355" s="18">
        <v>8</v>
      </c>
      <c r="K355" s="364"/>
      <c r="L355" s="80"/>
      <c r="M355" s="570"/>
      <c r="N355" s="570"/>
      <c r="O355" s="570"/>
      <c r="P355" s="571"/>
      <c r="R355" s="18">
        <f t="shared" si="5"/>
        <v>0</v>
      </c>
      <c r="S355" s="338"/>
      <c r="T355" s="491"/>
      <c r="U355" s="474"/>
      <c r="V355" s="344"/>
      <c r="W355" s="475"/>
    </row>
    <row r="356" spans="2:23" ht="92.4" x14ac:dyDescent="0.25">
      <c r="B356" s="375"/>
      <c r="C356" s="351"/>
      <c r="D356" s="71" t="s">
        <v>188</v>
      </c>
      <c r="E356" s="77" t="s">
        <v>405</v>
      </c>
      <c r="F356" s="576"/>
      <c r="G356" s="82">
        <f>'SQ_Auditoreingaben '!G354</f>
        <v>0</v>
      </c>
      <c r="H356" s="576"/>
      <c r="I356" s="69"/>
      <c r="J356" s="18">
        <v>7</v>
      </c>
      <c r="K356" s="364"/>
      <c r="L356" s="80"/>
      <c r="M356" s="570"/>
      <c r="N356" s="570"/>
      <c r="O356" s="570"/>
      <c r="P356" s="571"/>
      <c r="R356" s="18">
        <f t="shared" si="5"/>
        <v>0</v>
      </c>
      <c r="S356" s="338"/>
      <c r="T356" s="491"/>
      <c r="U356" s="474"/>
      <c r="V356" s="344"/>
      <c r="W356" s="475"/>
    </row>
    <row r="357" spans="2:23" ht="118.8" x14ac:dyDescent="0.25">
      <c r="B357" s="375"/>
      <c r="C357" s="351"/>
      <c r="D357" s="71" t="s">
        <v>396</v>
      </c>
      <c r="E357" s="77" t="s">
        <v>406</v>
      </c>
      <c r="F357" s="576"/>
      <c r="G357" s="82" t="e">
        <f>'SQ_Auditoreingaben '!#REF!</f>
        <v>#REF!</v>
      </c>
      <c r="H357" s="576"/>
      <c r="I357" s="69"/>
      <c r="J357" s="18">
        <v>10</v>
      </c>
      <c r="K357" s="364"/>
      <c r="L357" s="80"/>
      <c r="M357" s="570"/>
      <c r="N357" s="570"/>
      <c r="O357" s="570"/>
      <c r="P357" s="571"/>
      <c r="R357" s="18">
        <f t="shared" si="5"/>
        <v>0</v>
      </c>
      <c r="S357" s="338"/>
      <c r="T357" s="491"/>
      <c r="U357" s="474"/>
      <c r="V357" s="344"/>
      <c r="W357" s="475"/>
    </row>
    <row r="358" spans="2:23" x14ac:dyDescent="0.25">
      <c r="B358" s="375"/>
      <c r="C358" s="351" t="s">
        <v>67</v>
      </c>
      <c r="D358" s="354" t="s">
        <v>397</v>
      </c>
      <c r="E358" s="354"/>
      <c r="F358" s="576"/>
      <c r="G358" s="113"/>
      <c r="H358" s="576"/>
      <c r="I358" s="113"/>
      <c r="J358" s="21">
        <v>20</v>
      </c>
      <c r="K358" s="364"/>
      <c r="L358" s="80"/>
      <c r="M358" s="570"/>
      <c r="N358" s="570"/>
      <c r="O358" s="570"/>
      <c r="P358" s="571"/>
      <c r="R358" s="18">
        <f t="shared" si="5"/>
        <v>0</v>
      </c>
      <c r="S358" s="338"/>
      <c r="T358" s="491"/>
      <c r="U358" s="474"/>
      <c r="V358" s="344"/>
      <c r="W358" s="475"/>
    </row>
    <row r="359" spans="2:23" ht="39.6" x14ac:dyDescent="0.25">
      <c r="B359" s="375"/>
      <c r="C359" s="351"/>
      <c r="D359" s="71" t="s">
        <v>69</v>
      </c>
      <c r="E359" s="77" t="s">
        <v>407</v>
      </c>
      <c r="F359" s="576"/>
      <c r="G359" s="82">
        <f>'SQ_Auditoreingaben '!G356</f>
        <v>10</v>
      </c>
      <c r="H359" s="576"/>
      <c r="I359" s="69"/>
      <c r="J359" s="18">
        <v>5</v>
      </c>
      <c r="K359" s="364"/>
      <c r="L359" s="80"/>
      <c r="M359" s="570"/>
      <c r="N359" s="570"/>
      <c r="O359" s="570"/>
      <c r="P359" s="571"/>
      <c r="R359" s="18">
        <f t="shared" si="5"/>
        <v>0</v>
      </c>
      <c r="S359" s="338"/>
      <c r="T359" s="491"/>
      <c r="U359" s="474"/>
      <c r="V359" s="344"/>
      <c r="W359" s="475"/>
    </row>
    <row r="360" spans="2:23" ht="79.2" x14ac:dyDescent="0.25">
      <c r="B360" s="375"/>
      <c r="C360" s="351"/>
      <c r="D360" s="71" t="s">
        <v>78</v>
      </c>
      <c r="E360" s="77" t="s">
        <v>408</v>
      </c>
      <c r="F360" s="576"/>
      <c r="G360" s="82">
        <f>'SQ_Auditoreingaben '!G357</f>
        <v>10</v>
      </c>
      <c r="H360" s="576"/>
      <c r="I360" s="69"/>
      <c r="J360" s="18">
        <v>15</v>
      </c>
      <c r="K360" s="364"/>
      <c r="L360" s="80"/>
      <c r="M360" s="570"/>
      <c r="N360" s="570"/>
      <c r="O360" s="570"/>
      <c r="P360" s="571"/>
      <c r="R360" s="18">
        <f t="shared" si="5"/>
        <v>0</v>
      </c>
      <c r="S360" s="338"/>
      <c r="T360" s="491"/>
      <c r="U360" s="474"/>
      <c r="V360" s="344"/>
      <c r="W360" s="475"/>
    </row>
    <row r="361" spans="2:23" x14ac:dyDescent="0.25">
      <c r="B361" s="375"/>
      <c r="C361" s="351" t="s">
        <v>154</v>
      </c>
      <c r="D361" s="354" t="s">
        <v>398</v>
      </c>
      <c r="E361" s="354"/>
      <c r="F361" s="576"/>
      <c r="G361" s="113"/>
      <c r="H361" s="576"/>
      <c r="I361" s="113"/>
      <c r="J361" s="21">
        <v>35</v>
      </c>
      <c r="K361" s="364"/>
      <c r="L361" s="80"/>
      <c r="M361" s="570"/>
      <c r="N361" s="570"/>
      <c r="O361" s="570"/>
      <c r="P361" s="571"/>
      <c r="R361" s="18">
        <f t="shared" si="5"/>
        <v>0</v>
      </c>
      <c r="S361" s="338"/>
      <c r="T361" s="491"/>
      <c r="U361" s="474"/>
      <c r="V361" s="344"/>
      <c r="W361" s="475"/>
    </row>
    <row r="362" spans="2:23" ht="184.8" x14ac:dyDescent="0.25">
      <c r="B362" s="375"/>
      <c r="C362" s="351"/>
      <c r="D362" s="71" t="s">
        <v>156</v>
      </c>
      <c r="E362" s="114" t="s">
        <v>732</v>
      </c>
      <c r="F362" s="576"/>
      <c r="G362" s="82">
        <f>'SQ_Auditoreingaben '!G359</f>
        <v>15</v>
      </c>
      <c r="H362" s="576"/>
      <c r="I362" s="69"/>
      <c r="J362" s="18">
        <v>15</v>
      </c>
      <c r="K362" s="364"/>
      <c r="L362" s="80"/>
      <c r="M362" s="570"/>
      <c r="N362" s="570"/>
      <c r="O362" s="570"/>
      <c r="P362" s="571"/>
      <c r="R362" s="18">
        <f t="shared" si="5"/>
        <v>0</v>
      </c>
      <c r="S362" s="338"/>
      <c r="T362" s="491"/>
      <c r="U362" s="474"/>
      <c r="V362" s="344"/>
      <c r="W362" s="475"/>
    </row>
    <row r="363" spans="2:23" x14ac:dyDescent="0.25">
      <c r="B363" s="375"/>
      <c r="C363" s="351"/>
      <c r="D363" s="361" t="s">
        <v>218</v>
      </c>
      <c r="E363" s="95" t="s">
        <v>399</v>
      </c>
      <c r="F363" s="576"/>
      <c r="G363" s="113"/>
      <c r="H363" s="576"/>
      <c r="I363" s="113"/>
      <c r="J363" s="21">
        <v>10</v>
      </c>
      <c r="K363" s="364"/>
      <c r="L363" s="80"/>
      <c r="M363" s="570"/>
      <c r="N363" s="570"/>
      <c r="O363" s="570"/>
      <c r="P363" s="571"/>
      <c r="R363" s="18">
        <f t="shared" si="5"/>
        <v>0</v>
      </c>
      <c r="S363" s="338"/>
      <c r="T363" s="491"/>
      <c r="U363" s="474"/>
      <c r="V363" s="344"/>
      <c r="W363" s="475"/>
    </row>
    <row r="364" spans="2:23" ht="26.4" x14ac:dyDescent="0.25">
      <c r="B364" s="375"/>
      <c r="C364" s="351"/>
      <c r="D364" s="361"/>
      <c r="E364" s="77" t="s">
        <v>400</v>
      </c>
      <c r="F364" s="576"/>
      <c r="G364" s="82">
        <f>'SQ_Auditoreingaben '!G361</f>
        <v>2.5</v>
      </c>
      <c r="H364" s="576"/>
      <c r="I364" s="69"/>
      <c r="J364" s="18">
        <v>5</v>
      </c>
      <c r="K364" s="364"/>
      <c r="L364" s="80"/>
      <c r="M364" s="570"/>
      <c r="N364" s="570"/>
      <c r="O364" s="570"/>
      <c r="P364" s="571"/>
      <c r="R364" s="18">
        <f t="shared" si="5"/>
        <v>0</v>
      </c>
      <c r="S364" s="338"/>
      <c r="T364" s="491"/>
      <c r="U364" s="474"/>
      <c r="V364" s="344"/>
      <c r="W364" s="475"/>
    </row>
    <row r="365" spans="2:23" ht="52.8" x14ac:dyDescent="0.25">
      <c r="B365" s="375"/>
      <c r="C365" s="351"/>
      <c r="D365" s="361"/>
      <c r="E365" s="77" t="s">
        <v>401</v>
      </c>
      <c r="F365" s="576"/>
      <c r="G365" s="82">
        <f>'SQ_Auditoreingaben '!G362</f>
        <v>0</v>
      </c>
      <c r="H365" s="576"/>
      <c r="I365" s="69"/>
      <c r="J365" s="18">
        <v>5</v>
      </c>
      <c r="K365" s="364"/>
      <c r="L365" s="80"/>
      <c r="M365" s="570"/>
      <c r="N365" s="570"/>
      <c r="O365" s="570"/>
      <c r="P365" s="571"/>
      <c r="R365" s="18">
        <f t="shared" si="5"/>
        <v>0</v>
      </c>
      <c r="S365" s="338"/>
      <c r="T365" s="491"/>
      <c r="U365" s="474"/>
      <c r="V365" s="344"/>
      <c r="W365" s="475"/>
    </row>
    <row r="366" spans="2:23" ht="52.8" x14ac:dyDescent="0.25">
      <c r="B366" s="375"/>
      <c r="C366" s="351"/>
      <c r="D366" s="71" t="s">
        <v>679</v>
      </c>
      <c r="E366" s="77" t="s">
        <v>680</v>
      </c>
      <c r="F366" s="576"/>
      <c r="G366" s="82">
        <f>'SQ_Auditoreingaben '!G363</f>
        <v>10</v>
      </c>
      <c r="H366" s="576"/>
      <c r="I366" s="69"/>
      <c r="J366" s="18">
        <v>10</v>
      </c>
      <c r="K366" s="364"/>
      <c r="L366" s="80"/>
      <c r="M366" s="570"/>
      <c r="N366" s="570"/>
      <c r="O366" s="570"/>
      <c r="P366" s="571"/>
      <c r="R366" s="18">
        <f t="shared" si="5"/>
        <v>0</v>
      </c>
      <c r="S366" s="338"/>
      <c r="T366" s="491"/>
      <c r="U366" s="474"/>
      <c r="V366" s="344"/>
      <c r="W366" s="475"/>
    </row>
    <row r="367" spans="2:23" x14ac:dyDescent="0.25">
      <c r="B367" s="375"/>
      <c r="C367" s="351" t="s">
        <v>157</v>
      </c>
      <c r="D367" s="354" t="s">
        <v>402</v>
      </c>
      <c r="E367" s="354"/>
      <c r="F367" s="576"/>
      <c r="G367" s="113"/>
      <c r="H367" s="576"/>
      <c r="I367" s="113"/>
      <c r="J367" s="21">
        <v>20</v>
      </c>
      <c r="K367" s="364"/>
      <c r="L367" s="80"/>
      <c r="M367" s="570"/>
      <c r="N367" s="570"/>
      <c r="O367" s="570"/>
      <c r="P367" s="571"/>
      <c r="R367" s="18">
        <f t="shared" si="5"/>
        <v>0</v>
      </c>
      <c r="S367" s="338"/>
      <c r="T367" s="491"/>
      <c r="U367" s="474"/>
      <c r="V367" s="344"/>
      <c r="W367" s="475"/>
    </row>
    <row r="368" spans="2:23" ht="92.4" x14ac:dyDescent="0.25">
      <c r="B368" s="375"/>
      <c r="C368" s="351"/>
      <c r="D368" s="71" t="s">
        <v>159</v>
      </c>
      <c r="E368" s="77" t="s">
        <v>409</v>
      </c>
      <c r="F368" s="576"/>
      <c r="G368" s="82">
        <f>'SQ_Auditoreingaben '!G365</f>
        <v>10</v>
      </c>
      <c r="H368" s="576"/>
      <c r="I368" s="69"/>
      <c r="J368" s="18">
        <v>20</v>
      </c>
      <c r="K368" s="364"/>
      <c r="L368" s="80"/>
      <c r="M368" s="570"/>
      <c r="N368" s="570"/>
      <c r="O368" s="570"/>
      <c r="P368" s="571"/>
      <c r="R368" s="18">
        <f t="shared" si="5"/>
        <v>0</v>
      </c>
      <c r="S368" s="338"/>
      <c r="T368" s="491"/>
      <c r="U368" s="474"/>
      <c r="V368" s="344"/>
      <c r="W368" s="475"/>
    </row>
    <row r="369" spans="2:23" ht="79.2" x14ac:dyDescent="0.25">
      <c r="B369" s="375"/>
      <c r="C369" s="351"/>
      <c r="D369" s="71" t="s">
        <v>160</v>
      </c>
      <c r="E369" s="77" t="s">
        <v>410</v>
      </c>
      <c r="F369" s="576"/>
      <c r="G369" s="82">
        <f>'SQ_Auditoreingaben '!G366</f>
        <v>0</v>
      </c>
      <c r="H369" s="576"/>
      <c r="I369" s="69"/>
      <c r="J369" s="18">
        <v>10</v>
      </c>
      <c r="K369" s="364"/>
      <c r="L369" s="80"/>
      <c r="M369" s="570"/>
      <c r="N369" s="570"/>
      <c r="O369" s="570"/>
      <c r="P369" s="571"/>
      <c r="R369" s="18">
        <f t="shared" si="5"/>
        <v>0</v>
      </c>
      <c r="S369" s="339"/>
      <c r="T369" s="492"/>
      <c r="U369" s="474"/>
      <c r="V369" s="344"/>
      <c r="W369" s="475"/>
    </row>
    <row r="370" spans="2:23" x14ac:dyDescent="0.25">
      <c r="B370" s="55" t="s">
        <v>411</v>
      </c>
      <c r="C370" s="354" t="s">
        <v>412</v>
      </c>
      <c r="D370" s="354"/>
      <c r="E370" s="354"/>
      <c r="F370" s="78">
        <f>'SQ_Auditoreingaben '!F367</f>
        <v>55</v>
      </c>
      <c r="G370" s="364"/>
      <c r="H370" s="91">
        <f>S370</f>
        <v>0</v>
      </c>
      <c r="I370" s="364"/>
      <c r="J370" s="21">
        <v>100</v>
      </c>
      <c r="K370" s="88">
        <v>2</v>
      </c>
      <c r="L370" s="80"/>
      <c r="M370" s="570"/>
      <c r="N370" s="570"/>
      <c r="O370" s="570"/>
      <c r="P370" s="571"/>
      <c r="R370" s="18">
        <f t="shared" si="5"/>
        <v>0</v>
      </c>
      <c r="S370" s="337">
        <f>SUM(R372:R390)</f>
        <v>0</v>
      </c>
      <c r="T370" s="343">
        <f>S370/100</f>
        <v>0</v>
      </c>
      <c r="U370" s="474"/>
      <c r="V370" s="344"/>
      <c r="W370" s="475"/>
    </row>
    <row r="371" spans="2:23" x14ac:dyDescent="0.25">
      <c r="B371" s="375"/>
      <c r="C371" s="351" t="s">
        <v>54</v>
      </c>
      <c r="D371" s="354" t="s">
        <v>413</v>
      </c>
      <c r="E371" s="354"/>
      <c r="F371" s="576"/>
      <c r="G371" s="364"/>
      <c r="H371" s="576"/>
      <c r="I371" s="364"/>
      <c r="J371" s="21">
        <v>15</v>
      </c>
      <c r="K371" s="364"/>
      <c r="L371" s="80"/>
      <c r="M371" s="570"/>
      <c r="N371" s="570"/>
      <c r="O371" s="570"/>
      <c r="P371" s="571"/>
      <c r="R371" s="18">
        <f t="shared" si="5"/>
        <v>0</v>
      </c>
      <c r="S371" s="338"/>
      <c r="T371" s="344"/>
      <c r="U371" s="474"/>
      <c r="V371" s="344"/>
      <c r="W371" s="475"/>
    </row>
    <row r="372" spans="2:23" ht="92.4" x14ac:dyDescent="0.25">
      <c r="B372" s="375"/>
      <c r="C372" s="351"/>
      <c r="D372" s="57" t="s">
        <v>58</v>
      </c>
      <c r="E372" s="77" t="s">
        <v>434</v>
      </c>
      <c r="F372" s="576"/>
      <c r="G372" s="82">
        <f>'SQ_Auditoreingaben '!G369</f>
        <v>30</v>
      </c>
      <c r="H372" s="576"/>
      <c r="I372" s="69"/>
      <c r="J372" s="18">
        <v>10</v>
      </c>
      <c r="K372" s="364"/>
      <c r="L372" s="80"/>
      <c r="M372" s="570"/>
      <c r="N372" s="570"/>
      <c r="O372" s="570"/>
      <c r="P372" s="571"/>
      <c r="R372" s="18">
        <f t="shared" si="5"/>
        <v>0</v>
      </c>
      <c r="S372" s="338"/>
      <c r="T372" s="344"/>
      <c r="U372" s="474"/>
      <c r="V372" s="344"/>
      <c r="W372" s="475"/>
    </row>
    <row r="373" spans="2:23" ht="66" x14ac:dyDescent="0.25">
      <c r="B373" s="375"/>
      <c r="C373" s="351"/>
      <c r="D373" s="71" t="s">
        <v>181</v>
      </c>
      <c r="E373" s="77" t="s">
        <v>433</v>
      </c>
      <c r="F373" s="576"/>
      <c r="G373" s="82" t="e">
        <f>'SQ_Auditoreingaben '!#REF!</f>
        <v>#REF!</v>
      </c>
      <c r="H373" s="576"/>
      <c r="I373" s="69"/>
      <c r="J373" s="18">
        <v>5</v>
      </c>
      <c r="K373" s="364"/>
      <c r="L373" s="80"/>
      <c r="M373" s="570"/>
      <c r="N373" s="570"/>
      <c r="O373" s="570"/>
      <c r="P373" s="571"/>
      <c r="R373" s="18">
        <f t="shared" si="5"/>
        <v>0</v>
      </c>
      <c r="S373" s="338"/>
      <c r="T373" s="344"/>
      <c r="U373" s="474"/>
      <c r="V373" s="344"/>
      <c r="W373" s="475"/>
    </row>
    <row r="374" spans="2:23" x14ac:dyDescent="0.25">
      <c r="B374" s="375"/>
      <c r="C374" s="351" t="s">
        <v>61</v>
      </c>
      <c r="D374" s="354" t="s">
        <v>414</v>
      </c>
      <c r="E374" s="354"/>
      <c r="F374" s="576"/>
      <c r="G374" s="356"/>
      <c r="H374" s="576"/>
      <c r="I374" s="356"/>
      <c r="J374" s="21">
        <v>40</v>
      </c>
      <c r="K374" s="364"/>
      <c r="L374" s="80"/>
      <c r="M374" s="570"/>
      <c r="N374" s="570"/>
      <c r="O374" s="570"/>
      <c r="P374" s="571"/>
      <c r="R374" s="18">
        <f t="shared" si="5"/>
        <v>0</v>
      </c>
      <c r="S374" s="338"/>
      <c r="T374" s="344"/>
      <c r="U374" s="474"/>
      <c r="V374" s="344"/>
      <c r="W374" s="475"/>
    </row>
    <row r="375" spans="2:23" x14ac:dyDescent="0.25">
      <c r="B375" s="375"/>
      <c r="C375" s="351"/>
      <c r="D375" s="361" t="s">
        <v>63</v>
      </c>
      <c r="E375" s="90" t="s">
        <v>415</v>
      </c>
      <c r="F375" s="576"/>
      <c r="G375" s="356"/>
      <c r="H375" s="576"/>
      <c r="I375" s="356"/>
      <c r="J375" s="21">
        <v>15</v>
      </c>
      <c r="K375" s="364"/>
      <c r="L375" s="80"/>
      <c r="M375" s="570"/>
      <c r="N375" s="570"/>
      <c r="O375" s="570"/>
      <c r="P375" s="571"/>
      <c r="R375" s="18">
        <f t="shared" si="5"/>
        <v>0</v>
      </c>
      <c r="S375" s="338"/>
      <c r="T375" s="344"/>
      <c r="U375" s="474"/>
      <c r="V375" s="344"/>
      <c r="W375" s="475"/>
    </row>
    <row r="376" spans="2:23" ht="66" x14ac:dyDescent="0.25">
      <c r="B376" s="375"/>
      <c r="C376" s="351"/>
      <c r="D376" s="361"/>
      <c r="E376" s="77" t="s">
        <v>416</v>
      </c>
      <c r="F376" s="576"/>
      <c r="G376" s="82">
        <f>'SQ_Auditoreingaben '!G372</f>
        <v>25</v>
      </c>
      <c r="H376" s="576"/>
      <c r="I376" s="69"/>
      <c r="J376" s="18">
        <v>5</v>
      </c>
      <c r="K376" s="364"/>
      <c r="L376" s="80"/>
      <c r="M376" s="570"/>
      <c r="N376" s="570"/>
      <c r="O376" s="570"/>
      <c r="P376" s="571"/>
      <c r="R376" s="18">
        <f t="shared" si="5"/>
        <v>0</v>
      </c>
      <c r="S376" s="338"/>
      <c r="T376" s="344"/>
      <c r="U376" s="474"/>
      <c r="V376" s="344"/>
      <c r="W376" s="475"/>
    </row>
    <row r="377" spans="2:23" ht="39.6" x14ac:dyDescent="0.25">
      <c r="B377" s="375"/>
      <c r="C377" s="351"/>
      <c r="D377" s="361"/>
      <c r="E377" s="77" t="s">
        <v>417</v>
      </c>
      <c r="F377" s="576"/>
      <c r="G377" s="82" t="e">
        <f>'SQ_Auditoreingaben '!#REF!</f>
        <v>#REF!</v>
      </c>
      <c r="H377" s="576"/>
      <c r="I377" s="69"/>
      <c r="J377" s="18">
        <v>10</v>
      </c>
      <c r="K377" s="364"/>
      <c r="L377" s="80"/>
      <c r="M377" s="570"/>
      <c r="N377" s="570"/>
      <c r="O377" s="570"/>
      <c r="P377" s="571"/>
      <c r="R377" s="18">
        <f t="shared" si="5"/>
        <v>0</v>
      </c>
      <c r="S377" s="338"/>
      <c r="T377" s="344"/>
      <c r="U377" s="474"/>
      <c r="V377" s="344"/>
      <c r="W377" s="475"/>
    </row>
    <row r="378" spans="2:23" ht="52.8" x14ac:dyDescent="0.25">
      <c r="B378" s="375"/>
      <c r="C378" s="351"/>
      <c r="D378" s="71" t="s">
        <v>186</v>
      </c>
      <c r="E378" s="77" t="s">
        <v>424</v>
      </c>
      <c r="F378" s="576"/>
      <c r="G378" s="82">
        <f>'SQ_Auditoreingaben '!G373</f>
        <v>0</v>
      </c>
      <c r="H378" s="576"/>
      <c r="I378" s="69"/>
      <c r="J378" s="18">
        <v>10</v>
      </c>
      <c r="K378" s="364"/>
      <c r="L378" s="80"/>
      <c r="M378" s="570"/>
      <c r="N378" s="570"/>
      <c r="O378" s="570"/>
      <c r="P378" s="571"/>
      <c r="R378" s="18">
        <f t="shared" si="5"/>
        <v>0</v>
      </c>
      <c r="S378" s="338"/>
      <c r="T378" s="344"/>
      <c r="U378" s="474"/>
      <c r="V378" s="344"/>
      <c r="W378" s="475"/>
    </row>
    <row r="379" spans="2:23" ht="39.6" x14ac:dyDescent="0.25">
      <c r="B379" s="375"/>
      <c r="C379" s="351"/>
      <c r="D379" s="71" t="s">
        <v>255</v>
      </c>
      <c r="E379" s="77" t="s">
        <v>425</v>
      </c>
      <c r="F379" s="576"/>
      <c r="G379" s="82">
        <f>'SQ_Auditoreingaben '!G374</f>
        <v>0</v>
      </c>
      <c r="H379" s="576"/>
      <c r="I379" s="69"/>
      <c r="J379" s="18">
        <v>10</v>
      </c>
      <c r="K379" s="364"/>
      <c r="L379" s="80"/>
      <c r="M379" s="570"/>
      <c r="N379" s="570"/>
      <c r="O379" s="570"/>
      <c r="P379" s="571"/>
      <c r="R379" s="18">
        <f t="shared" si="5"/>
        <v>0</v>
      </c>
      <c r="S379" s="338"/>
      <c r="T379" s="344"/>
      <c r="U379" s="474"/>
      <c r="V379" s="344"/>
      <c r="W379" s="475"/>
    </row>
    <row r="380" spans="2:23" ht="52.8" x14ac:dyDescent="0.25">
      <c r="B380" s="375"/>
      <c r="C380" s="351"/>
      <c r="D380" s="71" t="s">
        <v>256</v>
      </c>
      <c r="E380" s="77" t="s">
        <v>426</v>
      </c>
      <c r="F380" s="576"/>
      <c r="G380" s="82" t="e">
        <f>'SQ_Auditoreingaben '!#REF!</f>
        <v>#REF!</v>
      </c>
      <c r="H380" s="576"/>
      <c r="I380" s="69"/>
      <c r="J380" s="18">
        <v>5</v>
      </c>
      <c r="K380" s="364"/>
      <c r="L380" s="80"/>
      <c r="M380" s="570"/>
      <c r="N380" s="570"/>
      <c r="O380" s="570"/>
      <c r="P380" s="571"/>
      <c r="R380" s="18">
        <f t="shared" si="5"/>
        <v>0</v>
      </c>
      <c r="S380" s="338"/>
      <c r="T380" s="344"/>
      <c r="U380" s="474"/>
      <c r="V380" s="344"/>
      <c r="W380" s="475"/>
    </row>
    <row r="381" spans="2:23" x14ac:dyDescent="0.25">
      <c r="B381" s="375"/>
      <c r="C381" s="351" t="s">
        <v>64</v>
      </c>
      <c r="D381" s="354" t="s">
        <v>418</v>
      </c>
      <c r="E381" s="354"/>
      <c r="F381" s="576"/>
      <c r="G381" s="113"/>
      <c r="H381" s="576"/>
      <c r="I381" s="113"/>
      <c r="J381" s="21">
        <v>10</v>
      </c>
      <c r="K381" s="364"/>
      <c r="L381" s="80"/>
      <c r="M381" s="570"/>
      <c r="N381" s="570"/>
      <c r="O381" s="570"/>
      <c r="P381" s="571"/>
      <c r="R381" s="18">
        <f t="shared" si="5"/>
        <v>0</v>
      </c>
      <c r="S381" s="338"/>
      <c r="T381" s="344"/>
      <c r="U381" s="474"/>
      <c r="V381" s="344"/>
      <c r="W381" s="475"/>
    </row>
    <row r="382" spans="2:23" ht="66" x14ac:dyDescent="0.25">
      <c r="B382" s="375"/>
      <c r="C382" s="351"/>
      <c r="D382" s="71" t="s">
        <v>66</v>
      </c>
      <c r="E382" s="77" t="s">
        <v>427</v>
      </c>
      <c r="F382" s="576"/>
      <c r="G382" s="82">
        <f>'SQ_Auditoreingaben '!G376</f>
        <v>0</v>
      </c>
      <c r="H382" s="576"/>
      <c r="I382" s="69"/>
      <c r="J382" s="18">
        <v>10</v>
      </c>
      <c r="K382" s="364"/>
      <c r="L382" s="80"/>
      <c r="M382" s="570"/>
      <c r="N382" s="570"/>
      <c r="O382" s="570"/>
      <c r="P382" s="571"/>
      <c r="R382" s="18">
        <f t="shared" si="5"/>
        <v>0</v>
      </c>
      <c r="S382" s="338"/>
      <c r="T382" s="344"/>
      <c r="U382" s="474"/>
      <c r="V382" s="344"/>
      <c r="W382" s="475"/>
    </row>
    <row r="383" spans="2:23" x14ac:dyDescent="0.25">
      <c r="B383" s="375"/>
      <c r="C383" s="351" t="s">
        <v>67</v>
      </c>
      <c r="D383" s="354" t="s">
        <v>419</v>
      </c>
      <c r="E383" s="354"/>
      <c r="F383" s="576"/>
      <c r="G383" s="113"/>
      <c r="H383" s="576"/>
      <c r="I383" s="113"/>
      <c r="J383" s="21">
        <v>15</v>
      </c>
      <c r="K383" s="364"/>
      <c r="L383" s="80"/>
      <c r="M383" s="570"/>
      <c r="N383" s="570"/>
      <c r="O383" s="570"/>
      <c r="P383" s="571"/>
      <c r="R383" s="18">
        <f t="shared" si="5"/>
        <v>0</v>
      </c>
      <c r="S383" s="338"/>
      <c r="T383" s="344"/>
      <c r="U383" s="474"/>
      <c r="V383" s="344"/>
      <c r="W383" s="475"/>
    </row>
    <row r="384" spans="2:23" ht="105.6" x14ac:dyDescent="0.25">
      <c r="B384" s="375"/>
      <c r="C384" s="351"/>
      <c r="D384" s="71" t="s">
        <v>69</v>
      </c>
      <c r="E384" s="77" t="s">
        <v>428</v>
      </c>
      <c r="F384" s="576"/>
      <c r="G384" s="82">
        <f>'SQ_Auditoreingaben '!G378</f>
        <v>0</v>
      </c>
      <c r="H384" s="576"/>
      <c r="I384" s="69"/>
      <c r="J384" s="18">
        <v>5</v>
      </c>
      <c r="K384" s="364"/>
      <c r="L384" s="80"/>
      <c r="M384" s="570"/>
      <c r="N384" s="570"/>
      <c r="O384" s="570"/>
      <c r="P384" s="571"/>
      <c r="R384" s="18">
        <f t="shared" si="5"/>
        <v>0</v>
      </c>
      <c r="S384" s="338"/>
      <c r="T384" s="344"/>
      <c r="U384" s="474"/>
      <c r="V384" s="344"/>
      <c r="W384" s="475"/>
    </row>
    <row r="385" spans="2:23" ht="105.6" x14ac:dyDescent="0.25">
      <c r="B385" s="375"/>
      <c r="C385" s="351"/>
      <c r="D385" s="71" t="s">
        <v>78</v>
      </c>
      <c r="E385" s="77" t="s">
        <v>429</v>
      </c>
      <c r="F385" s="576"/>
      <c r="G385" s="82">
        <f>'SQ_Auditoreingaben '!G379</f>
        <v>0</v>
      </c>
      <c r="H385" s="576"/>
      <c r="I385" s="69"/>
      <c r="J385" s="18">
        <v>5</v>
      </c>
      <c r="K385" s="364"/>
      <c r="L385" s="80"/>
      <c r="M385" s="570"/>
      <c r="N385" s="570"/>
      <c r="O385" s="570"/>
      <c r="P385" s="571"/>
      <c r="R385" s="18">
        <f t="shared" si="5"/>
        <v>0</v>
      </c>
      <c r="S385" s="338"/>
      <c r="T385" s="344"/>
      <c r="U385" s="474"/>
      <c r="V385" s="344"/>
      <c r="W385" s="475"/>
    </row>
    <row r="386" spans="2:23" ht="52.8" x14ac:dyDescent="0.25">
      <c r="B386" s="375"/>
      <c r="C386" s="351"/>
      <c r="D386" s="71" t="s">
        <v>214</v>
      </c>
      <c r="E386" s="77" t="s">
        <v>430</v>
      </c>
      <c r="F386" s="576"/>
      <c r="G386" s="82" t="e">
        <f>'SQ_Auditoreingaben '!#REF!</f>
        <v>#REF!</v>
      </c>
      <c r="H386" s="576"/>
      <c r="I386" s="69"/>
      <c r="J386" s="18">
        <v>5</v>
      </c>
      <c r="K386" s="364"/>
      <c r="L386" s="80"/>
      <c r="M386" s="570"/>
      <c r="N386" s="570"/>
      <c r="O386" s="570"/>
      <c r="P386" s="571"/>
      <c r="R386" s="18">
        <f t="shared" si="5"/>
        <v>0</v>
      </c>
      <c r="S386" s="338"/>
      <c r="T386" s="344"/>
      <c r="U386" s="474"/>
      <c r="V386" s="344"/>
      <c r="W386" s="475"/>
    </row>
    <row r="387" spans="2:23" x14ac:dyDescent="0.25">
      <c r="B387" s="375"/>
      <c r="C387" s="351" t="s">
        <v>154</v>
      </c>
      <c r="D387" s="354" t="s">
        <v>420</v>
      </c>
      <c r="E387" s="354"/>
      <c r="F387" s="576"/>
      <c r="G387" s="113"/>
      <c r="H387" s="576"/>
      <c r="I387" s="113"/>
      <c r="J387" s="21">
        <v>20</v>
      </c>
      <c r="K387" s="364"/>
      <c r="L387" s="80"/>
      <c r="M387" s="570"/>
      <c r="N387" s="570"/>
      <c r="O387" s="570"/>
      <c r="P387" s="571"/>
      <c r="R387" s="18">
        <f t="shared" si="5"/>
        <v>0</v>
      </c>
      <c r="S387" s="338"/>
      <c r="T387" s="344"/>
      <c r="U387" s="474"/>
      <c r="V387" s="344"/>
      <c r="W387" s="475"/>
    </row>
    <row r="388" spans="2:23" ht="66" x14ac:dyDescent="0.25">
      <c r="B388" s="375"/>
      <c r="C388" s="351"/>
      <c r="D388" s="71" t="s">
        <v>156</v>
      </c>
      <c r="E388" s="77" t="s">
        <v>431</v>
      </c>
      <c r="F388" s="576"/>
      <c r="G388" s="82" t="e">
        <f>'SQ_Auditoreingaben '!#REF!</f>
        <v>#REF!</v>
      </c>
      <c r="H388" s="576"/>
      <c r="I388" s="69"/>
      <c r="J388" s="18">
        <v>5</v>
      </c>
      <c r="K388" s="364"/>
      <c r="L388" s="80"/>
      <c r="M388" s="570"/>
      <c r="N388" s="570"/>
      <c r="O388" s="570"/>
      <c r="P388" s="571"/>
      <c r="R388" s="18">
        <f t="shared" si="5"/>
        <v>0</v>
      </c>
      <c r="S388" s="338"/>
      <c r="T388" s="344"/>
      <c r="U388" s="474"/>
      <c r="V388" s="344"/>
      <c r="W388" s="475"/>
    </row>
    <row r="389" spans="2:23" ht="158.4" x14ac:dyDescent="0.25">
      <c r="B389" s="375"/>
      <c r="C389" s="351"/>
      <c r="D389" s="71" t="s">
        <v>218</v>
      </c>
      <c r="E389" s="77" t="s">
        <v>432</v>
      </c>
      <c r="F389" s="576"/>
      <c r="G389" s="82" t="e">
        <f>'SQ_Auditoreingaben '!#REF!</f>
        <v>#REF!</v>
      </c>
      <c r="H389" s="576"/>
      <c r="I389" s="69"/>
      <c r="J389" s="18">
        <v>5</v>
      </c>
      <c r="K389" s="364"/>
      <c r="L389" s="80"/>
      <c r="M389" s="570"/>
      <c r="N389" s="570"/>
      <c r="O389" s="570"/>
      <c r="P389" s="571"/>
      <c r="R389" s="18">
        <f t="shared" si="5"/>
        <v>0</v>
      </c>
      <c r="S389" s="338"/>
      <c r="T389" s="344"/>
      <c r="U389" s="474"/>
      <c r="V389" s="344"/>
      <c r="W389" s="475"/>
    </row>
    <row r="390" spans="2:23" ht="211.2" x14ac:dyDescent="0.25">
      <c r="B390" s="375"/>
      <c r="C390" s="351"/>
      <c r="D390" s="71" t="s">
        <v>219</v>
      </c>
      <c r="E390" s="77" t="s">
        <v>681</v>
      </c>
      <c r="F390" s="576"/>
      <c r="G390" s="82" t="e">
        <f>'SQ_Auditoreingaben '!#REF!</f>
        <v>#REF!</v>
      </c>
      <c r="H390" s="576"/>
      <c r="I390" s="69"/>
      <c r="J390" s="18">
        <v>10</v>
      </c>
      <c r="K390" s="364"/>
      <c r="L390" s="80"/>
      <c r="M390" s="570"/>
      <c r="N390" s="570"/>
      <c r="O390" s="570"/>
      <c r="P390" s="571"/>
      <c r="R390" s="18">
        <f t="shared" si="5"/>
        <v>0</v>
      </c>
      <c r="S390" s="339"/>
      <c r="T390" s="365"/>
      <c r="U390" s="474"/>
      <c r="V390" s="344"/>
      <c r="W390" s="475"/>
    </row>
    <row r="391" spans="2:23" x14ac:dyDescent="0.25">
      <c r="B391" s="55" t="s">
        <v>421</v>
      </c>
      <c r="C391" s="354" t="s">
        <v>422</v>
      </c>
      <c r="D391" s="354"/>
      <c r="E391" s="354"/>
      <c r="F391" s="78">
        <f>'SQ_Auditoreingaben '!F380</f>
        <v>90.5</v>
      </c>
      <c r="G391" s="364"/>
      <c r="H391" s="91">
        <f>S391</f>
        <v>0</v>
      </c>
      <c r="I391" s="364"/>
      <c r="J391" s="21">
        <v>110</v>
      </c>
      <c r="K391" s="88">
        <v>4</v>
      </c>
      <c r="L391" s="80"/>
      <c r="M391" s="570"/>
      <c r="N391" s="570"/>
      <c r="O391" s="570"/>
      <c r="P391" s="571"/>
      <c r="R391" s="18">
        <f t="shared" si="5"/>
        <v>0</v>
      </c>
      <c r="S391" s="337">
        <f>IF(SUM(R393,IF(R395+R396&gt;25,25,R395+R396),SUM(R399:R417),R420)&gt;100,100+R418,SUM(R393,IF(R395+R396&gt;25,25,R395+R396),SUM(R399:R417),R420,R418))</f>
        <v>0</v>
      </c>
      <c r="T391" s="343">
        <f>S391/100</f>
        <v>0</v>
      </c>
      <c r="U391" s="474"/>
      <c r="V391" s="344"/>
      <c r="W391" s="475"/>
    </row>
    <row r="392" spans="2:23" x14ac:dyDescent="0.25">
      <c r="B392" s="375"/>
      <c r="C392" s="351" t="s">
        <v>54</v>
      </c>
      <c r="D392" s="354" t="s">
        <v>423</v>
      </c>
      <c r="E392" s="354"/>
      <c r="F392" s="576"/>
      <c r="G392" s="364"/>
      <c r="H392" s="576"/>
      <c r="I392" s="364"/>
      <c r="J392" s="21">
        <v>5</v>
      </c>
      <c r="K392" s="364"/>
      <c r="L392" s="80"/>
      <c r="M392" s="570"/>
      <c r="N392" s="570"/>
      <c r="O392" s="570"/>
      <c r="P392" s="571"/>
      <c r="R392" s="18">
        <f t="shared" si="5"/>
        <v>0</v>
      </c>
      <c r="S392" s="338"/>
      <c r="T392" s="344"/>
      <c r="U392" s="474"/>
      <c r="V392" s="344"/>
      <c r="W392" s="475"/>
    </row>
    <row r="393" spans="2:23" ht="26.4" x14ac:dyDescent="0.25">
      <c r="B393" s="375"/>
      <c r="C393" s="351"/>
      <c r="D393" s="71" t="s">
        <v>58</v>
      </c>
      <c r="E393" s="87" t="s">
        <v>435</v>
      </c>
      <c r="F393" s="576"/>
      <c r="G393" s="82">
        <f>'SQ_Auditoreingaben '!G382</f>
        <v>5</v>
      </c>
      <c r="H393" s="576"/>
      <c r="I393" s="69"/>
      <c r="J393" s="18">
        <v>5</v>
      </c>
      <c r="K393" s="364"/>
      <c r="L393" s="80"/>
      <c r="M393" s="570"/>
      <c r="N393" s="570"/>
      <c r="O393" s="570"/>
      <c r="P393" s="571"/>
      <c r="R393" s="18">
        <f t="shared" si="5"/>
        <v>0</v>
      </c>
      <c r="S393" s="338"/>
      <c r="T393" s="344"/>
      <c r="U393" s="474"/>
      <c r="V393" s="344"/>
      <c r="W393" s="475"/>
    </row>
    <row r="394" spans="2:23" x14ac:dyDescent="0.25">
      <c r="B394" s="375"/>
      <c r="C394" s="351" t="s">
        <v>61</v>
      </c>
      <c r="D394" s="354" t="s">
        <v>436</v>
      </c>
      <c r="E394" s="354"/>
      <c r="F394" s="576"/>
      <c r="G394" s="113"/>
      <c r="H394" s="576"/>
      <c r="I394" s="113"/>
      <c r="J394" s="21">
        <v>25</v>
      </c>
      <c r="K394" s="364"/>
      <c r="L394" s="80"/>
      <c r="M394" s="570"/>
      <c r="N394" s="570"/>
      <c r="O394" s="570"/>
      <c r="P394" s="571"/>
      <c r="R394" s="18">
        <f t="shared" si="5"/>
        <v>0</v>
      </c>
      <c r="S394" s="338"/>
      <c r="T394" s="344"/>
      <c r="U394" s="474"/>
      <c r="V394" s="344"/>
      <c r="W394" s="475"/>
    </row>
    <row r="395" spans="2:23" ht="39.6" x14ac:dyDescent="0.25">
      <c r="B395" s="375"/>
      <c r="C395" s="351"/>
      <c r="D395" s="71" t="s">
        <v>63</v>
      </c>
      <c r="E395" s="77" t="s">
        <v>565</v>
      </c>
      <c r="F395" s="576"/>
      <c r="G395" s="82">
        <f>'SQ_Auditoreingaben '!G384</f>
        <v>10</v>
      </c>
      <c r="H395" s="576"/>
      <c r="I395" s="69"/>
      <c r="J395" s="18">
        <v>25</v>
      </c>
      <c r="K395" s="364"/>
      <c r="L395" s="80"/>
      <c r="M395" s="570"/>
      <c r="N395" s="570"/>
      <c r="O395" s="570"/>
      <c r="P395" s="571"/>
      <c r="R395" s="18">
        <f t="shared" si="5"/>
        <v>0</v>
      </c>
      <c r="S395" s="338"/>
      <c r="T395" s="344"/>
      <c r="U395" s="474"/>
      <c r="V395" s="344"/>
      <c r="W395" s="475"/>
    </row>
    <row r="396" spans="2:23" ht="158.4" x14ac:dyDescent="0.25">
      <c r="B396" s="375"/>
      <c r="C396" s="351"/>
      <c r="D396" s="71" t="s">
        <v>437</v>
      </c>
      <c r="E396" s="77" t="s">
        <v>566</v>
      </c>
      <c r="F396" s="576"/>
      <c r="G396" s="82">
        <f>'SQ_Auditoreingaben '!G385</f>
        <v>10</v>
      </c>
      <c r="H396" s="576"/>
      <c r="I396" s="69"/>
      <c r="J396" s="18">
        <v>10</v>
      </c>
      <c r="K396" s="364"/>
      <c r="L396" s="80"/>
      <c r="M396" s="570"/>
      <c r="N396" s="570"/>
      <c r="O396" s="570"/>
      <c r="P396" s="571"/>
      <c r="R396" s="18">
        <f t="shared" si="5"/>
        <v>0</v>
      </c>
      <c r="S396" s="338"/>
      <c r="T396" s="344"/>
      <c r="U396" s="474"/>
      <c r="V396" s="344"/>
      <c r="W396" s="475"/>
    </row>
    <row r="397" spans="2:23" x14ac:dyDescent="0.25">
      <c r="B397" s="375"/>
      <c r="C397" s="351" t="s">
        <v>64</v>
      </c>
      <c r="D397" s="354" t="s">
        <v>438</v>
      </c>
      <c r="E397" s="354"/>
      <c r="F397" s="576"/>
      <c r="G397" s="356"/>
      <c r="H397" s="576"/>
      <c r="I397" s="356"/>
      <c r="J397" s="21">
        <v>16</v>
      </c>
      <c r="K397" s="364"/>
      <c r="L397" s="80"/>
      <c r="M397" s="570"/>
      <c r="N397" s="570"/>
      <c r="O397" s="570"/>
      <c r="P397" s="571"/>
      <c r="R397" s="18">
        <f t="shared" si="5"/>
        <v>0</v>
      </c>
      <c r="S397" s="338"/>
      <c r="T397" s="344"/>
      <c r="U397" s="474"/>
      <c r="V397" s="344"/>
      <c r="W397" s="475"/>
    </row>
    <row r="398" spans="2:23" x14ac:dyDescent="0.25">
      <c r="B398" s="375"/>
      <c r="C398" s="351"/>
      <c r="D398" s="361" t="s">
        <v>66</v>
      </c>
      <c r="E398" s="87" t="s">
        <v>439</v>
      </c>
      <c r="F398" s="576"/>
      <c r="G398" s="356"/>
      <c r="H398" s="576"/>
      <c r="I398" s="356"/>
      <c r="J398" s="21">
        <v>6</v>
      </c>
      <c r="K398" s="364"/>
      <c r="L398" s="80"/>
      <c r="M398" s="570"/>
      <c r="N398" s="570"/>
      <c r="O398" s="570"/>
      <c r="P398" s="571"/>
      <c r="R398" s="18">
        <f t="shared" si="5"/>
        <v>0</v>
      </c>
      <c r="S398" s="338"/>
      <c r="T398" s="344"/>
      <c r="U398" s="474"/>
      <c r="V398" s="344"/>
      <c r="W398" s="475"/>
    </row>
    <row r="399" spans="2:23" ht="39.6" x14ac:dyDescent="0.25">
      <c r="B399" s="375"/>
      <c r="C399" s="351"/>
      <c r="D399" s="361"/>
      <c r="E399" s="77" t="s">
        <v>440</v>
      </c>
      <c r="F399" s="576"/>
      <c r="G399" s="82">
        <f>'SQ_Auditoreingaben '!G388</f>
        <v>10</v>
      </c>
      <c r="H399" s="576"/>
      <c r="I399" s="69"/>
      <c r="J399" s="18">
        <v>4</v>
      </c>
      <c r="K399" s="364"/>
      <c r="L399" s="80"/>
      <c r="M399" s="570"/>
      <c r="N399" s="570"/>
      <c r="O399" s="570"/>
      <c r="P399" s="571"/>
      <c r="R399" s="18">
        <f t="shared" si="5"/>
        <v>0</v>
      </c>
      <c r="S399" s="338"/>
      <c r="T399" s="344"/>
      <c r="U399" s="474"/>
      <c r="V399" s="344"/>
      <c r="W399" s="475"/>
    </row>
    <row r="400" spans="2:23" ht="39.6" x14ac:dyDescent="0.25">
      <c r="B400" s="375"/>
      <c r="C400" s="351"/>
      <c r="D400" s="361"/>
      <c r="E400" s="77" t="s">
        <v>441</v>
      </c>
      <c r="F400" s="576"/>
      <c r="G400" s="82" t="e">
        <f>'SQ_Auditoreingaben '!#REF!</f>
        <v>#REF!</v>
      </c>
      <c r="H400" s="576"/>
      <c r="I400" s="69"/>
      <c r="J400" s="18">
        <v>2</v>
      </c>
      <c r="K400" s="364"/>
      <c r="L400" s="80"/>
      <c r="M400" s="570"/>
      <c r="N400" s="570"/>
      <c r="O400" s="570"/>
      <c r="P400" s="571"/>
      <c r="R400" s="18">
        <f t="shared" si="5"/>
        <v>0</v>
      </c>
      <c r="S400" s="338"/>
      <c r="T400" s="344"/>
      <c r="U400" s="474"/>
      <c r="V400" s="344"/>
      <c r="W400" s="475"/>
    </row>
    <row r="401" spans="2:23" ht="66" x14ac:dyDescent="0.25">
      <c r="B401" s="375"/>
      <c r="C401" s="351"/>
      <c r="D401" s="71" t="s">
        <v>188</v>
      </c>
      <c r="E401" s="77" t="s">
        <v>567</v>
      </c>
      <c r="F401" s="576"/>
      <c r="G401" s="82">
        <f>'SQ_Auditoreingaben '!G389</f>
        <v>0</v>
      </c>
      <c r="H401" s="576"/>
      <c r="I401" s="69"/>
      <c r="J401" s="18">
        <v>10</v>
      </c>
      <c r="K401" s="364"/>
      <c r="L401" s="80"/>
      <c r="M401" s="570"/>
      <c r="N401" s="570"/>
      <c r="O401" s="570"/>
      <c r="P401" s="571"/>
      <c r="R401" s="18">
        <f t="shared" si="5"/>
        <v>0</v>
      </c>
      <c r="S401" s="338"/>
      <c r="T401" s="344"/>
      <c r="U401" s="474"/>
      <c r="V401" s="344"/>
      <c r="W401" s="475"/>
    </row>
    <row r="402" spans="2:23" x14ac:dyDescent="0.25">
      <c r="B402" s="375"/>
      <c r="C402" s="351" t="s">
        <v>67</v>
      </c>
      <c r="D402" s="354" t="s">
        <v>442</v>
      </c>
      <c r="E402" s="354"/>
      <c r="F402" s="576"/>
      <c r="G402" s="113"/>
      <c r="H402" s="576"/>
      <c r="I402" s="113"/>
      <c r="J402" s="21">
        <v>10</v>
      </c>
      <c r="K402" s="364"/>
      <c r="L402" s="80"/>
      <c r="M402" s="570"/>
      <c r="N402" s="570"/>
      <c r="O402" s="570"/>
      <c r="P402" s="571"/>
      <c r="R402" s="18">
        <f t="shared" si="5"/>
        <v>0</v>
      </c>
      <c r="S402" s="338"/>
      <c r="T402" s="344"/>
      <c r="U402" s="474"/>
      <c r="V402" s="344"/>
      <c r="W402" s="475"/>
    </row>
    <row r="403" spans="2:23" ht="92.4" x14ac:dyDescent="0.25">
      <c r="B403" s="375"/>
      <c r="C403" s="351"/>
      <c r="D403" s="71" t="s">
        <v>69</v>
      </c>
      <c r="E403" s="77" t="s">
        <v>568</v>
      </c>
      <c r="F403" s="576"/>
      <c r="G403" s="82">
        <f>'SQ_Auditoreingaben '!G391</f>
        <v>10</v>
      </c>
      <c r="H403" s="576"/>
      <c r="I403" s="69"/>
      <c r="J403" s="18">
        <v>10</v>
      </c>
      <c r="K403" s="364"/>
      <c r="L403" s="80"/>
      <c r="M403" s="570"/>
      <c r="N403" s="570"/>
      <c r="O403" s="570"/>
      <c r="P403" s="571"/>
      <c r="R403" s="18">
        <f t="shared" si="5"/>
        <v>0</v>
      </c>
      <c r="S403" s="338"/>
      <c r="T403" s="344"/>
      <c r="U403" s="474"/>
      <c r="V403" s="344"/>
      <c r="W403" s="475"/>
    </row>
    <row r="404" spans="2:23" x14ac:dyDescent="0.25">
      <c r="B404" s="375"/>
      <c r="C404" s="351" t="s">
        <v>154</v>
      </c>
      <c r="D404" s="354" t="s">
        <v>443</v>
      </c>
      <c r="E404" s="354"/>
      <c r="F404" s="576"/>
      <c r="G404" s="113"/>
      <c r="H404" s="576"/>
      <c r="I404" s="113"/>
      <c r="J404" s="21">
        <v>10</v>
      </c>
      <c r="K404" s="364"/>
      <c r="L404" s="80"/>
      <c r="M404" s="570"/>
      <c r="N404" s="570"/>
      <c r="O404" s="570"/>
      <c r="P404" s="571"/>
      <c r="R404" s="18">
        <f t="shared" si="5"/>
        <v>0</v>
      </c>
      <c r="S404" s="338"/>
      <c r="T404" s="344"/>
      <c r="U404" s="474"/>
      <c r="V404" s="344"/>
      <c r="W404" s="475"/>
    </row>
    <row r="405" spans="2:23" ht="66" x14ac:dyDescent="0.25">
      <c r="B405" s="375"/>
      <c r="C405" s="351"/>
      <c r="D405" s="71" t="s">
        <v>156</v>
      </c>
      <c r="E405" s="77" t="s">
        <v>569</v>
      </c>
      <c r="F405" s="576"/>
      <c r="G405" s="82">
        <f>'SQ_Auditoreingaben '!G393</f>
        <v>9</v>
      </c>
      <c r="H405" s="576"/>
      <c r="I405" s="69"/>
      <c r="J405" s="18">
        <v>10</v>
      </c>
      <c r="K405" s="364"/>
      <c r="L405" s="80"/>
      <c r="M405" s="570"/>
      <c r="N405" s="570"/>
      <c r="O405" s="570"/>
      <c r="P405" s="571"/>
      <c r="R405" s="18">
        <f t="shared" si="5"/>
        <v>0</v>
      </c>
      <c r="S405" s="338"/>
      <c r="T405" s="344"/>
      <c r="U405" s="474"/>
      <c r="V405" s="344"/>
      <c r="W405" s="475"/>
    </row>
    <row r="406" spans="2:23" ht="52.8" x14ac:dyDescent="0.25">
      <c r="B406" s="375"/>
      <c r="C406" s="351"/>
      <c r="D406" s="71" t="s">
        <v>218</v>
      </c>
      <c r="E406" s="77" t="s">
        <v>570</v>
      </c>
      <c r="F406" s="576"/>
      <c r="G406" s="82">
        <f>'SQ_Auditoreingaben '!G394</f>
        <v>0</v>
      </c>
      <c r="H406" s="576"/>
      <c r="I406" s="69"/>
      <c r="J406" s="18">
        <v>5</v>
      </c>
      <c r="K406" s="364"/>
      <c r="L406" s="80"/>
      <c r="M406" s="570"/>
      <c r="N406" s="570"/>
      <c r="O406" s="570"/>
      <c r="P406" s="571"/>
      <c r="R406" s="18">
        <f t="shared" si="5"/>
        <v>0</v>
      </c>
      <c r="S406" s="338"/>
      <c r="T406" s="344"/>
      <c r="U406" s="474"/>
      <c r="V406" s="344"/>
      <c r="W406" s="475"/>
    </row>
    <row r="407" spans="2:23" x14ac:dyDescent="0.25">
      <c r="B407" s="375"/>
      <c r="C407" s="351" t="s">
        <v>157</v>
      </c>
      <c r="D407" s="354" t="s">
        <v>444</v>
      </c>
      <c r="E407" s="354"/>
      <c r="F407" s="576"/>
      <c r="G407" s="113"/>
      <c r="H407" s="576"/>
      <c r="I407" s="113"/>
      <c r="J407" s="21">
        <v>10</v>
      </c>
      <c r="K407" s="364"/>
      <c r="L407" s="80"/>
      <c r="M407" s="570"/>
      <c r="N407" s="570"/>
      <c r="O407" s="570"/>
      <c r="P407" s="571"/>
      <c r="R407" s="18">
        <f t="shared" si="5"/>
        <v>0</v>
      </c>
      <c r="S407" s="338"/>
      <c r="T407" s="344"/>
      <c r="U407" s="474"/>
      <c r="V407" s="344"/>
      <c r="W407" s="475"/>
    </row>
    <row r="408" spans="2:23" ht="79.2" x14ac:dyDescent="0.25">
      <c r="B408" s="375"/>
      <c r="C408" s="351"/>
      <c r="D408" s="71" t="s">
        <v>159</v>
      </c>
      <c r="E408" s="77" t="s">
        <v>571</v>
      </c>
      <c r="F408" s="576"/>
      <c r="G408" s="82">
        <f>'SQ_Auditoreingaben '!G396</f>
        <v>2.5</v>
      </c>
      <c r="H408" s="576"/>
      <c r="I408" s="69"/>
      <c r="J408" s="18">
        <v>10</v>
      </c>
      <c r="K408" s="364"/>
      <c r="L408" s="80"/>
      <c r="M408" s="570"/>
      <c r="N408" s="570"/>
      <c r="O408" s="570"/>
      <c r="P408" s="571"/>
      <c r="R408" s="18">
        <f t="shared" si="5"/>
        <v>0</v>
      </c>
      <c r="S408" s="338"/>
      <c r="T408" s="344"/>
      <c r="U408" s="474"/>
      <c r="V408" s="344"/>
      <c r="W408" s="475"/>
    </row>
    <row r="409" spans="2:23" x14ac:dyDescent="0.25">
      <c r="B409" s="375"/>
      <c r="C409" s="351" t="s">
        <v>282</v>
      </c>
      <c r="D409" s="354" t="s">
        <v>445</v>
      </c>
      <c r="E409" s="354"/>
      <c r="F409" s="576"/>
      <c r="G409" s="113"/>
      <c r="H409" s="576"/>
      <c r="I409" s="113"/>
      <c r="J409" s="21">
        <v>5</v>
      </c>
      <c r="K409" s="364"/>
      <c r="L409" s="80"/>
      <c r="M409" s="570"/>
      <c r="N409" s="570"/>
      <c r="O409" s="570"/>
      <c r="P409" s="571"/>
      <c r="R409" s="18">
        <f t="shared" si="5"/>
        <v>0</v>
      </c>
      <c r="S409" s="338"/>
      <c r="T409" s="344"/>
      <c r="U409" s="474"/>
      <c r="V409" s="344"/>
      <c r="W409" s="475"/>
    </row>
    <row r="410" spans="2:23" ht="66" x14ac:dyDescent="0.25">
      <c r="B410" s="375"/>
      <c r="C410" s="351"/>
      <c r="D410" s="71" t="s">
        <v>284</v>
      </c>
      <c r="E410" s="77" t="s">
        <v>572</v>
      </c>
      <c r="F410" s="576"/>
      <c r="G410" s="82">
        <f>'SQ_Auditoreingaben '!G398</f>
        <v>3</v>
      </c>
      <c r="H410" s="576"/>
      <c r="I410" s="69"/>
      <c r="J410" s="18">
        <v>5</v>
      </c>
      <c r="K410" s="364"/>
      <c r="L410" s="80"/>
      <c r="M410" s="570"/>
      <c r="N410" s="570"/>
      <c r="O410" s="570"/>
      <c r="P410" s="571"/>
      <c r="R410" s="18">
        <f t="shared" ref="R410:R473" si="6">IF(I410&gt;J410,J410,I410)</f>
        <v>0</v>
      </c>
      <c r="S410" s="338"/>
      <c r="T410" s="344"/>
      <c r="U410" s="474"/>
      <c r="V410" s="344"/>
      <c r="W410" s="475"/>
    </row>
    <row r="411" spans="2:23" x14ac:dyDescent="0.25">
      <c r="B411" s="375"/>
      <c r="C411" s="351" t="s">
        <v>285</v>
      </c>
      <c r="D411" s="354" t="s">
        <v>446</v>
      </c>
      <c r="E411" s="354"/>
      <c r="F411" s="576"/>
      <c r="G411" s="113"/>
      <c r="H411" s="576"/>
      <c r="I411" s="113"/>
      <c r="J411" s="21">
        <v>10</v>
      </c>
      <c r="K411" s="364"/>
      <c r="L411" s="80"/>
      <c r="M411" s="570"/>
      <c r="N411" s="570"/>
      <c r="O411" s="570"/>
      <c r="P411" s="571"/>
      <c r="R411" s="18">
        <f t="shared" si="6"/>
        <v>0</v>
      </c>
      <c r="S411" s="338"/>
      <c r="T411" s="344"/>
      <c r="U411" s="474"/>
      <c r="V411" s="344"/>
      <c r="W411" s="475"/>
    </row>
    <row r="412" spans="2:23" ht="66" x14ac:dyDescent="0.25">
      <c r="B412" s="375"/>
      <c r="C412" s="351"/>
      <c r="D412" s="71" t="s">
        <v>287</v>
      </c>
      <c r="E412" s="77" t="s">
        <v>573</v>
      </c>
      <c r="F412" s="576"/>
      <c r="G412" s="82">
        <f>'SQ_Auditoreingaben '!G400</f>
        <v>5</v>
      </c>
      <c r="H412" s="576"/>
      <c r="I412" s="69"/>
      <c r="J412" s="18">
        <v>10</v>
      </c>
      <c r="K412" s="364"/>
      <c r="L412" s="80"/>
      <c r="M412" s="570"/>
      <c r="N412" s="570"/>
      <c r="O412" s="570"/>
      <c r="P412" s="571"/>
      <c r="R412" s="18">
        <f t="shared" si="6"/>
        <v>0</v>
      </c>
      <c r="S412" s="338"/>
      <c r="T412" s="344"/>
      <c r="U412" s="474"/>
      <c r="V412" s="344"/>
      <c r="W412" s="475"/>
    </row>
    <row r="413" spans="2:23" x14ac:dyDescent="0.25">
      <c r="B413" s="375"/>
      <c r="C413" s="351" t="s">
        <v>292</v>
      </c>
      <c r="D413" s="354" t="s">
        <v>447</v>
      </c>
      <c r="E413" s="354"/>
      <c r="F413" s="576"/>
      <c r="G413" s="113"/>
      <c r="H413" s="576"/>
      <c r="I413" s="113"/>
      <c r="J413" s="21">
        <v>16</v>
      </c>
      <c r="K413" s="364"/>
      <c r="L413" s="80"/>
      <c r="M413" s="570"/>
      <c r="N413" s="570"/>
      <c r="O413" s="570"/>
      <c r="P413" s="571"/>
      <c r="R413" s="18">
        <f t="shared" si="6"/>
        <v>0</v>
      </c>
      <c r="S413" s="338"/>
      <c r="T413" s="344"/>
      <c r="U413" s="474"/>
      <c r="V413" s="344"/>
      <c r="W413" s="475"/>
    </row>
    <row r="414" spans="2:23" ht="52.8" x14ac:dyDescent="0.25">
      <c r="B414" s="375"/>
      <c r="C414" s="351"/>
      <c r="D414" s="71" t="s">
        <v>293</v>
      </c>
      <c r="E414" s="77" t="s">
        <v>574</v>
      </c>
      <c r="F414" s="576"/>
      <c r="G414" s="82">
        <f>'SQ_Auditoreingaben '!G402</f>
        <v>8</v>
      </c>
      <c r="H414" s="576"/>
      <c r="I414" s="69"/>
      <c r="J414" s="18">
        <v>8</v>
      </c>
      <c r="K414" s="364"/>
      <c r="L414" s="80"/>
      <c r="M414" s="570"/>
      <c r="N414" s="570"/>
      <c r="O414" s="570"/>
      <c r="P414" s="571"/>
      <c r="R414" s="18">
        <f t="shared" si="6"/>
        <v>0</v>
      </c>
      <c r="S414" s="338"/>
      <c r="T414" s="344"/>
      <c r="U414" s="474"/>
      <c r="V414" s="344"/>
      <c r="W414" s="475"/>
    </row>
    <row r="415" spans="2:23" ht="105.6" x14ac:dyDescent="0.25">
      <c r="B415" s="375"/>
      <c r="C415" s="351"/>
      <c r="D415" s="19" t="s">
        <v>460</v>
      </c>
      <c r="E415" s="77" t="s">
        <v>575</v>
      </c>
      <c r="F415" s="576"/>
      <c r="G415" s="82">
        <f>'SQ_Auditoreingaben '!G403</f>
        <v>8</v>
      </c>
      <c r="H415" s="576"/>
      <c r="I415" s="69"/>
      <c r="J415" s="18">
        <v>8</v>
      </c>
      <c r="K415" s="364"/>
      <c r="L415" s="80"/>
      <c r="M415" s="570"/>
      <c r="N415" s="570"/>
      <c r="O415" s="570"/>
      <c r="P415" s="571"/>
      <c r="R415" s="18">
        <f t="shared" si="6"/>
        <v>0</v>
      </c>
      <c r="S415" s="338"/>
      <c r="T415" s="344"/>
      <c r="U415" s="474"/>
      <c r="V415" s="344"/>
      <c r="W415" s="475"/>
    </row>
    <row r="416" spans="2:23" x14ac:dyDescent="0.25">
      <c r="B416" s="375"/>
      <c r="C416" s="351" t="s">
        <v>448</v>
      </c>
      <c r="D416" s="581" t="s">
        <v>449</v>
      </c>
      <c r="E416" s="581"/>
      <c r="F416" s="576"/>
      <c r="G416" s="113"/>
      <c r="H416" s="576"/>
      <c r="I416" s="113"/>
      <c r="J416" s="21">
        <v>20</v>
      </c>
      <c r="K416" s="364"/>
      <c r="L416" s="80"/>
      <c r="M416" s="570"/>
      <c r="N416" s="570"/>
      <c r="O416" s="570"/>
      <c r="P416" s="571"/>
      <c r="R416" s="18">
        <f t="shared" si="6"/>
        <v>0</v>
      </c>
      <c r="S416" s="338"/>
      <c r="T416" s="344"/>
      <c r="U416" s="474"/>
      <c r="V416" s="344"/>
      <c r="W416" s="475"/>
    </row>
    <row r="417" spans="2:23" ht="26.4" x14ac:dyDescent="0.25">
      <c r="B417" s="375"/>
      <c r="C417" s="351"/>
      <c r="D417" s="19" t="s">
        <v>459</v>
      </c>
      <c r="E417" s="87" t="s">
        <v>450</v>
      </c>
      <c r="F417" s="576"/>
      <c r="G417" s="82">
        <f>'SQ_Auditoreingaben '!G405</f>
        <v>10</v>
      </c>
      <c r="H417" s="576"/>
      <c r="I417" s="69"/>
      <c r="J417" s="18">
        <v>10</v>
      </c>
      <c r="K417" s="364"/>
      <c r="L417" s="80"/>
      <c r="M417" s="570"/>
      <c r="N417" s="570"/>
      <c r="O417" s="570"/>
      <c r="P417" s="571"/>
      <c r="R417" s="18">
        <f t="shared" si="6"/>
        <v>0</v>
      </c>
      <c r="S417" s="338"/>
      <c r="T417" s="344"/>
      <c r="U417" s="474"/>
      <c r="V417" s="344"/>
      <c r="W417" s="475"/>
    </row>
    <row r="418" spans="2:23" ht="79.2" x14ac:dyDescent="0.25">
      <c r="B418" s="375"/>
      <c r="C418" s="351"/>
      <c r="D418" s="71" t="s">
        <v>458</v>
      </c>
      <c r="E418" s="77" t="s">
        <v>576</v>
      </c>
      <c r="F418" s="576"/>
      <c r="G418" s="82">
        <f>'SQ_Auditoreingaben '!G406</f>
        <v>0</v>
      </c>
      <c r="H418" s="576"/>
      <c r="I418" s="69"/>
      <c r="J418" s="18">
        <v>10</v>
      </c>
      <c r="K418" s="364"/>
      <c r="L418" s="80"/>
      <c r="M418" s="570"/>
      <c r="N418" s="570"/>
      <c r="O418" s="570"/>
      <c r="P418" s="571"/>
      <c r="R418" s="18">
        <f t="shared" si="6"/>
        <v>0</v>
      </c>
      <c r="S418" s="338"/>
      <c r="T418" s="344"/>
      <c r="U418" s="474"/>
      <c r="V418" s="344"/>
      <c r="W418" s="475"/>
    </row>
    <row r="419" spans="2:23" x14ac:dyDescent="0.25">
      <c r="B419" s="375"/>
      <c r="C419" s="351" t="s">
        <v>451</v>
      </c>
      <c r="D419" s="354" t="s">
        <v>452</v>
      </c>
      <c r="E419" s="354"/>
      <c r="F419" s="576"/>
      <c r="G419" s="113"/>
      <c r="H419" s="576"/>
      <c r="I419" s="113"/>
      <c r="J419" s="21">
        <v>5</v>
      </c>
      <c r="K419" s="364"/>
      <c r="L419" s="80"/>
      <c r="M419" s="570"/>
      <c r="N419" s="570"/>
      <c r="O419" s="570"/>
      <c r="P419" s="571"/>
      <c r="R419" s="18">
        <f t="shared" si="6"/>
        <v>0</v>
      </c>
      <c r="S419" s="338"/>
      <c r="T419" s="344"/>
      <c r="U419" s="474"/>
      <c r="V419" s="344"/>
      <c r="W419" s="475"/>
    </row>
    <row r="420" spans="2:23" ht="26.4" x14ac:dyDescent="0.25">
      <c r="B420" s="375"/>
      <c r="C420" s="351"/>
      <c r="D420" s="71" t="s">
        <v>457</v>
      </c>
      <c r="E420" s="87" t="s">
        <v>453</v>
      </c>
      <c r="F420" s="576"/>
      <c r="G420" s="82" t="e">
        <f>'SQ_Auditoreingaben '!#REF!</f>
        <v>#REF!</v>
      </c>
      <c r="H420" s="576"/>
      <c r="I420" s="69"/>
      <c r="J420" s="18">
        <v>5</v>
      </c>
      <c r="K420" s="364"/>
      <c r="L420" s="80"/>
      <c r="M420" s="570"/>
      <c r="N420" s="570"/>
      <c r="O420" s="570"/>
      <c r="P420" s="571"/>
      <c r="R420" s="18">
        <f t="shared" si="6"/>
        <v>0</v>
      </c>
      <c r="S420" s="339"/>
      <c r="T420" s="365"/>
      <c r="U420" s="474"/>
      <c r="V420" s="344"/>
      <c r="W420" s="475"/>
    </row>
    <row r="421" spans="2:23" x14ac:dyDescent="0.25">
      <c r="B421" s="55" t="s">
        <v>454</v>
      </c>
      <c r="C421" s="354" t="s">
        <v>455</v>
      </c>
      <c r="D421" s="354"/>
      <c r="E421" s="354"/>
      <c r="F421" s="78">
        <f>'SQ_Auditoreingaben '!F407</f>
        <v>100</v>
      </c>
      <c r="G421" s="364"/>
      <c r="H421" s="91">
        <f>S421</f>
        <v>0</v>
      </c>
      <c r="I421" s="364"/>
      <c r="J421" s="21">
        <v>100</v>
      </c>
      <c r="K421" s="88">
        <v>4</v>
      </c>
      <c r="L421" s="80"/>
      <c r="M421" s="570"/>
      <c r="N421" s="570"/>
      <c r="O421" s="570"/>
      <c r="P421" s="571"/>
      <c r="R421" s="18">
        <f t="shared" si="6"/>
        <v>0</v>
      </c>
      <c r="S421" s="337">
        <f>IF(SUM(R423:R437)&gt;100,100,SUM(R423:R437))</f>
        <v>0</v>
      </c>
      <c r="T421" s="343">
        <f>S421/100</f>
        <v>0</v>
      </c>
      <c r="U421" s="474"/>
      <c r="V421" s="344"/>
      <c r="W421" s="475"/>
    </row>
    <row r="422" spans="2:23" x14ac:dyDescent="0.25">
      <c r="B422" s="375"/>
      <c r="C422" s="351" t="s">
        <v>54</v>
      </c>
      <c r="D422" s="354" t="s">
        <v>456</v>
      </c>
      <c r="E422" s="354"/>
      <c r="F422" s="576"/>
      <c r="G422" s="364"/>
      <c r="H422" s="576"/>
      <c r="I422" s="364"/>
      <c r="J422" s="21">
        <v>30</v>
      </c>
      <c r="K422" s="364"/>
      <c r="L422" s="80"/>
      <c r="M422" s="570"/>
      <c r="N422" s="570"/>
      <c r="O422" s="570"/>
      <c r="P422" s="571"/>
      <c r="R422" s="18">
        <f t="shared" si="6"/>
        <v>0</v>
      </c>
      <c r="S422" s="338"/>
      <c r="T422" s="344"/>
      <c r="U422" s="474"/>
      <c r="V422" s="344"/>
      <c r="W422" s="475"/>
    </row>
    <row r="423" spans="2:23" ht="52.8" x14ac:dyDescent="0.25">
      <c r="B423" s="375"/>
      <c r="C423" s="351"/>
      <c r="D423" s="71" t="s">
        <v>58</v>
      </c>
      <c r="E423" s="77" t="s">
        <v>577</v>
      </c>
      <c r="F423" s="576"/>
      <c r="G423" s="82">
        <f>'SQ_Auditoreingaben '!G409</f>
        <v>30</v>
      </c>
      <c r="H423" s="576"/>
      <c r="I423" s="69"/>
      <c r="J423" s="18">
        <v>30</v>
      </c>
      <c r="K423" s="364"/>
      <c r="L423" s="80"/>
      <c r="M423" s="570"/>
      <c r="N423" s="570"/>
      <c r="O423" s="570"/>
      <c r="P423" s="571"/>
      <c r="R423" s="18">
        <f t="shared" si="6"/>
        <v>0</v>
      </c>
      <c r="S423" s="338"/>
      <c r="T423" s="344"/>
      <c r="U423" s="474"/>
      <c r="V423" s="344"/>
      <c r="W423" s="475"/>
    </row>
    <row r="424" spans="2:23" x14ac:dyDescent="0.25">
      <c r="B424" s="375"/>
      <c r="C424" s="351" t="s">
        <v>61</v>
      </c>
      <c r="D424" s="354" t="s">
        <v>461</v>
      </c>
      <c r="E424" s="354"/>
      <c r="F424" s="576"/>
      <c r="G424" s="113"/>
      <c r="H424" s="576"/>
      <c r="I424" s="113"/>
      <c r="J424" s="21">
        <v>19</v>
      </c>
      <c r="K424" s="364"/>
      <c r="L424" s="80"/>
      <c r="M424" s="570"/>
      <c r="N424" s="570"/>
      <c r="O424" s="570"/>
      <c r="P424" s="571"/>
      <c r="R424" s="18">
        <f t="shared" si="6"/>
        <v>0</v>
      </c>
      <c r="S424" s="338"/>
      <c r="T424" s="344"/>
      <c r="U424" s="474"/>
      <c r="V424" s="344"/>
      <c r="W424" s="475"/>
    </row>
    <row r="425" spans="2:23" ht="105.6" x14ac:dyDescent="0.25">
      <c r="B425" s="375"/>
      <c r="C425" s="351"/>
      <c r="D425" s="71" t="s">
        <v>63</v>
      </c>
      <c r="E425" s="77" t="s">
        <v>682</v>
      </c>
      <c r="F425" s="576"/>
      <c r="G425" s="82">
        <f>'SQ_Auditoreingaben '!G411</f>
        <v>19</v>
      </c>
      <c r="H425" s="576"/>
      <c r="I425" s="69"/>
      <c r="J425" s="18">
        <v>19</v>
      </c>
      <c r="K425" s="364"/>
      <c r="L425" s="80"/>
      <c r="M425" s="570"/>
      <c r="N425" s="570"/>
      <c r="O425" s="570"/>
      <c r="P425" s="571"/>
      <c r="R425" s="18">
        <f t="shared" si="6"/>
        <v>0</v>
      </c>
      <c r="S425" s="338"/>
      <c r="T425" s="344"/>
      <c r="U425" s="474"/>
      <c r="V425" s="344"/>
      <c r="W425" s="475"/>
    </row>
    <row r="426" spans="2:23" x14ac:dyDescent="0.25">
      <c r="B426" s="375"/>
      <c r="C426" s="351" t="s">
        <v>64</v>
      </c>
      <c r="D426" s="354" t="s">
        <v>462</v>
      </c>
      <c r="E426" s="354"/>
      <c r="F426" s="576"/>
      <c r="G426" s="113"/>
      <c r="H426" s="576"/>
      <c r="I426" s="113"/>
      <c r="J426" s="21">
        <v>18</v>
      </c>
      <c r="K426" s="364"/>
      <c r="L426" s="80"/>
      <c r="M426" s="570"/>
      <c r="N426" s="570"/>
      <c r="O426" s="570"/>
      <c r="P426" s="571"/>
      <c r="R426" s="18">
        <f t="shared" si="6"/>
        <v>0</v>
      </c>
      <c r="S426" s="338"/>
      <c r="T426" s="344"/>
      <c r="U426" s="474"/>
      <c r="V426" s="344"/>
      <c r="W426" s="475"/>
    </row>
    <row r="427" spans="2:23" ht="382.8" x14ac:dyDescent="0.25">
      <c r="B427" s="375"/>
      <c r="C427" s="351"/>
      <c r="D427" s="71" t="s">
        <v>66</v>
      </c>
      <c r="E427" s="77" t="s">
        <v>578</v>
      </c>
      <c r="F427" s="576"/>
      <c r="G427" s="82">
        <f>'SQ_Auditoreingaben '!G413</f>
        <v>20</v>
      </c>
      <c r="H427" s="576"/>
      <c r="I427" s="69"/>
      <c r="J427" s="18">
        <v>18</v>
      </c>
      <c r="K427" s="364"/>
      <c r="L427" s="80"/>
      <c r="M427" s="570"/>
      <c r="N427" s="570"/>
      <c r="O427" s="570"/>
      <c r="P427" s="571"/>
      <c r="R427" s="18">
        <f t="shared" si="6"/>
        <v>0</v>
      </c>
      <c r="S427" s="338"/>
      <c r="T427" s="344"/>
      <c r="U427" s="474"/>
      <c r="V427" s="344"/>
      <c r="W427" s="475"/>
    </row>
    <row r="428" spans="2:23" x14ac:dyDescent="0.25">
      <c r="B428" s="375"/>
      <c r="C428" s="351" t="s">
        <v>67</v>
      </c>
      <c r="D428" s="354" t="s">
        <v>463</v>
      </c>
      <c r="E428" s="354"/>
      <c r="F428" s="576"/>
      <c r="G428" s="113"/>
      <c r="H428" s="576"/>
      <c r="I428" s="113"/>
      <c r="J428" s="21">
        <v>10</v>
      </c>
      <c r="K428" s="364"/>
      <c r="L428" s="80"/>
      <c r="M428" s="570"/>
      <c r="N428" s="570"/>
      <c r="O428" s="570"/>
      <c r="P428" s="571"/>
      <c r="R428" s="18">
        <f t="shared" si="6"/>
        <v>0</v>
      </c>
      <c r="S428" s="338"/>
      <c r="T428" s="344"/>
      <c r="U428" s="474"/>
      <c r="V428" s="344"/>
      <c r="W428" s="475"/>
    </row>
    <row r="429" spans="2:23" ht="26.4" x14ac:dyDescent="0.25">
      <c r="B429" s="375"/>
      <c r="C429" s="351"/>
      <c r="D429" s="71" t="s">
        <v>69</v>
      </c>
      <c r="E429" s="87" t="s">
        <v>465</v>
      </c>
      <c r="F429" s="576"/>
      <c r="G429" s="82">
        <f>'SQ_Auditoreingaben '!G415</f>
        <v>10</v>
      </c>
      <c r="H429" s="576"/>
      <c r="I429" s="69"/>
      <c r="J429" s="18">
        <v>10</v>
      </c>
      <c r="K429" s="364"/>
      <c r="L429" s="80"/>
      <c r="M429" s="570"/>
      <c r="N429" s="570"/>
      <c r="O429" s="570"/>
      <c r="P429" s="571"/>
      <c r="R429" s="18">
        <f t="shared" si="6"/>
        <v>0</v>
      </c>
      <c r="S429" s="338"/>
      <c r="T429" s="344"/>
      <c r="U429" s="474"/>
      <c r="V429" s="344"/>
      <c r="W429" s="475"/>
    </row>
    <row r="430" spans="2:23" x14ac:dyDescent="0.25">
      <c r="B430" s="375"/>
      <c r="C430" s="351" t="s">
        <v>154</v>
      </c>
      <c r="D430" s="354" t="s">
        <v>466</v>
      </c>
      <c r="E430" s="354"/>
      <c r="F430" s="576"/>
      <c r="G430" s="113"/>
      <c r="H430" s="576"/>
      <c r="I430" s="113"/>
      <c r="J430" s="21">
        <v>15</v>
      </c>
      <c r="K430" s="364"/>
      <c r="L430" s="80"/>
      <c r="M430" s="570"/>
      <c r="N430" s="570"/>
      <c r="O430" s="570"/>
      <c r="P430" s="571"/>
      <c r="R430" s="18">
        <f t="shared" si="6"/>
        <v>0</v>
      </c>
      <c r="S430" s="338"/>
      <c r="T430" s="344"/>
      <c r="U430" s="474"/>
      <c r="V430" s="344"/>
      <c r="W430" s="475"/>
    </row>
    <row r="431" spans="2:23" ht="26.4" x14ac:dyDescent="0.25">
      <c r="B431" s="375"/>
      <c r="C431" s="351"/>
      <c r="D431" s="71" t="s">
        <v>156</v>
      </c>
      <c r="E431" s="87" t="s">
        <v>467</v>
      </c>
      <c r="F431" s="576"/>
      <c r="G431" s="82">
        <f>'SQ_Auditoreingaben '!G417</f>
        <v>15</v>
      </c>
      <c r="H431" s="576"/>
      <c r="I431" s="69"/>
      <c r="J431" s="18">
        <v>15</v>
      </c>
      <c r="K431" s="364"/>
      <c r="L431" s="80"/>
      <c r="M431" s="570"/>
      <c r="N431" s="570"/>
      <c r="O431" s="570"/>
      <c r="P431" s="571"/>
      <c r="R431" s="18">
        <f t="shared" si="6"/>
        <v>0</v>
      </c>
      <c r="S431" s="338"/>
      <c r="T431" s="344"/>
      <c r="U431" s="474"/>
      <c r="V431" s="344"/>
      <c r="W431" s="475"/>
    </row>
    <row r="432" spans="2:23" x14ac:dyDescent="0.25">
      <c r="B432" s="375"/>
      <c r="C432" s="351" t="s">
        <v>468</v>
      </c>
      <c r="D432" s="354" t="s">
        <v>469</v>
      </c>
      <c r="E432" s="354"/>
      <c r="F432" s="576"/>
      <c r="G432" s="113"/>
      <c r="H432" s="576"/>
      <c r="I432" s="113"/>
      <c r="J432" s="21">
        <v>15</v>
      </c>
      <c r="K432" s="364"/>
      <c r="L432" s="80"/>
      <c r="M432" s="570"/>
      <c r="N432" s="570"/>
      <c r="O432" s="570"/>
      <c r="P432" s="571"/>
      <c r="R432" s="18">
        <f t="shared" si="6"/>
        <v>0</v>
      </c>
      <c r="S432" s="338"/>
      <c r="T432" s="344"/>
      <c r="U432" s="474"/>
      <c r="V432" s="344"/>
      <c r="W432" s="475"/>
    </row>
    <row r="433" spans="2:23" ht="26.4" x14ac:dyDescent="0.25">
      <c r="B433" s="375"/>
      <c r="C433" s="351"/>
      <c r="D433" s="71" t="s">
        <v>159</v>
      </c>
      <c r="E433" s="87" t="s">
        <v>470</v>
      </c>
      <c r="F433" s="576"/>
      <c r="G433" s="82">
        <f>'SQ_Auditoreingaben '!G419</f>
        <v>15</v>
      </c>
      <c r="H433" s="576"/>
      <c r="I433" s="69"/>
      <c r="J433" s="18">
        <v>15</v>
      </c>
      <c r="K433" s="364"/>
      <c r="L433" s="80"/>
      <c r="M433" s="570"/>
      <c r="N433" s="570"/>
      <c r="O433" s="570"/>
      <c r="P433" s="571"/>
      <c r="R433" s="18">
        <f t="shared" si="6"/>
        <v>0</v>
      </c>
      <c r="S433" s="338"/>
      <c r="T433" s="344"/>
      <c r="U433" s="474"/>
      <c r="V433" s="344"/>
      <c r="W433" s="475"/>
    </row>
    <row r="434" spans="2:23" x14ac:dyDescent="0.25">
      <c r="B434" s="375"/>
      <c r="C434" s="351" t="s">
        <v>282</v>
      </c>
      <c r="D434" s="354" t="s">
        <v>471</v>
      </c>
      <c r="E434" s="354"/>
      <c r="F434" s="576"/>
      <c r="G434" s="356"/>
      <c r="H434" s="576"/>
      <c r="I434" s="356"/>
      <c r="J434" s="21">
        <v>15</v>
      </c>
      <c r="K434" s="364"/>
      <c r="L434" s="80"/>
      <c r="M434" s="570"/>
      <c r="N434" s="570"/>
      <c r="O434" s="570"/>
      <c r="P434" s="571"/>
      <c r="R434" s="18">
        <f t="shared" si="6"/>
        <v>0</v>
      </c>
      <c r="S434" s="338"/>
      <c r="T434" s="344"/>
      <c r="U434" s="474"/>
      <c r="V434" s="344"/>
      <c r="W434" s="475"/>
    </row>
    <row r="435" spans="2:23" x14ac:dyDescent="0.25">
      <c r="B435" s="375"/>
      <c r="C435" s="351"/>
      <c r="D435" s="361" t="s">
        <v>284</v>
      </c>
      <c r="E435" s="90" t="s">
        <v>464</v>
      </c>
      <c r="F435" s="576"/>
      <c r="G435" s="356"/>
      <c r="H435" s="576"/>
      <c r="I435" s="356"/>
      <c r="J435" s="21">
        <v>15</v>
      </c>
      <c r="K435" s="364"/>
      <c r="L435" s="80"/>
      <c r="M435" s="570"/>
      <c r="N435" s="570"/>
      <c r="O435" s="570"/>
      <c r="P435" s="571"/>
      <c r="R435" s="18">
        <f t="shared" si="6"/>
        <v>0</v>
      </c>
      <c r="S435" s="338"/>
      <c r="T435" s="344"/>
      <c r="U435" s="474"/>
      <c r="V435" s="344"/>
      <c r="W435" s="475"/>
    </row>
    <row r="436" spans="2:23" ht="52.8" x14ac:dyDescent="0.25">
      <c r="B436" s="375"/>
      <c r="C436" s="351"/>
      <c r="D436" s="361"/>
      <c r="E436" s="77" t="s">
        <v>472</v>
      </c>
      <c r="F436" s="576"/>
      <c r="G436" s="82">
        <f>'SQ_Auditoreingaben '!G422</f>
        <v>0</v>
      </c>
      <c r="H436" s="576"/>
      <c r="I436" s="69"/>
      <c r="J436" s="18">
        <v>8</v>
      </c>
      <c r="K436" s="364"/>
      <c r="L436" s="80"/>
      <c r="M436" s="570"/>
      <c r="N436" s="570"/>
      <c r="O436" s="570"/>
      <c r="P436" s="571"/>
      <c r="R436" s="18">
        <f t="shared" si="6"/>
        <v>0</v>
      </c>
      <c r="S436" s="338"/>
      <c r="T436" s="344"/>
      <c r="U436" s="474"/>
      <c r="V436" s="344"/>
      <c r="W436" s="475"/>
    </row>
    <row r="437" spans="2:23" ht="39.6" x14ac:dyDescent="0.25">
      <c r="B437" s="375"/>
      <c r="C437" s="351"/>
      <c r="D437" s="361"/>
      <c r="E437" s="77" t="s">
        <v>473</v>
      </c>
      <c r="F437" s="576"/>
      <c r="G437" s="82">
        <f>'SQ_Auditoreingaben '!G423</f>
        <v>0</v>
      </c>
      <c r="H437" s="576"/>
      <c r="I437" s="69"/>
      <c r="J437" s="18">
        <v>7</v>
      </c>
      <c r="K437" s="364"/>
      <c r="L437" s="80"/>
      <c r="M437" s="570"/>
      <c r="N437" s="570"/>
      <c r="O437" s="570"/>
      <c r="P437" s="571"/>
      <c r="R437" s="18">
        <f t="shared" si="6"/>
        <v>0</v>
      </c>
      <c r="S437" s="339"/>
      <c r="T437" s="365"/>
      <c r="U437" s="474"/>
      <c r="V437" s="365"/>
      <c r="W437" s="475"/>
    </row>
    <row r="438" spans="2:23" x14ac:dyDescent="0.25">
      <c r="B438" s="55" t="s">
        <v>474</v>
      </c>
      <c r="C438" s="354" t="s">
        <v>475</v>
      </c>
      <c r="D438" s="354"/>
      <c r="E438" s="354"/>
      <c r="F438" s="78">
        <f>'SQ_Auditoreingaben '!F424</f>
        <v>72</v>
      </c>
      <c r="G438" s="364"/>
      <c r="H438" s="91">
        <f>S438</f>
        <v>0</v>
      </c>
      <c r="I438" s="364"/>
      <c r="J438" s="21">
        <v>100</v>
      </c>
      <c r="K438" s="88">
        <v>2</v>
      </c>
      <c r="L438" s="80"/>
      <c r="M438" s="570"/>
      <c r="N438" s="570"/>
      <c r="O438" s="570"/>
      <c r="P438" s="571"/>
      <c r="R438" s="18">
        <f t="shared" si="6"/>
        <v>0</v>
      </c>
      <c r="S438" s="337">
        <f>SUM(R441:R457)</f>
        <v>0</v>
      </c>
      <c r="T438" s="343">
        <f>S438/100</f>
        <v>0</v>
      </c>
      <c r="U438" s="474">
        <v>0.2</v>
      </c>
      <c r="V438" s="343">
        <f>IF((T438*K438+T458*K458+T485*K485+T509*K509+T522*K522+T536*K536)/(K438+K458+K485+K509+K522+K536)&gt;1,1,(T438*K438+T458*K458+T485*K485+T509*K509+T522*K522+T536*K536)/(K438+K458+K485+K509+K522+K536))</f>
        <v>0</v>
      </c>
      <c r="W438" s="475"/>
    </row>
    <row r="439" spans="2:23" x14ac:dyDescent="0.25">
      <c r="B439" s="375"/>
      <c r="C439" s="351" t="s">
        <v>54</v>
      </c>
      <c r="D439" s="354" t="s">
        <v>476</v>
      </c>
      <c r="E439" s="354"/>
      <c r="F439" s="576"/>
      <c r="G439" s="364"/>
      <c r="H439" s="576"/>
      <c r="I439" s="364"/>
      <c r="J439" s="21">
        <v>36</v>
      </c>
      <c r="K439" s="364"/>
      <c r="L439" s="80"/>
      <c r="M439" s="570"/>
      <c r="N439" s="570"/>
      <c r="O439" s="570"/>
      <c r="P439" s="571"/>
      <c r="R439" s="18">
        <f t="shared" si="6"/>
        <v>0</v>
      </c>
      <c r="S439" s="338"/>
      <c r="T439" s="344"/>
      <c r="U439" s="474"/>
      <c r="V439" s="344"/>
      <c r="W439" s="475"/>
    </row>
    <row r="440" spans="2:23" x14ac:dyDescent="0.25">
      <c r="B440" s="375"/>
      <c r="C440" s="351"/>
      <c r="D440" s="361" t="s">
        <v>58</v>
      </c>
      <c r="E440" s="90" t="s">
        <v>477</v>
      </c>
      <c r="F440" s="576"/>
      <c r="G440" s="364"/>
      <c r="H440" s="576"/>
      <c r="I440" s="364"/>
      <c r="J440" s="21">
        <v>36</v>
      </c>
      <c r="K440" s="364"/>
      <c r="L440" s="80"/>
      <c r="M440" s="570"/>
      <c r="N440" s="570"/>
      <c r="O440" s="570"/>
      <c r="P440" s="571"/>
      <c r="R440" s="18">
        <f t="shared" si="6"/>
        <v>0</v>
      </c>
      <c r="S440" s="338"/>
      <c r="T440" s="344"/>
      <c r="U440" s="474"/>
      <c r="V440" s="344"/>
      <c r="W440" s="475"/>
    </row>
    <row r="441" spans="2:23" ht="39.6" x14ac:dyDescent="0.25">
      <c r="B441" s="375"/>
      <c r="C441" s="351"/>
      <c r="D441" s="361"/>
      <c r="E441" s="77" t="s">
        <v>478</v>
      </c>
      <c r="F441" s="576"/>
      <c r="G441" s="82">
        <f>'SQ_Auditoreingaben '!G427</f>
        <v>24</v>
      </c>
      <c r="H441" s="576"/>
      <c r="I441" s="69"/>
      <c r="J441" s="18">
        <v>24</v>
      </c>
      <c r="K441" s="364"/>
      <c r="L441" s="80"/>
      <c r="M441" s="570"/>
      <c r="N441" s="570"/>
      <c r="O441" s="570"/>
      <c r="P441" s="571"/>
      <c r="R441" s="18">
        <f t="shared" si="6"/>
        <v>0</v>
      </c>
      <c r="S441" s="338"/>
      <c r="T441" s="344"/>
      <c r="U441" s="474"/>
      <c r="V441" s="344"/>
      <c r="W441" s="475"/>
    </row>
    <row r="442" spans="2:23" ht="39.6" x14ac:dyDescent="0.25">
      <c r="B442" s="375"/>
      <c r="C442" s="351"/>
      <c r="D442" s="361"/>
      <c r="E442" s="77" t="s">
        <v>479</v>
      </c>
      <c r="F442" s="576"/>
      <c r="G442" s="82">
        <f>'SQ_Auditoreingaben '!G428</f>
        <v>12</v>
      </c>
      <c r="H442" s="576"/>
      <c r="I442" s="69"/>
      <c r="J442" s="18">
        <v>12</v>
      </c>
      <c r="K442" s="364"/>
      <c r="L442" s="80"/>
      <c r="M442" s="570"/>
      <c r="N442" s="570"/>
      <c r="O442" s="570"/>
      <c r="P442" s="571"/>
      <c r="R442" s="18">
        <f t="shared" si="6"/>
        <v>0</v>
      </c>
      <c r="S442" s="338"/>
      <c r="T442" s="344"/>
      <c r="U442" s="474"/>
      <c r="V442" s="344"/>
      <c r="W442" s="475"/>
    </row>
    <row r="443" spans="2:23" x14ac:dyDescent="0.25">
      <c r="B443" s="375"/>
      <c r="C443" s="351" t="s">
        <v>61</v>
      </c>
      <c r="D443" s="354" t="s">
        <v>480</v>
      </c>
      <c r="E443" s="354"/>
      <c r="F443" s="576"/>
      <c r="G443" s="113"/>
      <c r="H443" s="576"/>
      <c r="I443" s="113"/>
      <c r="J443" s="21">
        <v>34</v>
      </c>
      <c r="K443" s="364"/>
      <c r="L443" s="80"/>
      <c r="M443" s="570"/>
      <c r="N443" s="570"/>
      <c r="O443" s="570"/>
      <c r="P443" s="571"/>
      <c r="R443" s="18">
        <f t="shared" si="6"/>
        <v>0</v>
      </c>
      <c r="S443" s="338"/>
      <c r="T443" s="344"/>
      <c r="U443" s="474"/>
      <c r="V443" s="344"/>
      <c r="W443" s="475"/>
    </row>
    <row r="444" spans="2:23" ht="39.6" x14ac:dyDescent="0.25">
      <c r="B444" s="375"/>
      <c r="C444" s="351"/>
      <c r="D444" s="71" t="s">
        <v>63</v>
      </c>
      <c r="E444" s="87" t="s">
        <v>481</v>
      </c>
      <c r="F444" s="576"/>
      <c r="G444" s="82">
        <f>'SQ_Auditoreingaben '!G430</f>
        <v>10</v>
      </c>
      <c r="H444" s="576"/>
      <c r="I444" s="69"/>
      <c r="J444" s="18">
        <v>14</v>
      </c>
      <c r="K444" s="364"/>
      <c r="L444" s="80"/>
      <c r="M444" s="570"/>
      <c r="N444" s="570"/>
      <c r="O444" s="570"/>
      <c r="P444" s="571"/>
      <c r="R444" s="18">
        <f t="shared" si="6"/>
        <v>0</v>
      </c>
      <c r="S444" s="338"/>
      <c r="T444" s="344"/>
      <c r="U444" s="474"/>
      <c r="V444" s="344"/>
      <c r="W444" s="475"/>
    </row>
    <row r="445" spans="2:23" ht="26.4" x14ac:dyDescent="0.25">
      <c r="B445" s="375"/>
      <c r="C445" s="351"/>
      <c r="D445" s="71" t="s">
        <v>186</v>
      </c>
      <c r="E445" s="87" t="s">
        <v>482</v>
      </c>
      <c r="F445" s="576"/>
      <c r="G445" s="82">
        <f>'SQ_Auditoreingaben '!G431</f>
        <v>11</v>
      </c>
      <c r="H445" s="576"/>
      <c r="I445" s="69"/>
      <c r="J445" s="18">
        <v>11</v>
      </c>
      <c r="K445" s="364"/>
      <c r="L445" s="80"/>
      <c r="M445" s="570"/>
      <c r="N445" s="570"/>
      <c r="O445" s="570"/>
      <c r="P445" s="571"/>
      <c r="R445" s="18">
        <f t="shared" si="6"/>
        <v>0</v>
      </c>
      <c r="S445" s="338"/>
      <c r="T445" s="344"/>
      <c r="U445" s="474"/>
      <c r="V445" s="344"/>
      <c r="W445" s="475"/>
    </row>
    <row r="446" spans="2:23" x14ac:dyDescent="0.25">
      <c r="B446" s="375"/>
      <c r="C446" s="351"/>
      <c r="D446" s="361" t="s">
        <v>255</v>
      </c>
      <c r="E446" s="87" t="s">
        <v>483</v>
      </c>
      <c r="F446" s="576"/>
      <c r="G446" s="113"/>
      <c r="H446" s="576"/>
      <c r="I446" s="113"/>
      <c r="J446" s="21">
        <v>9</v>
      </c>
      <c r="K446" s="364"/>
      <c r="L446" s="80"/>
      <c r="M446" s="570"/>
      <c r="N446" s="570"/>
      <c r="O446" s="570"/>
      <c r="P446" s="571"/>
      <c r="R446" s="18">
        <f t="shared" si="6"/>
        <v>0</v>
      </c>
      <c r="S446" s="338"/>
      <c r="T446" s="344"/>
      <c r="U446" s="474"/>
      <c r="V446" s="344"/>
      <c r="W446" s="475"/>
    </row>
    <row r="447" spans="2:23" ht="66" x14ac:dyDescent="0.25">
      <c r="B447" s="375"/>
      <c r="C447" s="351"/>
      <c r="D447" s="361"/>
      <c r="E447" s="77" t="s">
        <v>484</v>
      </c>
      <c r="F447" s="576"/>
      <c r="G447" s="82">
        <f>'SQ_Auditoreingaben '!G433</f>
        <v>3</v>
      </c>
      <c r="H447" s="576"/>
      <c r="I447" s="69"/>
      <c r="J447" s="18">
        <v>3</v>
      </c>
      <c r="K447" s="364"/>
      <c r="L447" s="80"/>
      <c r="M447" s="570"/>
      <c r="N447" s="570"/>
      <c r="O447" s="570"/>
      <c r="P447" s="571"/>
      <c r="R447" s="18">
        <f t="shared" si="6"/>
        <v>0</v>
      </c>
      <c r="S447" s="338"/>
      <c r="T447" s="344"/>
      <c r="U447" s="474"/>
      <c r="V447" s="344"/>
      <c r="W447" s="475"/>
    </row>
    <row r="448" spans="2:23" ht="66" x14ac:dyDescent="0.25">
      <c r="B448" s="375"/>
      <c r="C448" s="351"/>
      <c r="D448" s="361"/>
      <c r="E448" s="77" t="s">
        <v>485</v>
      </c>
      <c r="F448" s="576"/>
      <c r="G448" s="82">
        <f>'SQ_Auditoreingaben '!G434</f>
        <v>3</v>
      </c>
      <c r="H448" s="576"/>
      <c r="I448" s="69"/>
      <c r="J448" s="18">
        <v>3</v>
      </c>
      <c r="K448" s="364"/>
      <c r="L448" s="80"/>
      <c r="M448" s="570"/>
      <c r="N448" s="570"/>
      <c r="O448" s="570"/>
      <c r="P448" s="571"/>
      <c r="R448" s="18">
        <f t="shared" si="6"/>
        <v>0</v>
      </c>
      <c r="S448" s="338"/>
      <c r="T448" s="344"/>
      <c r="U448" s="474"/>
      <c r="V448" s="344"/>
      <c r="W448" s="475"/>
    </row>
    <row r="449" spans="2:23" ht="39.6" x14ac:dyDescent="0.25">
      <c r="B449" s="375"/>
      <c r="C449" s="351"/>
      <c r="D449" s="361"/>
      <c r="E449" s="77" t="s">
        <v>486</v>
      </c>
      <c r="F449" s="576"/>
      <c r="G449" s="82">
        <f>'SQ_Auditoreingaben '!G435</f>
        <v>3</v>
      </c>
      <c r="H449" s="576"/>
      <c r="I449" s="69"/>
      <c r="J449" s="18">
        <v>3</v>
      </c>
      <c r="K449" s="364"/>
      <c r="L449" s="80"/>
      <c r="M449" s="570"/>
      <c r="N449" s="570"/>
      <c r="O449" s="570"/>
      <c r="P449" s="571"/>
      <c r="R449" s="18">
        <f t="shared" si="6"/>
        <v>0</v>
      </c>
      <c r="S449" s="338"/>
      <c r="T449" s="344"/>
      <c r="U449" s="474"/>
      <c r="V449" s="344"/>
      <c r="W449" s="475"/>
    </row>
    <row r="450" spans="2:23" x14ac:dyDescent="0.25">
      <c r="B450" s="375"/>
      <c r="C450" s="351" t="s">
        <v>64</v>
      </c>
      <c r="D450" s="354" t="s">
        <v>487</v>
      </c>
      <c r="E450" s="354"/>
      <c r="F450" s="576"/>
      <c r="G450" s="113"/>
      <c r="H450" s="576"/>
      <c r="I450" s="113"/>
      <c r="J450" s="21">
        <v>30</v>
      </c>
      <c r="K450" s="364"/>
      <c r="L450" s="80"/>
      <c r="M450" s="570"/>
      <c r="N450" s="570"/>
      <c r="O450" s="570"/>
      <c r="P450" s="571"/>
      <c r="R450" s="18">
        <f t="shared" si="6"/>
        <v>0</v>
      </c>
      <c r="S450" s="338"/>
      <c r="T450" s="344"/>
      <c r="U450" s="474"/>
      <c r="V450" s="344"/>
      <c r="W450" s="475"/>
    </row>
    <row r="451" spans="2:23" ht="92.4" x14ac:dyDescent="0.25">
      <c r="B451" s="375"/>
      <c r="C451" s="351"/>
      <c r="D451" s="71" t="s">
        <v>66</v>
      </c>
      <c r="E451" s="77" t="s">
        <v>493</v>
      </c>
      <c r="F451" s="576"/>
      <c r="G451" s="82">
        <f>'SQ_Auditoreingaben '!G437</f>
        <v>0</v>
      </c>
      <c r="H451" s="576"/>
      <c r="I451" s="69"/>
      <c r="J451" s="18">
        <v>6</v>
      </c>
      <c r="K451" s="364"/>
      <c r="L451" s="80"/>
      <c r="M451" s="570"/>
      <c r="N451" s="570"/>
      <c r="O451" s="570"/>
      <c r="P451" s="571"/>
      <c r="R451" s="18">
        <f t="shared" si="6"/>
        <v>0</v>
      </c>
      <c r="S451" s="338"/>
      <c r="T451" s="344"/>
      <c r="U451" s="474"/>
      <c r="V451" s="344"/>
      <c r="W451" s="475"/>
    </row>
    <row r="452" spans="2:23" ht="79.2" x14ac:dyDescent="0.25">
      <c r="B452" s="375"/>
      <c r="C452" s="351"/>
      <c r="D452" s="71" t="s">
        <v>188</v>
      </c>
      <c r="E452" s="77" t="s">
        <v>494</v>
      </c>
      <c r="F452" s="576"/>
      <c r="G452" s="82">
        <f>'SQ_Auditoreingaben '!G438</f>
        <v>6</v>
      </c>
      <c r="H452" s="576"/>
      <c r="I452" s="69"/>
      <c r="J452" s="18">
        <v>6</v>
      </c>
      <c r="K452" s="364"/>
      <c r="L452" s="80"/>
      <c r="M452" s="570"/>
      <c r="N452" s="570"/>
      <c r="O452" s="570"/>
      <c r="P452" s="571"/>
      <c r="R452" s="18">
        <f t="shared" si="6"/>
        <v>0</v>
      </c>
      <c r="S452" s="338"/>
      <c r="T452" s="344"/>
      <c r="U452" s="474"/>
      <c r="V452" s="344"/>
      <c r="W452" s="475"/>
    </row>
    <row r="453" spans="2:23" x14ac:dyDescent="0.25">
      <c r="B453" s="375"/>
      <c r="C453" s="351"/>
      <c r="D453" s="361" t="s">
        <v>150</v>
      </c>
      <c r="E453" s="87" t="s">
        <v>488</v>
      </c>
      <c r="F453" s="576"/>
      <c r="G453" s="113"/>
      <c r="H453" s="576"/>
      <c r="I453" s="113"/>
      <c r="J453" s="21">
        <v>18</v>
      </c>
      <c r="K453" s="364"/>
      <c r="L453" s="80"/>
      <c r="M453" s="570"/>
      <c r="N453" s="570"/>
      <c r="O453" s="570"/>
      <c r="P453" s="571"/>
      <c r="R453" s="18">
        <f t="shared" si="6"/>
        <v>0</v>
      </c>
      <c r="S453" s="338"/>
      <c r="T453" s="344"/>
      <c r="U453" s="474"/>
      <c r="V453" s="344"/>
      <c r="W453" s="475"/>
    </row>
    <row r="454" spans="2:23" ht="66" x14ac:dyDescent="0.25">
      <c r="B454" s="375"/>
      <c r="C454" s="351"/>
      <c r="D454" s="361"/>
      <c r="E454" s="77" t="s">
        <v>489</v>
      </c>
      <c r="F454" s="576"/>
      <c r="G454" s="82">
        <f>'SQ_Auditoreingaben '!G440</f>
        <v>0</v>
      </c>
      <c r="H454" s="576"/>
      <c r="I454" s="69"/>
      <c r="J454" s="18">
        <v>9</v>
      </c>
      <c r="K454" s="364"/>
      <c r="L454" s="80"/>
      <c r="M454" s="570"/>
      <c r="N454" s="570"/>
      <c r="O454" s="570"/>
      <c r="P454" s="571"/>
      <c r="R454" s="18">
        <f t="shared" si="6"/>
        <v>0</v>
      </c>
      <c r="S454" s="338"/>
      <c r="T454" s="344"/>
      <c r="U454" s="474"/>
      <c r="V454" s="344"/>
      <c r="W454" s="475"/>
    </row>
    <row r="455" spans="2:23" ht="66" x14ac:dyDescent="0.25">
      <c r="B455" s="375"/>
      <c r="C455" s="351"/>
      <c r="D455" s="361"/>
      <c r="E455" s="77" t="s">
        <v>490</v>
      </c>
      <c r="F455" s="576"/>
      <c r="G455" s="82">
        <f>'SQ_Auditoreingaben '!G441</f>
        <v>0</v>
      </c>
      <c r="H455" s="576"/>
      <c r="I455" s="69"/>
      <c r="J455" s="18">
        <v>3</v>
      </c>
      <c r="K455" s="364"/>
      <c r="L455" s="80"/>
      <c r="M455" s="570"/>
      <c r="N455" s="570"/>
      <c r="O455" s="570"/>
      <c r="P455" s="571"/>
      <c r="R455" s="18">
        <f t="shared" si="6"/>
        <v>0</v>
      </c>
      <c r="S455" s="338"/>
      <c r="T455" s="344"/>
      <c r="U455" s="474"/>
      <c r="V455" s="344"/>
      <c r="W455" s="475"/>
    </row>
    <row r="456" spans="2:23" ht="66" x14ac:dyDescent="0.25">
      <c r="B456" s="375"/>
      <c r="C456" s="351"/>
      <c r="D456" s="361"/>
      <c r="E456" s="77" t="s">
        <v>491</v>
      </c>
      <c r="F456" s="576"/>
      <c r="G456" s="82">
        <f>'SQ_Auditoreingaben '!G442</f>
        <v>0</v>
      </c>
      <c r="H456" s="576"/>
      <c r="I456" s="69"/>
      <c r="J456" s="18">
        <v>3</v>
      </c>
      <c r="K456" s="364"/>
      <c r="L456" s="80"/>
      <c r="M456" s="570"/>
      <c r="N456" s="570"/>
      <c r="O456" s="570"/>
      <c r="P456" s="571"/>
      <c r="R456" s="18">
        <f t="shared" si="6"/>
        <v>0</v>
      </c>
      <c r="S456" s="338"/>
      <c r="T456" s="344"/>
      <c r="U456" s="474"/>
      <c r="V456" s="344"/>
      <c r="W456" s="475"/>
    </row>
    <row r="457" spans="2:23" ht="79.2" x14ac:dyDescent="0.25">
      <c r="B457" s="375"/>
      <c r="C457" s="351"/>
      <c r="D457" s="361"/>
      <c r="E457" s="77" t="s">
        <v>492</v>
      </c>
      <c r="F457" s="576"/>
      <c r="G457" s="82">
        <f>'SQ_Auditoreingaben '!G443</f>
        <v>0</v>
      </c>
      <c r="H457" s="576"/>
      <c r="I457" s="69"/>
      <c r="J457" s="18">
        <v>3</v>
      </c>
      <c r="K457" s="364"/>
      <c r="L457" s="80"/>
      <c r="M457" s="570"/>
      <c r="N457" s="570"/>
      <c r="O457" s="570"/>
      <c r="P457" s="571"/>
      <c r="R457" s="18">
        <f t="shared" si="6"/>
        <v>0</v>
      </c>
      <c r="S457" s="339"/>
      <c r="T457" s="365"/>
      <c r="U457" s="474"/>
      <c r="V457" s="344"/>
      <c r="W457" s="475"/>
    </row>
    <row r="458" spans="2:23" x14ac:dyDescent="0.25">
      <c r="B458" s="55" t="s">
        <v>495</v>
      </c>
      <c r="C458" s="354" t="s">
        <v>496</v>
      </c>
      <c r="D458" s="354"/>
      <c r="E458" s="354"/>
      <c r="F458" s="78">
        <f>'SQ_Auditoreingaben '!F444</f>
        <v>61</v>
      </c>
      <c r="G458" s="364"/>
      <c r="H458" s="91">
        <f>S458</f>
        <v>0</v>
      </c>
      <c r="I458" s="364"/>
      <c r="J458" s="21">
        <v>100</v>
      </c>
      <c r="K458" s="88">
        <v>3</v>
      </c>
      <c r="L458" s="80"/>
      <c r="M458" s="570"/>
      <c r="N458" s="570"/>
      <c r="O458" s="570"/>
      <c r="P458" s="571"/>
      <c r="R458" s="18">
        <f t="shared" si="6"/>
        <v>0</v>
      </c>
      <c r="S458" s="337">
        <f>SUM(IF(R460&gt;0,R460,IF(R461&gt;0,R461,IF(R462&gt;0,R462,IF(R463&gt;0,R463,0)))),IF(R465&gt;0,R465,IF(R466&gt;0,R466,IF(R467&gt;0,R467,IF(R468&gt;0,R468,0)))),IF(R470&gt;0,R470,IF(R471&gt;0,R471,IF(R472&gt;0,R472,IF(R473&gt;0,R473,0)))),IF(R475&gt;0,R475,IF(R476&gt;0,R476,IF(R477&gt;0,R477,IF(R478&gt;0,R478,0)))),SUM(R480:R484))</f>
        <v>0</v>
      </c>
      <c r="T458" s="343">
        <f>S458/100</f>
        <v>0</v>
      </c>
      <c r="U458" s="474"/>
      <c r="V458" s="344"/>
      <c r="W458" s="475"/>
    </row>
    <row r="459" spans="2:23" ht="80.099999999999994" customHeight="1" x14ac:dyDescent="0.25">
      <c r="B459" s="375"/>
      <c r="C459" s="351" t="s">
        <v>54</v>
      </c>
      <c r="D459" s="584" t="s">
        <v>685</v>
      </c>
      <c r="E459" s="585"/>
      <c r="F459" s="576"/>
      <c r="G459" s="364"/>
      <c r="H459" s="576"/>
      <c r="I459" s="364"/>
      <c r="J459" s="21">
        <v>10</v>
      </c>
      <c r="K459" s="364"/>
      <c r="L459" s="80"/>
      <c r="M459" s="570"/>
      <c r="N459" s="570"/>
      <c r="O459" s="570"/>
      <c r="P459" s="571"/>
      <c r="R459" s="18">
        <f t="shared" si="6"/>
        <v>0</v>
      </c>
      <c r="S459" s="338"/>
      <c r="T459" s="344"/>
      <c r="U459" s="474"/>
      <c r="V459" s="344"/>
      <c r="W459" s="475"/>
    </row>
    <row r="460" spans="2:23" ht="132" x14ac:dyDescent="0.25">
      <c r="B460" s="375"/>
      <c r="C460" s="351"/>
      <c r="D460" s="71" t="s">
        <v>58</v>
      </c>
      <c r="E460" s="77" t="s">
        <v>582</v>
      </c>
      <c r="F460" s="576"/>
      <c r="G460" s="82">
        <f>'SQ_Auditoreingaben '!G446</f>
        <v>0</v>
      </c>
      <c r="H460" s="576"/>
      <c r="I460" s="69"/>
      <c r="J460" s="18">
        <v>2</v>
      </c>
      <c r="K460" s="364"/>
      <c r="L460" s="80"/>
      <c r="M460" s="570"/>
      <c r="N460" s="570"/>
      <c r="O460" s="570"/>
      <c r="P460" s="571"/>
      <c r="R460" s="18">
        <f t="shared" si="6"/>
        <v>0</v>
      </c>
      <c r="S460" s="338"/>
      <c r="T460" s="344"/>
      <c r="U460" s="474"/>
      <c r="V460" s="344"/>
      <c r="W460" s="475"/>
    </row>
    <row r="461" spans="2:23" ht="105.6" x14ac:dyDescent="0.25">
      <c r="B461" s="375"/>
      <c r="C461" s="351"/>
      <c r="D461" s="71" t="s">
        <v>181</v>
      </c>
      <c r="E461" s="77" t="s">
        <v>683</v>
      </c>
      <c r="F461" s="576"/>
      <c r="G461" s="82">
        <f>'SQ_Auditoreingaben '!G447</f>
        <v>5</v>
      </c>
      <c r="H461" s="576"/>
      <c r="I461" s="69"/>
      <c r="J461" s="18">
        <v>5</v>
      </c>
      <c r="K461" s="364"/>
      <c r="L461" s="80"/>
      <c r="M461" s="570"/>
      <c r="N461" s="570"/>
      <c r="O461" s="570"/>
      <c r="P461" s="571"/>
      <c r="R461" s="18">
        <f t="shared" si="6"/>
        <v>0</v>
      </c>
      <c r="S461" s="338"/>
      <c r="T461" s="344"/>
      <c r="U461" s="474"/>
      <c r="V461" s="344"/>
      <c r="W461" s="475"/>
    </row>
    <row r="462" spans="2:23" ht="145.19999999999999" x14ac:dyDescent="0.25">
      <c r="B462" s="375"/>
      <c r="C462" s="351"/>
      <c r="D462" s="71" t="s">
        <v>246</v>
      </c>
      <c r="E462" s="77" t="s">
        <v>684</v>
      </c>
      <c r="F462" s="576"/>
      <c r="G462" s="82">
        <f>'SQ_Auditoreingaben '!G448</f>
        <v>0</v>
      </c>
      <c r="H462" s="576"/>
      <c r="I462" s="69"/>
      <c r="J462" s="18">
        <v>7</v>
      </c>
      <c r="K462" s="364"/>
      <c r="L462" s="80"/>
      <c r="M462" s="570"/>
      <c r="N462" s="570"/>
      <c r="O462" s="570"/>
      <c r="P462" s="571"/>
      <c r="R462" s="18">
        <f t="shared" si="6"/>
        <v>0</v>
      </c>
      <c r="S462" s="338"/>
      <c r="T462" s="344"/>
      <c r="U462" s="474"/>
      <c r="V462" s="344"/>
      <c r="W462" s="475"/>
    </row>
    <row r="463" spans="2:23" ht="132" x14ac:dyDescent="0.25">
      <c r="B463" s="375"/>
      <c r="C463" s="351"/>
      <c r="D463" s="71" t="s">
        <v>250</v>
      </c>
      <c r="E463" s="77" t="s">
        <v>583</v>
      </c>
      <c r="F463" s="576"/>
      <c r="G463" s="82">
        <f>'SQ_Auditoreingaben '!G449</f>
        <v>0</v>
      </c>
      <c r="H463" s="576"/>
      <c r="I463" s="69"/>
      <c r="J463" s="18">
        <v>10</v>
      </c>
      <c r="K463" s="364"/>
      <c r="L463" s="80"/>
      <c r="M463" s="570"/>
      <c r="N463" s="570"/>
      <c r="O463" s="570"/>
      <c r="P463" s="571"/>
      <c r="R463" s="18">
        <f t="shared" si="6"/>
        <v>0</v>
      </c>
      <c r="S463" s="338"/>
      <c r="T463" s="344"/>
      <c r="U463" s="474"/>
      <c r="V463" s="344"/>
      <c r="W463" s="475"/>
    </row>
    <row r="464" spans="2:23" ht="80.099999999999994" customHeight="1" x14ac:dyDescent="0.25">
      <c r="B464" s="375"/>
      <c r="C464" s="351" t="s">
        <v>61</v>
      </c>
      <c r="D464" s="584" t="s">
        <v>686</v>
      </c>
      <c r="E464" s="585"/>
      <c r="F464" s="576"/>
      <c r="G464" s="113"/>
      <c r="H464" s="576"/>
      <c r="I464" s="113"/>
      <c r="J464" s="21">
        <v>10</v>
      </c>
      <c r="K464" s="364"/>
      <c r="L464" s="80"/>
      <c r="M464" s="570"/>
      <c r="N464" s="570"/>
      <c r="O464" s="570"/>
      <c r="P464" s="571"/>
      <c r="R464" s="18">
        <f t="shared" si="6"/>
        <v>0</v>
      </c>
      <c r="S464" s="338"/>
      <c r="T464" s="344"/>
      <c r="U464" s="474"/>
      <c r="V464" s="344"/>
      <c r="W464" s="475"/>
    </row>
    <row r="465" spans="2:23" ht="39.6" x14ac:dyDescent="0.25">
      <c r="B465" s="375"/>
      <c r="C465" s="351"/>
      <c r="D465" s="71" t="s">
        <v>63</v>
      </c>
      <c r="E465" s="77" t="s">
        <v>584</v>
      </c>
      <c r="F465" s="576"/>
      <c r="G465" s="82">
        <f>'SQ_Auditoreingaben '!G451</f>
        <v>2</v>
      </c>
      <c r="H465" s="576"/>
      <c r="I465" s="69"/>
      <c r="J465" s="18">
        <v>2</v>
      </c>
      <c r="K465" s="364"/>
      <c r="L465" s="80"/>
      <c r="M465" s="570"/>
      <c r="N465" s="570"/>
      <c r="O465" s="570"/>
      <c r="P465" s="571"/>
      <c r="R465" s="18">
        <f t="shared" si="6"/>
        <v>0</v>
      </c>
      <c r="S465" s="338"/>
      <c r="T465" s="344"/>
      <c r="U465" s="474"/>
      <c r="V465" s="344"/>
      <c r="W465" s="475"/>
    </row>
    <row r="466" spans="2:23" ht="39.6" x14ac:dyDescent="0.25">
      <c r="B466" s="375"/>
      <c r="C466" s="351"/>
      <c r="D466" s="71" t="s">
        <v>186</v>
      </c>
      <c r="E466" s="77" t="s">
        <v>585</v>
      </c>
      <c r="F466" s="576"/>
      <c r="G466" s="82">
        <f>'SQ_Auditoreingaben '!G452</f>
        <v>0</v>
      </c>
      <c r="H466" s="576"/>
      <c r="I466" s="69"/>
      <c r="J466" s="18">
        <v>5</v>
      </c>
      <c r="K466" s="364"/>
      <c r="L466" s="80"/>
      <c r="M466" s="570"/>
      <c r="N466" s="570"/>
      <c r="O466" s="570"/>
      <c r="P466" s="571"/>
      <c r="R466" s="18">
        <f t="shared" si="6"/>
        <v>0</v>
      </c>
      <c r="S466" s="338"/>
      <c r="T466" s="344"/>
      <c r="U466" s="474"/>
      <c r="V466" s="344"/>
      <c r="W466" s="475"/>
    </row>
    <row r="467" spans="2:23" ht="39.6" x14ac:dyDescent="0.25">
      <c r="B467" s="375"/>
      <c r="C467" s="351"/>
      <c r="D467" s="71" t="s">
        <v>255</v>
      </c>
      <c r="E467" s="77" t="s">
        <v>586</v>
      </c>
      <c r="F467" s="576"/>
      <c r="G467" s="82">
        <f>'SQ_Auditoreingaben '!G453</f>
        <v>7</v>
      </c>
      <c r="H467" s="576"/>
      <c r="I467" s="69"/>
      <c r="J467" s="18">
        <v>7</v>
      </c>
      <c r="K467" s="364"/>
      <c r="L467" s="80"/>
      <c r="M467" s="570"/>
      <c r="N467" s="570"/>
      <c r="O467" s="570"/>
      <c r="P467" s="571"/>
      <c r="R467" s="18">
        <f t="shared" si="6"/>
        <v>0</v>
      </c>
      <c r="S467" s="338"/>
      <c r="T467" s="344"/>
      <c r="U467" s="474"/>
      <c r="V467" s="344"/>
      <c r="W467" s="475"/>
    </row>
    <row r="468" spans="2:23" ht="39.6" x14ac:dyDescent="0.25">
      <c r="B468" s="375"/>
      <c r="C468" s="351"/>
      <c r="D468" s="71" t="s">
        <v>256</v>
      </c>
      <c r="E468" s="77" t="s">
        <v>587</v>
      </c>
      <c r="F468" s="576"/>
      <c r="G468" s="82">
        <f>'SQ_Auditoreingaben '!G454</f>
        <v>0</v>
      </c>
      <c r="H468" s="576"/>
      <c r="I468" s="69"/>
      <c r="J468" s="18">
        <v>10</v>
      </c>
      <c r="K468" s="364"/>
      <c r="L468" s="80"/>
      <c r="M468" s="570"/>
      <c r="N468" s="570"/>
      <c r="O468" s="570"/>
      <c r="P468" s="571"/>
      <c r="R468" s="18">
        <f t="shared" si="6"/>
        <v>0</v>
      </c>
      <c r="S468" s="338"/>
      <c r="T468" s="344"/>
      <c r="U468" s="474"/>
      <c r="V468" s="344"/>
      <c r="W468" s="475"/>
    </row>
    <row r="469" spans="2:23" ht="80.099999999999994" customHeight="1" x14ac:dyDescent="0.25">
      <c r="B469" s="375"/>
      <c r="C469" s="351" t="s">
        <v>64</v>
      </c>
      <c r="D469" s="582" t="s">
        <v>687</v>
      </c>
      <c r="E469" s="583"/>
      <c r="F469" s="576"/>
      <c r="G469" s="113"/>
      <c r="H469" s="576"/>
      <c r="I469" s="113"/>
      <c r="J469" s="21">
        <v>10</v>
      </c>
      <c r="K469" s="364"/>
      <c r="L469" s="80"/>
      <c r="M469" s="570"/>
      <c r="N469" s="570"/>
      <c r="O469" s="570"/>
      <c r="P469" s="571"/>
      <c r="R469" s="18">
        <f t="shared" si="6"/>
        <v>0</v>
      </c>
      <c r="S469" s="338"/>
      <c r="T469" s="344"/>
      <c r="U469" s="474"/>
      <c r="V469" s="344"/>
      <c r="W469" s="475"/>
    </row>
    <row r="470" spans="2:23" ht="39.6" x14ac:dyDescent="0.25">
      <c r="B470" s="375"/>
      <c r="C470" s="351"/>
      <c r="D470" s="71" t="s">
        <v>66</v>
      </c>
      <c r="E470" s="77" t="s">
        <v>584</v>
      </c>
      <c r="F470" s="576"/>
      <c r="G470" s="82">
        <f>'SQ_Auditoreingaben '!G456</f>
        <v>2</v>
      </c>
      <c r="H470" s="576"/>
      <c r="I470" s="69"/>
      <c r="J470" s="18">
        <v>2</v>
      </c>
      <c r="K470" s="364"/>
      <c r="L470" s="80"/>
      <c r="M470" s="570"/>
      <c r="N470" s="570"/>
      <c r="O470" s="570"/>
      <c r="P470" s="571"/>
      <c r="R470" s="18">
        <f t="shared" si="6"/>
        <v>0</v>
      </c>
      <c r="S470" s="338"/>
      <c r="T470" s="344"/>
      <c r="U470" s="474"/>
      <c r="V470" s="344"/>
      <c r="W470" s="475"/>
    </row>
    <row r="471" spans="2:23" ht="39.6" x14ac:dyDescent="0.25">
      <c r="B471" s="375"/>
      <c r="C471" s="351"/>
      <c r="D471" s="71" t="s">
        <v>188</v>
      </c>
      <c r="E471" s="77" t="s">
        <v>585</v>
      </c>
      <c r="F471" s="576"/>
      <c r="G471" s="82">
        <f>'SQ_Auditoreingaben '!G457</f>
        <v>0</v>
      </c>
      <c r="H471" s="576"/>
      <c r="I471" s="69"/>
      <c r="J471" s="18">
        <v>5</v>
      </c>
      <c r="K471" s="364"/>
      <c r="L471" s="80"/>
      <c r="M471" s="570"/>
      <c r="N471" s="570"/>
      <c r="O471" s="570"/>
      <c r="P471" s="571"/>
      <c r="R471" s="18">
        <f t="shared" si="6"/>
        <v>0</v>
      </c>
      <c r="S471" s="338"/>
      <c r="T471" s="344"/>
      <c r="U471" s="474"/>
      <c r="V471" s="344"/>
      <c r="W471" s="475"/>
    </row>
    <row r="472" spans="2:23" ht="171.6" x14ac:dyDescent="0.25">
      <c r="B472" s="375"/>
      <c r="C472" s="351"/>
      <c r="D472" s="71" t="s">
        <v>150</v>
      </c>
      <c r="E472" s="77" t="s">
        <v>588</v>
      </c>
      <c r="F472" s="576"/>
      <c r="G472" s="82">
        <f>'SQ_Auditoreingaben '!G458</f>
        <v>0</v>
      </c>
      <c r="H472" s="576"/>
      <c r="I472" s="69"/>
      <c r="J472" s="18">
        <v>7</v>
      </c>
      <c r="K472" s="364"/>
      <c r="L472" s="80"/>
      <c r="M472" s="570"/>
      <c r="N472" s="570"/>
      <c r="O472" s="570"/>
      <c r="P472" s="571"/>
      <c r="R472" s="18">
        <f t="shared" si="6"/>
        <v>0</v>
      </c>
      <c r="S472" s="338"/>
      <c r="T472" s="344"/>
      <c r="U472" s="474"/>
      <c r="V472" s="344"/>
      <c r="W472" s="475"/>
    </row>
    <row r="473" spans="2:23" ht="118.8" x14ac:dyDescent="0.25">
      <c r="B473" s="375"/>
      <c r="C473" s="351"/>
      <c r="D473" s="71" t="s">
        <v>377</v>
      </c>
      <c r="E473" s="77" t="s">
        <v>589</v>
      </c>
      <c r="F473" s="576"/>
      <c r="G473" s="82">
        <f>'SQ_Auditoreingaben '!G459</f>
        <v>0</v>
      </c>
      <c r="H473" s="576"/>
      <c r="I473" s="69"/>
      <c r="J473" s="18">
        <v>10</v>
      </c>
      <c r="K473" s="364"/>
      <c r="L473" s="80"/>
      <c r="M473" s="570"/>
      <c r="N473" s="570"/>
      <c r="O473" s="570"/>
      <c r="P473" s="571"/>
      <c r="R473" s="18">
        <f t="shared" si="6"/>
        <v>0</v>
      </c>
      <c r="S473" s="338"/>
      <c r="T473" s="344"/>
      <c r="U473" s="474"/>
      <c r="V473" s="344"/>
      <c r="W473" s="475"/>
    </row>
    <row r="474" spans="2:23" ht="69.900000000000006" customHeight="1" x14ac:dyDescent="0.25">
      <c r="B474" s="375"/>
      <c r="C474" s="351" t="s">
        <v>67</v>
      </c>
      <c r="D474" s="582" t="s">
        <v>688</v>
      </c>
      <c r="E474" s="583"/>
      <c r="F474" s="576"/>
      <c r="G474" s="113"/>
      <c r="H474" s="576"/>
      <c r="I474" s="113"/>
      <c r="J474" s="21">
        <v>10</v>
      </c>
      <c r="K474" s="364"/>
      <c r="L474" s="80"/>
      <c r="M474" s="570"/>
      <c r="N474" s="570"/>
      <c r="O474" s="570"/>
      <c r="P474" s="571"/>
      <c r="R474" s="18">
        <f t="shared" ref="R474:R537" si="7">IF(I474&gt;J474,J474,I474)</f>
        <v>0</v>
      </c>
      <c r="S474" s="338"/>
      <c r="T474" s="344"/>
      <c r="U474" s="474"/>
      <c r="V474" s="344"/>
      <c r="W474" s="475"/>
    </row>
    <row r="475" spans="2:23" ht="118.8" x14ac:dyDescent="0.25">
      <c r="B475" s="375"/>
      <c r="C475" s="351"/>
      <c r="D475" s="71" t="s">
        <v>69</v>
      </c>
      <c r="E475" s="77" t="s">
        <v>590</v>
      </c>
      <c r="F475" s="576"/>
      <c r="G475" s="82">
        <f>'SQ_Auditoreingaben '!G461</f>
        <v>2</v>
      </c>
      <c r="H475" s="576"/>
      <c r="I475" s="69"/>
      <c r="J475" s="18">
        <v>2</v>
      </c>
      <c r="K475" s="364"/>
      <c r="L475" s="80"/>
      <c r="M475" s="570"/>
      <c r="N475" s="570"/>
      <c r="O475" s="570"/>
      <c r="P475" s="571"/>
      <c r="R475" s="18">
        <f t="shared" si="7"/>
        <v>0</v>
      </c>
      <c r="S475" s="338"/>
      <c r="T475" s="344"/>
      <c r="U475" s="474"/>
      <c r="V475" s="344"/>
      <c r="W475" s="475"/>
    </row>
    <row r="476" spans="2:23" ht="105.6" x14ac:dyDescent="0.25">
      <c r="B476" s="375"/>
      <c r="C476" s="351"/>
      <c r="D476" s="71" t="s">
        <v>78</v>
      </c>
      <c r="E476" s="77" t="s">
        <v>591</v>
      </c>
      <c r="F476" s="576"/>
      <c r="G476" s="82">
        <f>'SQ_Auditoreingaben '!G462</f>
        <v>0</v>
      </c>
      <c r="H476" s="576"/>
      <c r="I476" s="69"/>
      <c r="J476" s="18">
        <v>5</v>
      </c>
      <c r="K476" s="364"/>
      <c r="L476" s="80"/>
      <c r="M476" s="570"/>
      <c r="N476" s="570"/>
      <c r="O476" s="570"/>
      <c r="P476" s="571"/>
      <c r="R476" s="18">
        <f t="shared" si="7"/>
        <v>0</v>
      </c>
      <c r="S476" s="338"/>
      <c r="T476" s="344"/>
      <c r="U476" s="474"/>
      <c r="V476" s="344"/>
      <c r="W476" s="475"/>
    </row>
    <row r="477" spans="2:23" ht="105.6" x14ac:dyDescent="0.25">
      <c r="B477" s="375"/>
      <c r="C477" s="351"/>
      <c r="D477" s="71" t="s">
        <v>214</v>
      </c>
      <c r="E477" s="77" t="s">
        <v>592</v>
      </c>
      <c r="F477" s="576"/>
      <c r="G477" s="82">
        <f>'SQ_Auditoreingaben '!G463</f>
        <v>0</v>
      </c>
      <c r="H477" s="576"/>
      <c r="I477" s="69"/>
      <c r="J477" s="18">
        <v>7</v>
      </c>
      <c r="K477" s="364"/>
      <c r="L477" s="80"/>
      <c r="M477" s="570"/>
      <c r="N477" s="570"/>
      <c r="O477" s="570"/>
      <c r="P477" s="571"/>
      <c r="R477" s="18">
        <f t="shared" si="7"/>
        <v>0</v>
      </c>
      <c r="S477" s="338"/>
      <c r="T477" s="344"/>
      <c r="U477" s="474"/>
      <c r="V477" s="344"/>
      <c r="W477" s="475"/>
    </row>
    <row r="478" spans="2:23" ht="132" x14ac:dyDescent="0.25">
      <c r="B478" s="375"/>
      <c r="C478" s="351"/>
      <c r="D478" s="71" t="s">
        <v>215</v>
      </c>
      <c r="E478" s="77" t="s">
        <v>593</v>
      </c>
      <c r="F478" s="576"/>
      <c r="G478" s="82">
        <f>'SQ_Auditoreingaben '!G464</f>
        <v>0</v>
      </c>
      <c r="H478" s="576"/>
      <c r="I478" s="69"/>
      <c r="J478" s="18">
        <v>10</v>
      </c>
      <c r="K478" s="364"/>
      <c r="L478" s="80"/>
      <c r="M478" s="570"/>
      <c r="N478" s="570"/>
      <c r="O478" s="570"/>
      <c r="P478" s="571"/>
      <c r="R478" s="18">
        <f t="shared" si="7"/>
        <v>0</v>
      </c>
      <c r="S478" s="338"/>
      <c r="T478" s="344"/>
      <c r="U478" s="474"/>
      <c r="V478" s="344"/>
      <c r="W478" s="475"/>
    </row>
    <row r="479" spans="2:23" x14ac:dyDescent="0.25">
      <c r="B479" s="375"/>
      <c r="C479" s="351" t="s">
        <v>154</v>
      </c>
      <c r="D479" s="569" t="s">
        <v>579</v>
      </c>
      <c r="E479" s="569"/>
      <c r="F479" s="576"/>
      <c r="G479" s="113"/>
      <c r="H479" s="576"/>
      <c r="I479" s="113"/>
      <c r="J479" s="21">
        <v>30</v>
      </c>
      <c r="K479" s="364"/>
      <c r="L479" s="80"/>
      <c r="M479" s="570"/>
      <c r="N479" s="570"/>
      <c r="O479" s="570"/>
      <c r="P479" s="571"/>
      <c r="R479" s="18">
        <f t="shared" si="7"/>
        <v>0</v>
      </c>
      <c r="S479" s="338"/>
      <c r="T479" s="344"/>
      <c r="U479" s="474"/>
      <c r="V479" s="344"/>
      <c r="W479" s="475"/>
    </row>
    <row r="480" spans="2:23" ht="198" x14ac:dyDescent="0.25">
      <c r="B480" s="375"/>
      <c r="C480" s="351"/>
      <c r="D480" s="71" t="s">
        <v>156</v>
      </c>
      <c r="E480" s="77" t="s">
        <v>594</v>
      </c>
      <c r="F480" s="576"/>
      <c r="G480" s="82">
        <f>'SQ_Auditoreingaben '!G466</f>
        <v>8</v>
      </c>
      <c r="H480" s="576"/>
      <c r="I480" s="69"/>
      <c r="J480" s="18">
        <v>16</v>
      </c>
      <c r="K480" s="364"/>
      <c r="L480" s="80"/>
      <c r="M480" s="570"/>
      <c r="N480" s="570"/>
      <c r="O480" s="570"/>
      <c r="P480" s="571"/>
      <c r="R480" s="18">
        <f t="shared" si="7"/>
        <v>0</v>
      </c>
      <c r="S480" s="338"/>
      <c r="T480" s="344"/>
      <c r="U480" s="474"/>
      <c r="V480" s="344"/>
      <c r="W480" s="475"/>
    </row>
    <row r="481" spans="2:23" ht="171.6" x14ac:dyDescent="0.25">
      <c r="B481" s="375"/>
      <c r="C481" s="351"/>
      <c r="D481" s="71" t="s">
        <v>218</v>
      </c>
      <c r="E481" s="77" t="s">
        <v>595</v>
      </c>
      <c r="F481" s="576"/>
      <c r="G481" s="82">
        <f>'SQ_Auditoreingaben '!G467</f>
        <v>7</v>
      </c>
      <c r="H481" s="576"/>
      <c r="I481" s="69"/>
      <c r="J481" s="18">
        <v>7</v>
      </c>
      <c r="K481" s="364"/>
      <c r="L481" s="80"/>
      <c r="M481" s="570"/>
      <c r="N481" s="570"/>
      <c r="O481" s="570"/>
      <c r="P481" s="571"/>
      <c r="R481" s="18">
        <f t="shared" si="7"/>
        <v>0</v>
      </c>
      <c r="S481" s="338"/>
      <c r="T481" s="344"/>
      <c r="U481" s="474"/>
      <c r="V481" s="344"/>
      <c r="W481" s="475"/>
    </row>
    <row r="482" spans="2:23" ht="132" x14ac:dyDescent="0.25">
      <c r="B482" s="375"/>
      <c r="C482" s="351"/>
      <c r="D482" s="71" t="s">
        <v>219</v>
      </c>
      <c r="E482" s="77" t="s">
        <v>596</v>
      </c>
      <c r="F482" s="576"/>
      <c r="G482" s="82">
        <f>'SQ_Auditoreingaben '!G468</f>
        <v>0</v>
      </c>
      <c r="H482" s="576"/>
      <c r="I482" s="69"/>
      <c r="J482" s="18">
        <v>7</v>
      </c>
      <c r="K482" s="364"/>
      <c r="L482" s="80"/>
      <c r="M482" s="570"/>
      <c r="N482" s="570"/>
      <c r="O482" s="570"/>
      <c r="P482" s="571"/>
      <c r="R482" s="18">
        <f t="shared" si="7"/>
        <v>0</v>
      </c>
      <c r="S482" s="338"/>
      <c r="T482" s="344"/>
      <c r="U482" s="474"/>
      <c r="V482" s="344"/>
      <c r="W482" s="475"/>
    </row>
    <row r="483" spans="2:23" x14ac:dyDescent="0.25">
      <c r="B483" s="375"/>
      <c r="C483" s="351" t="s">
        <v>157</v>
      </c>
      <c r="D483" s="569" t="s">
        <v>580</v>
      </c>
      <c r="E483" s="569"/>
      <c r="F483" s="576"/>
      <c r="G483" s="113"/>
      <c r="H483" s="576"/>
      <c r="I483" s="113"/>
      <c r="J483" s="21">
        <v>30</v>
      </c>
      <c r="K483" s="364"/>
      <c r="L483" s="80"/>
      <c r="M483" s="570"/>
      <c r="N483" s="570"/>
      <c r="O483" s="570"/>
      <c r="P483" s="571"/>
      <c r="R483" s="18">
        <f t="shared" si="7"/>
        <v>0</v>
      </c>
      <c r="S483" s="338"/>
      <c r="T483" s="344"/>
      <c r="U483" s="474"/>
      <c r="V483" s="344"/>
      <c r="W483" s="475"/>
    </row>
    <row r="484" spans="2:23" ht="105.6" x14ac:dyDescent="0.25">
      <c r="B484" s="375"/>
      <c r="C484" s="351"/>
      <c r="D484" s="71" t="s">
        <v>159</v>
      </c>
      <c r="E484" s="77" t="s">
        <v>581</v>
      </c>
      <c r="F484" s="576"/>
      <c r="G484" s="82">
        <f>'SQ_Auditoreingaben '!G470</f>
        <v>30</v>
      </c>
      <c r="H484" s="576"/>
      <c r="I484" s="69"/>
      <c r="J484" s="18">
        <v>30</v>
      </c>
      <c r="K484" s="364"/>
      <c r="L484" s="80"/>
      <c r="M484" s="570"/>
      <c r="N484" s="570"/>
      <c r="O484" s="570"/>
      <c r="P484" s="571"/>
      <c r="R484" s="18">
        <f t="shared" si="7"/>
        <v>0</v>
      </c>
      <c r="S484" s="339"/>
      <c r="T484" s="365"/>
      <c r="U484" s="474"/>
      <c r="V484" s="344"/>
      <c r="W484" s="475"/>
    </row>
    <row r="485" spans="2:23" x14ac:dyDescent="0.25">
      <c r="B485" s="55" t="s">
        <v>497</v>
      </c>
      <c r="C485" s="354" t="s">
        <v>498</v>
      </c>
      <c r="D485" s="354"/>
      <c r="E485" s="354"/>
      <c r="F485" s="78">
        <f>'SQ_Auditoreingaben '!F471</f>
        <v>100</v>
      </c>
      <c r="G485" s="364"/>
      <c r="H485" s="91">
        <f>S485</f>
        <v>0</v>
      </c>
      <c r="I485" s="364"/>
      <c r="J485" s="21">
        <v>100</v>
      </c>
      <c r="K485" s="88">
        <v>2</v>
      </c>
      <c r="L485" s="80"/>
      <c r="M485" s="570"/>
      <c r="N485" s="570"/>
      <c r="O485" s="570"/>
      <c r="P485" s="571"/>
      <c r="R485" s="18">
        <f t="shared" si="7"/>
        <v>0</v>
      </c>
      <c r="S485" s="337">
        <f>SUM(R487:R508)</f>
        <v>0</v>
      </c>
      <c r="T485" s="343">
        <f>S485/100</f>
        <v>0</v>
      </c>
      <c r="U485" s="474"/>
      <c r="V485" s="344"/>
      <c r="W485" s="475"/>
    </row>
    <row r="486" spans="2:23" x14ac:dyDescent="0.25">
      <c r="B486" s="375"/>
      <c r="C486" s="351" t="s">
        <v>54</v>
      </c>
      <c r="D486" s="354" t="s">
        <v>499</v>
      </c>
      <c r="E486" s="354"/>
      <c r="F486" s="576"/>
      <c r="G486" s="364"/>
      <c r="H486" s="576"/>
      <c r="I486" s="364"/>
      <c r="J486" s="21">
        <v>15</v>
      </c>
      <c r="K486" s="364"/>
      <c r="L486" s="80"/>
      <c r="M486" s="570"/>
      <c r="N486" s="570"/>
      <c r="O486" s="570"/>
      <c r="P486" s="571"/>
      <c r="R486" s="18">
        <f t="shared" si="7"/>
        <v>0</v>
      </c>
      <c r="S486" s="338"/>
      <c r="T486" s="344"/>
      <c r="U486" s="474"/>
      <c r="V486" s="344"/>
      <c r="W486" s="475"/>
    </row>
    <row r="487" spans="2:23" ht="26.4" x14ac:dyDescent="0.25">
      <c r="B487" s="375"/>
      <c r="C487" s="351"/>
      <c r="D487" s="60" t="s">
        <v>58</v>
      </c>
      <c r="E487" s="87" t="s">
        <v>500</v>
      </c>
      <c r="F487" s="576"/>
      <c r="G487" s="82">
        <f>'SQ_Auditoreingaben '!G473</f>
        <v>15</v>
      </c>
      <c r="H487" s="576"/>
      <c r="I487" s="69"/>
      <c r="J487" s="18">
        <v>15</v>
      </c>
      <c r="K487" s="364"/>
      <c r="L487" s="80"/>
      <c r="M487" s="570"/>
      <c r="N487" s="570"/>
      <c r="O487" s="570"/>
      <c r="P487" s="571"/>
      <c r="R487" s="18">
        <f t="shared" si="7"/>
        <v>0</v>
      </c>
      <c r="S487" s="338"/>
      <c r="T487" s="344"/>
      <c r="U487" s="474"/>
      <c r="V487" s="344"/>
      <c r="W487" s="475"/>
    </row>
    <row r="488" spans="2:23" x14ac:dyDescent="0.25">
      <c r="B488" s="375"/>
      <c r="C488" s="351" t="s">
        <v>61</v>
      </c>
      <c r="D488" s="354" t="s">
        <v>501</v>
      </c>
      <c r="E488" s="354"/>
      <c r="F488" s="576"/>
      <c r="G488" s="356"/>
      <c r="H488" s="576"/>
      <c r="I488" s="356"/>
      <c r="J488" s="21">
        <v>25</v>
      </c>
      <c r="K488" s="364"/>
      <c r="L488" s="80"/>
      <c r="M488" s="570"/>
      <c r="N488" s="570"/>
      <c r="O488" s="570"/>
      <c r="P488" s="571"/>
      <c r="R488" s="18">
        <f t="shared" si="7"/>
        <v>0</v>
      </c>
      <c r="S488" s="338"/>
      <c r="T488" s="344"/>
      <c r="U488" s="474"/>
      <c r="V488" s="344"/>
      <c r="W488" s="475"/>
    </row>
    <row r="489" spans="2:23" x14ac:dyDescent="0.25">
      <c r="B489" s="375"/>
      <c r="C489" s="351"/>
      <c r="D489" s="361" t="s">
        <v>63</v>
      </c>
      <c r="E489" s="90" t="s">
        <v>502</v>
      </c>
      <c r="F489" s="576"/>
      <c r="G489" s="356"/>
      <c r="H489" s="576"/>
      <c r="I489" s="356"/>
      <c r="J489" s="21">
        <v>25</v>
      </c>
      <c r="K489" s="364"/>
      <c r="L489" s="80"/>
      <c r="M489" s="570"/>
      <c r="N489" s="570"/>
      <c r="O489" s="570"/>
      <c r="P489" s="571"/>
      <c r="R489" s="18">
        <f t="shared" si="7"/>
        <v>0</v>
      </c>
      <c r="S489" s="338"/>
      <c r="T489" s="344"/>
      <c r="U489" s="474"/>
      <c r="V489" s="344"/>
      <c r="W489" s="475"/>
    </row>
    <row r="490" spans="2:23" ht="26.4" x14ac:dyDescent="0.25">
      <c r="B490" s="375"/>
      <c r="C490" s="351"/>
      <c r="D490" s="361"/>
      <c r="E490" s="77" t="s">
        <v>503</v>
      </c>
      <c r="F490" s="576"/>
      <c r="G490" s="82">
        <f>'SQ_Auditoreingaben '!G476</f>
        <v>15</v>
      </c>
      <c r="H490" s="576"/>
      <c r="I490" s="69"/>
      <c r="J490" s="18">
        <v>10</v>
      </c>
      <c r="K490" s="364"/>
      <c r="L490" s="80"/>
      <c r="M490" s="570"/>
      <c r="N490" s="570"/>
      <c r="O490" s="570"/>
      <c r="P490" s="571"/>
      <c r="R490" s="18">
        <f t="shared" si="7"/>
        <v>0</v>
      </c>
      <c r="S490" s="338"/>
      <c r="T490" s="344"/>
      <c r="U490" s="474"/>
      <c r="V490" s="344"/>
      <c r="W490" s="475"/>
    </row>
    <row r="491" spans="2:23" ht="39.6" x14ac:dyDescent="0.25">
      <c r="B491" s="375"/>
      <c r="C491" s="351"/>
      <c r="D491" s="361"/>
      <c r="E491" s="77" t="s">
        <v>504</v>
      </c>
      <c r="F491" s="576"/>
      <c r="G491" s="82">
        <f>'SQ_Auditoreingaben '!G477</f>
        <v>10</v>
      </c>
      <c r="H491" s="576"/>
      <c r="I491" s="69"/>
      <c r="J491" s="18">
        <v>5</v>
      </c>
      <c r="K491" s="364"/>
      <c r="L491" s="80"/>
      <c r="M491" s="570"/>
      <c r="N491" s="570"/>
      <c r="O491" s="570"/>
      <c r="P491" s="571"/>
      <c r="R491" s="18">
        <f t="shared" si="7"/>
        <v>0</v>
      </c>
      <c r="S491" s="338"/>
      <c r="T491" s="344"/>
      <c r="U491" s="474"/>
      <c r="V491" s="344"/>
      <c r="W491" s="475"/>
    </row>
    <row r="492" spans="2:23" ht="39.6" x14ac:dyDescent="0.25">
      <c r="B492" s="375"/>
      <c r="C492" s="351"/>
      <c r="D492" s="361"/>
      <c r="E492" s="77" t="s">
        <v>505</v>
      </c>
      <c r="F492" s="576"/>
      <c r="G492" s="82" t="e">
        <f>'SQ_Auditoreingaben '!#REF!</f>
        <v>#REF!</v>
      </c>
      <c r="H492" s="576"/>
      <c r="I492" s="69"/>
      <c r="J492" s="18">
        <v>10</v>
      </c>
      <c r="K492" s="364"/>
      <c r="L492" s="80"/>
      <c r="M492" s="570"/>
      <c r="N492" s="570"/>
      <c r="O492" s="570"/>
      <c r="P492" s="571"/>
      <c r="R492" s="18">
        <f t="shared" si="7"/>
        <v>0</v>
      </c>
      <c r="S492" s="338"/>
      <c r="T492" s="344"/>
      <c r="U492" s="474"/>
      <c r="V492" s="344"/>
      <c r="W492" s="475"/>
    </row>
    <row r="493" spans="2:23" x14ac:dyDescent="0.25">
      <c r="B493" s="375"/>
      <c r="C493" s="351" t="s">
        <v>64</v>
      </c>
      <c r="D493" s="354" t="s">
        <v>506</v>
      </c>
      <c r="E493" s="354"/>
      <c r="F493" s="576"/>
      <c r="G493" s="356"/>
      <c r="H493" s="576"/>
      <c r="I493" s="356"/>
      <c r="J493" s="21">
        <v>25</v>
      </c>
      <c r="K493" s="364"/>
      <c r="L493" s="80"/>
      <c r="M493" s="570"/>
      <c r="N493" s="570"/>
      <c r="O493" s="570"/>
      <c r="P493" s="571"/>
      <c r="R493" s="18">
        <f t="shared" si="7"/>
        <v>0</v>
      </c>
      <c r="S493" s="338"/>
      <c r="T493" s="344"/>
      <c r="U493" s="474"/>
      <c r="V493" s="344"/>
      <c r="W493" s="475"/>
    </row>
    <row r="494" spans="2:23" x14ac:dyDescent="0.25">
      <c r="B494" s="375"/>
      <c r="C494" s="351"/>
      <c r="D494" s="361" t="s">
        <v>66</v>
      </c>
      <c r="E494" s="87" t="s">
        <v>507</v>
      </c>
      <c r="F494" s="576"/>
      <c r="G494" s="356"/>
      <c r="H494" s="576"/>
      <c r="I494" s="356"/>
      <c r="J494" s="21">
        <v>25</v>
      </c>
      <c r="K494" s="364"/>
      <c r="L494" s="80"/>
      <c r="M494" s="570"/>
      <c r="N494" s="570"/>
      <c r="O494" s="570"/>
      <c r="P494" s="571"/>
      <c r="R494" s="18">
        <f t="shared" si="7"/>
        <v>0</v>
      </c>
      <c r="S494" s="338"/>
      <c r="T494" s="344"/>
      <c r="U494" s="474"/>
      <c r="V494" s="344"/>
      <c r="W494" s="475"/>
    </row>
    <row r="495" spans="2:23" ht="52.8" x14ac:dyDescent="0.25">
      <c r="B495" s="375"/>
      <c r="C495" s="351"/>
      <c r="D495" s="361"/>
      <c r="E495" s="77" t="s">
        <v>508</v>
      </c>
      <c r="F495" s="576"/>
      <c r="G495" s="82">
        <f>'SQ_Auditoreingaben '!G480</f>
        <v>5</v>
      </c>
      <c r="H495" s="576"/>
      <c r="I495" s="69"/>
      <c r="J495" s="18">
        <v>5</v>
      </c>
      <c r="K495" s="364"/>
      <c r="L495" s="80"/>
      <c r="M495" s="570"/>
      <c r="N495" s="570"/>
      <c r="O495" s="570"/>
      <c r="P495" s="571"/>
      <c r="R495" s="18">
        <f t="shared" si="7"/>
        <v>0</v>
      </c>
      <c r="S495" s="338"/>
      <c r="T495" s="344"/>
      <c r="U495" s="474"/>
      <c r="V495" s="344"/>
      <c r="W495" s="475"/>
    </row>
    <row r="496" spans="2:23" ht="52.8" x14ac:dyDescent="0.25">
      <c r="B496" s="375"/>
      <c r="C496" s="351"/>
      <c r="D496" s="361"/>
      <c r="E496" s="77" t="s">
        <v>509</v>
      </c>
      <c r="F496" s="576"/>
      <c r="G496" s="82">
        <f>'SQ_Auditoreingaben '!G481</f>
        <v>5</v>
      </c>
      <c r="H496" s="576"/>
      <c r="I496" s="69"/>
      <c r="J496" s="18">
        <v>5</v>
      </c>
      <c r="K496" s="364"/>
      <c r="L496" s="80"/>
      <c r="M496" s="570"/>
      <c r="N496" s="570"/>
      <c r="O496" s="570"/>
      <c r="P496" s="571"/>
      <c r="R496" s="18">
        <f t="shared" si="7"/>
        <v>0</v>
      </c>
      <c r="S496" s="338"/>
      <c r="T496" s="344"/>
      <c r="U496" s="474"/>
      <c r="V496" s="344"/>
      <c r="W496" s="475"/>
    </row>
    <row r="497" spans="2:23" ht="39.6" x14ac:dyDescent="0.25">
      <c r="B497" s="375"/>
      <c r="C497" s="351"/>
      <c r="D497" s="361"/>
      <c r="E497" s="77" t="s">
        <v>510</v>
      </c>
      <c r="F497" s="576"/>
      <c r="G497" s="82">
        <f>'SQ_Auditoreingaben '!G482</f>
        <v>5</v>
      </c>
      <c r="H497" s="576"/>
      <c r="I497" s="69"/>
      <c r="J497" s="18">
        <v>5</v>
      </c>
      <c r="K497" s="364"/>
      <c r="L497" s="80"/>
      <c r="M497" s="570"/>
      <c r="N497" s="570"/>
      <c r="O497" s="570"/>
      <c r="P497" s="571"/>
      <c r="R497" s="18">
        <f t="shared" si="7"/>
        <v>0</v>
      </c>
      <c r="S497" s="338"/>
      <c r="T497" s="344"/>
      <c r="U497" s="474"/>
      <c r="V497" s="344"/>
      <c r="W497" s="475"/>
    </row>
    <row r="498" spans="2:23" ht="39.6" x14ac:dyDescent="0.25">
      <c r="B498" s="375"/>
      <c r="C498" s="351"/>
      <c r="D498" s="361"/>
      <c r="E498" s="77" t="s">
        <v>511</v>
      </c>
      <c r="F498" s="576"/>
      <c r="G498" s="82">
        <f>'SQ_Auditoreingaben '!G483</f>
        <v>5</v>
      </c>
      <c r="H498" s="576"/>
      <c r="I498" s="69"/>
      <c r="J498" s="18">
        <v>5</v>
      </c>
      <c r="K498" s="364"/>
      <c r="L498" s="80"/>
      <c r="M498" s="570"/>
      <c r="N498" s="570"/>
      <c r="O498" s="570"/>
      <c r="P498" s="571"/>
      <c r="R498" s="18">
        <f t="shared" si="7"/>
        <v>0</v>
      </c>
      <c r="S498" s="338"/>
      <c r="T498" s="344"/>
      <c r="U498" s="474"/>
      <c r="V498" s="344"/>
      <c r="W498" s="475"/>
    </row>
    <row r="499" spans="2:23" ht="39.6" x14ac:dyDescent="0.25">
      <c r="B499" s="375"/>
      <c r="C499" s="351"/>
      <c r="D499" s="361"/>
      <c r="E499" s="77" t="s">
        <v>512</v>
      </c>
      <c r="F499" s="576"/>
      <c r="G499" s="82">
        <f>'SQ_Auditoreingaben '!G484</f>
        <v>5</v>
      </c>
      <c r="H499" s="576"/>
      <c r="I499" s="69"/>
      <c r="J499" s="18">
        <v>5</v>
      </c>
      <c r="K499" s="364"/>
      <c r="L499" s="80"/>
      <c r="M499" s="570"/>
      <c r="N499" s="570"/>
      <c r="O499" s="570"/>
      <c r="P499" s="571"/>
      <c r="R499" s="18">
        <f t="shared" si="7"/>
        <v>0</v>
      </c>
      <c r="S499" s="338"/>
      <c r="T499" s="344"/>
      <c r="U499" s="474"/>
      <c r="V499" s="344"/>
      <c r="W499" s="475"/>
    </row>
    <row r="500" spans="2:23" x14ac:dyDescent="0.25">
      <c r="B500" s="375"/>
      <c r="C500" s="351" t="s">
        <v>67</v>
      </c>
      <c r="D500" s="354" t="s">
        <v>513</v>
      </c>
      <c r="E500" s="354"/>
      <c r="F500" s="576"/>
      <c r="G500" s="113"/>
      <c r="H500" s="576"/>
      <c r="I500" s="113"/>
      <c r="J500" s="21">
        <v>10</v>
      </c>
      <c r="K500" s="364"/>
      <c r="L500" s="80"/>
      <c r="M500" s="570"/>
      <c r="N500" s="570"/>
      <c r="O500" s="570"/>
      <c r="P500" s="571"/>
      <c r="R500" s="18">
        <f t="shared" si="7"/>
        <v>0</v>
      </c>
      <c r="S500" s="338"/>
      <c r="T500" s="344"/>
      <c r="U500" s="474"/>
      <c r="V500" s="344"/>
      <c r="W500" s="475"/>
    </row>
    <row r="501" spans="2:23" ht="26.4" x14ac:dyDescent="0.25">
      <c r="B501" s="375"/>
      <c r="C501" s="351"/>
      <c r="D501" s="60" t="s">
        <v>69</v>
      </c>
      <c r="E501" s="87" t="s">
        <v>514</v>
      </c>
      <c r="F501" s="576"/>
      <c r="G501" s="82">
        <f>'SQ_Auditoreingaben '!G486</f>
        <v>10</v>
      </c>
      <c r="H501" s="576"/>
      <c r="I501" s="69"/>
      <c r="J501" s="18">
        <v>10</v>
      </c>
      <c r="K501" s="364"/>
      <c r="L501" s="80"/>
      <c r="M501" s="570"/>
      <c r="N501" s="570"/>
      <c r="O501" s="570"/>
      <c r="P501" s="571"/>
      <c r="R501" s="18">
        <f t="shared" si="7"/>
        <v>0</v>
      </c>
      <c r="S501" s="338"/>
      <c r="T501" s="344"/>
      <c r="U501" s="474"/>
      <c r="V501" s="344"/>
      <c r="W501" s="475"/>
    </row>
    <row r="502" spans="2:23" x14ac:dyDescent="0.25">
      <c r="B502" s="375"/>
      <c r="C502" s="351" t="s">
        <v>154</v>
      </c>
      <c r="D502" s="354" t="s">
        <v>515</v>
      </c>
      <c r="E502" s="354"/>
      <c r="F502" s="576"/>
      <c r="G502" s="356"/>
      <c r="H502" s="576"/>
      <c r="I502" s="356"/>
      <c r="J502" s="21">
        <v>25</v>
      </c>
      <c r="K502" s="364"/>
      <c r="L502" s="80"/>
      <c r="M502" s="570"/>
      <c r="N502" s="570"/>
      <c r="O502" s="570"/>
      <c r="P502" s="571"/>
      <c r="R502" s="18">
        <f t="shared" si="7"/>
        <v>0</v>
      </c>
      <c r="S502" s="338"/>
      <c r="T502" s="344"/>
      <c r="U502" s="474"/>
      <c r="V502" s="344"/>
      <c r="W502" s="475"/>
    </row>
    <row r="503" spans="2:23" x14ac:dyDescent="0.25">
      <c r="B503" s="375"/>
      <c r="C503" s="351"/>
      <c r="D503" s="361" t="s">
        <v>156</v>
      </c>
      <c r="E503" s="87" t="s">
        <v>516</v>
      </c>
      <c r="F503" s="576"/>
      <c r="G503" s="356"/>
      <c r="H503" s="576"/>
      <c r="I503" s="356"/>
      <c r="J503" s="21">
        <v>25</v>
      </c>
      <c r="K503" s="364"/>
      <c r="L503" s="80"/>
      <c r="M503" s="570"/>
      <c r="N503" s="570"/>
      <c r="O503" s="570"/>
      <c r="P503" s="571"/>
      <c r="R503" s="18">
        <f t="shared" si="7"/>
        <v>0</v>
      </c>
      <c r="S503" s="338"/>
      <c r="T503" s="344"/>
      <c r="U503" s="474"/>
      <c r="V503" s="344"/>
      <c r="W503" s="475"/>
    </row>
    <row r="504" spans="2:23" ht="52.8" x14ac:dyDescent="0.25">
      <c r="B504" s="375"/>
      <c r="C504" s="351"/>
      <c r="D504" s="361"/>
      <c r="E504" s="77" t="s">
        <v>517</v>
      </c>
      <c r="F504" s="576"/>
      <c r="G504" s="82">
        <f>'SQ_Auditoreingaben '!G489</f>
        <v>7</v>
      </c>
      <c r="H504" s="576"/>
      <c r="I504" s="69"/>
      <c r="J504" s="18">
        <v>5</v>
      </c>
      <c r="K504" s="364"/>
      <c r="L504" s="80"/>
      <c r="M504" s="570"/>
      <c r="N504" s="570"/>
      <c r="O504" s="570"/>
      <c r="P504" s="571"/>
      <c r="R504" s="18">
        <f t="shared" si="7"/>
        <v>0</v>
      </c>
      <c r="S504" s="338"/>
      <c r="T504" s="344"/>
      <c r="U504" s="474"/>
      <c r="V504" s="344"/>
      <c r="W504" s="475"/>
    </row>
    <row r="505" spans="2:23" ht="92.4" x14ac:dyDescent="0.25">
      <c r="B505" s="375"/>
      <c r="C505" s="351"/>
      <c r="D505" s="361"/>
      <c r="E505" s="77" t="s">
        <v>518</v>
      </c>
      <c r="F505" s="576"/>
      <c r="G505" s="82">
        <f>'SQ_Auditoreingaben '!G490</f>
        <v>6</v>
      </c>
      <c r="H505" s="576"/>
      <c r="I505" s="69"/>
      <c r="J505" s="18">
        <v>5</v>
      </c>
      <c r="K505" s="364"/>
      <c r="L505" s="80"/>
      <c r="M505" s="570"/>
      <c r="N505" s="570"/>
      <c r="O505" s="570"/>
      <c r="P505" s="571"/>
      <c r="R505" s="18">
        <f t="shared" si="7"/>
        <v>0</v>
      </c>
      <c r="S505" s="338"/>
      <c r="T505" s="344"/>
      <c r="U505" s="474"/>
      <c r="V505" s="344"/>
      <c r="W505" s="475"/>
    </row>
    <row r="506" spans="2:23" ht="66" x14ac:dyDescent="0.25">
      <c r="B506" s="375"/>
      <c r="C506" s="351"/>
      <c r="D506" s="361"/>
      <c r="E506" s="77" t="s">
        <v>519</v>
      </c>
      <c r="F506" s="576"/>
      <c r="G506" s="82">
        <f>'SQ_Auditoreingaben '!G491</f>
        <v>6</v>
      </c>
      <c r="H506" s="576"/>
      <c r="I506" s="69"/>
      <c r="J506" s="18">
        <v>5</v>
      </c>
      <c r="K506" s="364"/>
      <c r="L506" s="80"/>
      <c r="M506" s="570"/>
      <c r="N506" s="570"/>
      <c r="O506" s="570"/>
      <c r="P506" s="571"/>
      <c r="R506" s="18">
        <f t="shared" si="7"/>
        <v>0</v>
      </c>
      <c r="S506" s="338"/>
      <c r="T506" s="344"/>
      <c r="U506" s="474"/>
      <c r="V506" s="344"/>
      <c r="W506" s="475"/>
    </row>
    <row r="507" spans="2:23" ht="26.4" x14ac:dyDescent="0.25">
      <c r="B507" s="375"/>
      <c r="C507" s="351"/>
      <c r="D507" s="361"/>
      <c r="E507" s="77" t="s">
        <v>520</v>
      </c>
      <c r="F507" s="576"/>
      <c r="G507" s="82">
        <f>'SQ_Auditoreingaben '!G492</f>
        <v>6</v>
      </c>
      <c r="H507" s="576"/>
      <c r="I507" s="69"/>
      <c r="J507" s="18">
        <v>5</v>
      </c>
      <c r="K507" s="364"/>
      <c r="L507" s="80"/>
      <c r="M507" s="570"/>
      <c r="N507" s="570"/>
      <c r="O507" s="570"/>
      <c r="P507" s="571"/>
      <c r="R507" s="18">
        <f t="shared" si="7"/>
        <v>0</v>
      </c>
      <c r="S507" s="338"/>
      <c r="T507" s="344"/>
      <c r="U507" s="474"/>
      <c r="V507" s="344"/>
      <c r="W507" s="475"/>
    </row>
    <row r="508" spans="2:23" ht="39.6" x14ac:dyDescent="0.25">
      <c r="B508" s="375"/>
      <c r="C508" s="351"/>
      <c r="D508" s="361"/>
      <c r="E508" s="77" t="s">
        <v>521</v>
      </c>
      <c r="F508" s="576"/>
      <c r="G508" s="82" t="e">
        <f>'SQ_Auditoreingaben '!#REF!</f>
        <v>#REF!</v>
      </c>
      <c r="H508" s="576"/>
      <c r="I508" s="69"/>
      <c r="J508" s="18">
        <v>5</v>
      </c>
      <c r="K508" s="364"/>
      <c r="L508" s="80"/>
      <c r="M508" s="570"/>
      <c r="N508" s="570"/>
      <c r="O508" s="570"/>
      <c r="P508" s="571"/>
      <c r="R508" s="18">
        <f t="shared" si="7"/>
        <v>0</v>
      </c>
      <c r="S508" s="339"/>
      <c r="T508" s="365"/>
      <c r="U508" s="474"/>
      <c r="V508" s="344"/>
      <c r="W508" s="475"/>
    </row>
    <row r="509" spans="2:23" x14ac:dyDescent="0.25">
      <c r="B509" s="55" t="s">
        <v>522</v>
      </c>
      <c r="C509" s="354" t="s">
        <v>523</v>
      </c>
      <c r="D509" s="354"/>
      <c r="E509" s="354"/>
      <c r="F509" s="78">
        <f>'SQ_Auditoreingaben '!F493</f>
        <v>60</v>
      </c>
      <c r="G509" s="364"/>
      <c r="H509" s="91">
        <f>S509</f>
        <v>0</v>
      </c>
      <c r="I509" s="364"/>
      <c r="J509" s="21">
        <v>100</v>
      </c>
      <c r="K509" s="88">
        <v>2</v>
      </c>
      <c r="L509" s="80"/>
      <c r="M509" s="570"/>
      <c r="N509" s="570"/>
      <c r="O509" s="570"/>
      <c r="P509" s="571"/>
      <c r="R509" s="18">
        <f t="shared" si="7"/>
        <v>0</v>
      </c>
      <c r="S509" s="337">
        <f>SUM(R511:R521)</f>
        <v>0</v>
      </c>
      <c r="T509" s="343">
        <f>S509/100</f>
        <v>0</v>
      </c>
      <c r="U509" s="474"/>
      <c r="V509" s="344"/>
      <c r="W509" s="475"/>
    </row>
    <row r="510" spans="2:23" x14ac:dyDescent="0.25">
      <c r="B510" s="375"/>
      <c r="C510" s="351" t="s">
        <v>54</v>
      </c>
      <c r="D510" s="354" t="s">
        <v>524</v>
      </c>
      <c r="E510" s="354"/>
      <c r="F510" s="576"/>
      <c r="G510" s="364"/>
      <c r="H510" s="576"/>
      <c r="I510" s="364"/>
      <c r="J510" s="21">
        <v>45</v>
      </c>
      <c r="K510" s="364"/>
      <c r="L510" s="80"/>
      <c r="M510" s="570"/>
      <c r="N510" s="570"/>
      <c r="O510" s="570"/>
      <c r="P510" s="571"/>
      <c r="R510" s="18">
        <f t="shared" si="7"/>
        <v>0</v>
      </c>
      <c r="S510" s="338"/>
      <c r="T510" s="344"/>
      <c r="U510" s="474"/>
      <c r="V510" s="344"/>
      <c r="W510" s="475"/>
    </row>
    <row r="511" spans="2:23" ht="52.8" x14ac:dyDescent="0.25">
      <c r="B511" s="375"/>
      <c r="C511" s="351"/>
      <c r="D511" s="71" t="s">
        <v>58</v>
      </c>
      <c r="E511" s="77" t="s">
        <v>527</v>
      </c>
      <c r="F511" s="576"/>
      <c r="G511" s="82">
        <f>'SQ_Auditoreingaben '!G495</f>
        <v>0</v>
      </c>
      <c r="H511" s="576"/>
      <c r="I511" s="69"/>
      <c r="J511" s="18">
        <v>15</v>
      </c>
      <c r="K511" s="364"/>
      <c r="L511" s="80"/>
      <c r="M511" s="570"/>
      <c r="N511" s="570"/>
      <c r="O511" s="570"/>
      <c r="P511" s="571"/>
      <c r="R511" s="18">
        <f t="shared" si="7"/>
        <v>0</v>
      </c>
      <c r="S511" s="338"/>
      <c r="T511" s="344"/>
      <c r="U511" s="474"/>
      <c r="V511" s="344"/>
      <c r="W511" s="475"/>
    </row>
    <row r="512" spans="2:23" ht="66" x14ac:dyDescent="0.25">
      <c r="B512" s="375"/>
      <c r="C512" s="351"/>
      <c r="D512" s="71" t="s">
        <v>181</v>
      </c>
      <c r="E512" s="77" t="s">
        <v>528</v>
      </c>
      <c r="F512" s="576"/>
      <c r="G512" s="82">
        <f>'SQ_Auditoreingaben '!G496</f>
        <v>5</v>
      </c>
      <c r="H512" s="576"/>
      <c r="I512" s="69"/>
      <c r="J512" s="18">
        <v>5</v>
      </c>
      <c r="K512" s="364"/>
      <c r="L512" s="80"/>
      <c r="M512" s="570"/>
      <c r="N512" s="570"/>
      <c r="O512" s="570"/>
      <c r="P512" s="571"/>
      <c r="R512" s="18">
        <f t="shared" si="7"/>
        <v>0</v>
      </c>
      <c r="S512" s="338"/>
      <c r="T512" s="344"/>
      <c r="U512" s="474"/>
      <c r="V512" s="344"/>
      <c r="W512" s="475"/>
    </row>
    <row r="513" spans="2:23" ht="132" x14ac:dyDescent="0.25">
      <c r="B513" s="375"/>
      <c r="C513" s="351"/>
      <c r="D513" s="71" t="s">
        <v>246</v>
      </c>
      <c r="E513" s="77" t="s">
        <v>529</v>
      </c>
      <c r="F513" s="576"/>
      <c r="G513" s="82">
        <f>'SQ_Auditoreingaben '!G497</f>
        <v>10</v>
      </c>
      <c r="H513" s="576"/>
      <c r="I513" s="69"/>
      <c r="J513" s="18">
        <v>10</v>
      </c>
      <c r="K513" s="364"/>
      <c r="L513" s="80"/>
      <c r="M513" s="570"/>
      <c r="N513" s="570"/>
      <c r="O513" s="570"/>
      <c r="P513" s="571"/>
      <c r="R513" s="18">
        <f t="shared" si="7"/>
        <v>0</v>
      </c>
      <c r="S513" s="338"/>
      <c r="T513" s="344"/>
      <c r="U513" s="474"/>
      <c r="V513" s="344"/>
      <c r="W513" s="475"/>
    </row>
    <row r="514" spans="2:23" ht="105.6" x14ac:dyDescent="0.25">
      <c r="B514" s="375"/>
      <c r="C514" s="351"/>
      <c r="D514" s="71" t="s">
        <v>250</v>
      </c>
      <c r="E514" s="77" t="s">
        <v>530</v>
      </c>
      <c r="F514" s="576"/>
      <c r="G514" s="82">
        <f>'SQ_Auditoreingaben '!G498</f>
        <v>10</v>
      </c>
      <c r="H514" s="576"/>
      <c r="I514" s="69"/>
      <c r="J514" s="18">
        <v>10</v>
      </c>
      <c r="K514" s="364"/>
      <c r="L514" s="80"/>
      <c r="M514" s="570"/>
      <c r="N514" s="570"/>
      <c r="O514" s="570"/>
      <c r="P514" s="571"/>
      <c r="R514" s="18">
        <f t="shared" si="7"/>
        <v>0</v>
      </c>
      <c r="S514" s="338"/>
      <c r="T514" s="344"/>
      <c r="U514" s="474"/>
      <c r="V514" s="344"/>
      <c r="W514" s="475"/>
    </row>
    <row r="515" spans="2:23" ht="105.6" x14ac:dyDescent="0.25">
      <c r="B515" s="375"/>
      <c r="C515" s="351"/>
      <c r="D515" s="71" t="s">
        <v>121</v>
      </c>
      <c r="E515" s="77" t="s">
        <v>531</v>
      </c>
      <c r="F515" s="576"/>
      <c r="G515" s="82">
        <f>'SQ_Auditoreingaben '!G499</f>
        <v>0</v>
      </c>
      <c r="H515" s="576"/>
      <c r="I515" s="69"/>
      <c r="J515" s="18">
        <v>5</v>
      </c>
      <c r="K515" s="364"/>
      <c r="L515" s="80"/>
      <c r="M515" s="570"/>
      <c r="N515" s="570"/>
      <c r="O515" s="570"/>
      <c r="P515" s="571"/>
      <c r="R515" s="18">
        <f t="shared" si="7"/>
        <v>0</v>
      </c>
      <c r="S515" s="338"/>
      <c r="T515" s="344"/>
      <c r="U515" s="474"/>
      <c r="V515" s="344"/>
      <c r="W515" s="475"/>
    </row>
    <row r="516" spans="2:23" x14ac:dyDescent="0.25">
      <c r="B516" s="375"/>
      <c r="C516" s="351" t="s">
        <v>61</v>
      </c>
      <c r="D516" s="354" t="s">
        <v>525</v>
      </c>
      <c r="E516" s="354"/>
      <c r="F516" s="576"/>
      <c r="G516" s="113"/>
      <c r="H516" s="576"/>
      <c r="I516" s="113"/>
      <c r="J516" s="21">
        <v>35</v>
      </c>
      <c r="K516" s="364"/>
      <c r="L516" s="80"/>
      <c r="M516" s="570"/>
      <c r="N516" s="570"/>
      <c r="O516" s="570"/>
      <c r="P516" s="571"/>
      <c r="R516" s="18">
        <f t="shared" si="7"/>
        <v>0</v>
      </c>
      <c r="S516" s="338"/>
      <c r="T516" s="344"/>
      <c r="U516" s="474"/>
      <c r="V516" s="344"/>
      <c r="W516" s="475"/>
    </row>
    <row r="517" spans="2:23" ht="105.6" x14ac:dyDescent="0.25">
      <c r="B517" s="375"/>
      <c r="C517" s="351"/>
      <c r="D517" s="71" t="s">
        <v>63</v>
      </c>
      <c r="E517" s="77" t="s">
        <v>532</v>
      </c>
      <c r="F517" s="576"/>
      <c r="G517" s="82">
        <f>'SQ_Auditoreingaben '!G501</f>
        <v>20</v>
      </c>
      <c r="H517" s="576"/>
      <c r="I517" s="69"/>
      <c r="J517" s="18">
        <v>20</v>
      </c>
      <c r="K517" s="364"/>
      <c r="L517" s="80"/>
      <c r="M517" s="570"/>
      <c r="N517" s="570"/>
      <c r="O517" s="570"/>
      <c r="P517" s="571"/>
      <c r="R517" s="18">
        <f t="shared" si="7"/>
        <v>0</v>
      </c>
      <c r="S517" s="338"/>
      <c r="T517" s="344"/>
      <c r="U517" s="474"/>
      <c r="V517" s="344"/>
      <c r="W517" s="475"/>
    </row>
    <row r="518" spans="2:23" ht="66" x14ac:dyDescent="0.25">
      <c r="B518" s="375"/>
      <c r="C518" s="351"/>
      <c r="D518" s="71" t="s">
        <v>186</v>
      </c>
      <c r="E518" s="77" t="s">
        <v>533</v>
      </c>
      <c r="F518" s="576"/>
      <c r="G518" s="82">
        <f>'SQ_Auditoreingaben '!G502</f>
        <v>15</v>
      </c>
      <c r="H518" s="576"/>
      <c r="I518" s="69"/>
      <c r="J518" s="18">
        <v>15</v>
      </c>
      <c r="K518" s="364"/>
      <c r="L518" s="80"/>
      <c r="M518" s="570"/>
      <c r="N518" s="570"/>
      <c r="O518" s="570"/>
      <c r="P518" s="571"/>
      <c r="R518" s="18">
        <f t="shared" si="7"/>
        <v>0</v>
      </c>
      <c r="S518" s="338"/>
      <c r="T518" s="344"/>
      <c r="U518" s="474"/>
      <c r="V518" s="344"/>
      <c r="W518" s="475"/>
    </row>
    <row r="519" spans="2:23" x14ac:dyDescent="0.25">
      <c r="B519" s="375"/>
      <c r="C519" s="351" t="s">
        <v>64</v>
      </c>
      <c r="D519" s="354" t="s">
        <v>526</v>
      </c>
      <c r="E519" s="354"/>
      <c r="F519" s="576"/>
      <c r="G519" s="113"/>
      <c r="H519" s="576"/>
      <c r="I519" s="113"/>
      <c r="J519" s="21">
        <v>20</v>
      </c>
      <c r="K519" s="364"/>
      <c r="L519" s="80"/>
      <c r="M519" s="570"/>
      <c r="N519" s="570"/>
      <c r="O519" s="570"/>
      <c r="P519" s="571"/>
      <c r="R519" s="18">
        <f t="shared" si="7"/>
        <v>0</v>
      </c>
      <c r="S519" s="338"/>
      <c r="T519" s="344"/>
      <c r="U519" s="474"/>
      <c r="V519" s="344"/>
      <c r="W519" s="475"/>
    </row>
    <row r="520" spans="2:23" ht="118.8" x14ac:dyDescent="0.25">
      <c r="B520" s="375"/>
      <c r="C520" s="351"/>
      <c r="D520" s="71" t="s">
        <v>66</v>
      </c>
      <c r="E520" s="77" t="s">
        <v>534</v>
      </c>
      <c r="F520" s="576"/>
      <c r="G520" s="82">
        <f>'SQ_Auditoreingaben '!G504</f>
        <v>0</v>
      </c>
      <c r="H520" s="576"/>
      <c r="I520" s="69"/>
      <c r="J520" s="18">
        <v>10</v>
      </c>
      <c r="K520" s="364"/>
      <c r="L520" s="80"/>
      <c r="M520" s="570"/>
      <c r="N520" s="570"/>
      <c r="O520" s="570"/>
      <c r="P520" s="571"/>
      <c r="R520" s="18">
        <f t="shared" si="7"/>
        <v>0</v>
      </c>
      <c r="S520" s="338"/>
      <c r="T520" s="344"/>
      <c r="U520" s="474"/>
      <c r="V520" s="344"/>
      <c r="W520" s="475"/>
    </row>
    <row r="521" spans="2:23" ht="105.6" x14ac:dyDescent="0.25">
      <c r="B521" s="375"/>
      <c r="C521" s="351"/>
      <c r="D521" s="71" t="s">
        <v>188</v>
      </c>
      <c r="E521" s="77" t="s">
        <v>535</v>
      </c>
      <c r="F521" s="576"/>
      <c r="G521" s="82">
        <f>'SQ_Auditoreingaben '!G505</f>
        <v>0</v>
      </c>
      <c r="H521" s="576"/>
      <c r="I521" s="69"/>
      <c r="J521" s="18">
        <v>10</v>
      </c>
      <c r="K521" s="364"/>
      <c r="L521" s="80"/>
      <c r="M521" s="570"/>
      <c r="N521" s="570"/>
      <c r="O521" s="570"/>
      <c r="P521" s="571"/>
      <c r="R521" s="18">
        <f t="shared" si="7"/>
        <v>0</v>
      </c>
      <c r="S521" s="339"/>
      <c r="T521" s="365"/>
      <c r="U521" s="474"/>
      <c r="V521" s="344"/>
      <c r="W521" s="475"/>
    </row>
    <row r="522" spans="2:23" x14ac:dyDescent="0.25">
      <c r="B522" s="55" t="s">
        <v>536</v>
      </c>
      <c r="C522" s="354" t="s">
        <v>537</v>
      </c>
      <c r="D522" s="354"/>
      <c r="E522" s="354"/>
      <c r="F522" s="78">
        <f>'SQ_Auditoreingaben '!F506</f>
        <v>85</v>
      </c>
      <c r="G522" s="364"/>
      <c r="H522" s="91">
        <f>S522</f>
        <v>0</v>
      </c>
      <c r="I522" s="364"/>
      <c r="J522" s="21">
        <v>110</v>
      </c>
      <c r="K522" s="88">
        <v>2</v>
      </c>
      <c r="L522" s="80"/>
      <c r="M522" s="570"/>
      <c r="N522" s="570"/>
      <c r="O522" s="570"/>
      <c r="P522" s="571"/>
      <c r="R522" s="18">
        <f t="shared" si="7"/>
        <v>0</v>
      </c>
      <c r="S522" s="337">
        <f>SUM(SUM(R524:R529),IF(R531+R532&gt;20,20,R531+R532),IF(R534+R535&gt;20,20,R534+R535))</f>
        <v>0</v>
      </c>
      <c r="T522" s="343">
        <f>S522/100</f>
        <v>0</v>
      </c>
      <c r="U522" s="474"/>
      <c r="V522" s="344"/>
      <c r="W522" s="475"/>
    </row>
    <row r="523" spans="2:23" x14ac:dyDescent="0.25">
      <c r="B523" s="375"/>
      <c r="C523" s="351" t="s">
        <v>54</v>
      </c>
      <c r="D523" s="354" t="s">
        <v>538</v>
      </c>
      <c r="E523" s="354"/>
      <c r="F523" s="576"/>
      <c r="G523" s="364"/>
      <c r="H523" s="576"/>
      <c r="I523" s="364"/>
      <c r="J523" s="21">
        <v>20</v>
      </c>
      <c r="K523" s="364"/>
      <c r="L523" s="80"/>
      <c r="M523" s="570"/>
      <c r="N523" s="570"/>
      <c r="O523" s="570"/>
      <c r="P523" s="571"/>
      <c r="R523" s="18">
        <f t="shared" si="7"/>
        <v>0</v>
      </c>
      <c r="S523" s="338"/>
      <c r="T523" s="344"/>
      <c r="U523" s="474"/>
      <c r="V523" s="344"/>
      <c r="W523" s="475"/>
    </row>
    <row r="524" spans="2:23" ht="118.8" x14ac:dyDescent="0.25">
      <c r="B524" s="375"/>
      <c r="C524" s="351"/>
      <c r="D524" s="71" t="s">
        <v>58</v>
      </c>
      <c r="E524" s="77" t="s">
        <v>689</v>
      </c>
      <c r="F524" s="576"/>
      <c r="G524" s="82">
        <f>'SQ_Auditoreingaben '!G508</f>
        <v>5</v>
      </c>
      <c r="H524" s="576"/>
      <c r="I524" s="69"/>
      <c r="J524" s="18">
        <v>20</v>
      </c>
      <c r="K524" s="364"/>
      <c r="L524" s="80"/>
      <c r="M524" s="570"/>
      <c r="N524" s="570"/>
      <c r="O524" s="570"/>
      <c r="P524" s="571"/>
      <c r="R524" s="18">
        <f t="shared" si="7"/>
        <v>0</v>
      </c>
      <c r="S524" s="338"/>
      <c r="T524" s="344"/>
      <c r="U524" s="474"/>
      <c r="V524" s="344"/>
      <c r="W524" s="475"/>
    </row>
    <row r="525" spans="2:23" x14ac:dyDescent="0.25">
      <c r="B525" s="375"/>
      <c r="C525" s="351" t="s">
        <v>61</v>
      </c>
      <c r="D525" s="354" t="s">
        <v>539</v>
      </c>
      <c r="E525" s="354"/>
      <c r="F525" s="576"/>
      <c r="G525" s="113"/>
      <c r="H525" s="576"/>
      <c r="I525" s="113"/>
      <c r="J525" s="21">
        <v>30</v>
      </c>
      <c r="K525" s="364"/>
      <c r="L525" s="80"/>
      <c r="M525" s="570"/>
      <c r="N525" s="570"/>
      <c r="O525" s="570"/>
      <c r="P525" s="571"/>
      <c r="R525" s="18">
        <f t="shared" si="7"/>
        <v>0</v>
      </c>
      <c r="S525" s="338"/>
      <c r="T525" s="344"/>
      <c r="U525" s="474"/>
      <c r="V525" s="344"/>
      <c r="W525" s="475"/>
    </row>
    <row r="526" spans="2:23" ht="145.19999999999999" x14ac:dyDescent="0.25">
      <c r="B526" s="375"/>
      <c r="C526" s="351"/>
      <c r="D526" s="71" t="s">
        <v>63</v>
      </c>
      <c r="E526" s="77" t="s">
        <v>690</v>
      </c>
      <c r="F526" s="576"/>
      <c r="G526" s="82">
        <f>'SQ_Auditoreingaben '!G511</f>
        <v>15</v>
      </c>
      <c r="H526" s="576"/>
      <c r="I526" s="69"/>
      <c r="J526" s="18">
        <v>20</v>
      </c>
      <c r="K526" s="364"/>
      <c r="L526" s="80"/>
      <c r="M526" s="570"/>
      <c r="N526" s="570"/>
      <c r="O526" s="570"/>
      <c r="P526" s="571"/>
      <c r="R526" s="18">
        <f t="shared" si="7"/>
        <v>0</v>
      </c>
      <c r="S526" s="338"/>
      <c r="T526" s="344"/>
      <c r="U526" s="474"/>
      <c r="V526" s="344"/>
      <c r="W526" s="475"/>
    </row>
    <row r="527" spans="2:23" ht="66" x14ac:dyDescent="0.25">
      <c r="B527" s="375"/>
      <c r="C527" s="351"/>
      <c r="D527" s="71" t="s">
        <v>186</v>
      </c>
      <c r="E527" s="77" t="s">
        <v>544</v>
      </c>
      <c r="F527" s="576"/>
      <c r="G527" s="82">
        <f>'SQ_Auditoreingaben '!G512</f>
        <v>10</v>
      </c>
      <c r="H527" s="576"/>
      <c r="I527" s="69"/>
      <c r="J527" s="18">
        <v>10</v>
      </c>
      <c r="K527" s="364"/>
      <c r="L527" s="80"/>
      <c r="M527" s="570"/>
      <c r="N527" s="570"/>
      <c r="O527" s="570"/>
      <c r="P527" s="571"/>
      <c r="R527" s="18">
        <f t="shared" si="7"/>
        <v>0</v>
      </c>
      <c r="S527" s="338"/>
      <c r="T527" s="344"/>
      <c r="U527" s="474"/>
      <c r="V527" s="344"/>
      <c r="W527" s="475"/>
    </row>
    <row r="528" spans="2:23" x14ac:dyDescent="0.25">
      <c r="B528" s="375"/>
      <c r="C528" s="351" t="s">
        <v>64</v>
      </c>
      <c r="D528" s="354" t="s">
        <v>540</v>
      </c>
      <c r="E528" s="354"/>
      <c r="F528" s="576"/>
      <c r="G528" s="113"/>
      <c r="H528" s="576"/>
      <c r="I528" s="113"/>
      <c r="J528" s="21">
        <v>20</v>
      </c>
      <c r="K528" s="364"/>
      <c r="L528" s="80"/>
      <c r="M528" s="570"/>
      <c r="N528" s="570"/>
      <c r="O528" s="570"/>
      <c r="P528" s="571"/>
      <c r="R528" s="18">
        <f t="shared" si="7"/>
        <v>0</v>
      </c>
      <c r="S528" s="338"/>
      <c r="T528" s="344"/>
      <c r="U528" s="474"/>
      <c r="V528" s="344"/>
      <c r="W528" s="475"/>
    </row>
    <row r="529" spans="2:23" ht="145.19999999999999" x14ac:dyDescent="0.25">
      <c r="B529" s="375"/>
      <c r="C529" s="351"/>
      <c r="D529" s="71" t="s">
        <v>66</v>
      </c>
      <c r="E529" s="77" t="s">
        <v>691</v>
      </c>
      <c r="F529" s="576"/>
      <c r="G529" s="82">
        <f>'SQ_Auditoreingaben '!G514</f>
        <v>10</v>
      </c>
      <c r="H529" s="576"/>
      <c r="I529" s="69"/>
      <c r="J529" s="18">
        <v>20</v>
      </c>
      <c r="K529" s="364"/>
      <c r="L529" s="80"/>
      <c r="M529" s="570"/>
      <c r="N529" s="570"/>
      <c r="O529" s="570"/>
      <c r="P529" s="571"/>
      <c r="R529" s="18">
        <f t="shared" si="7"/>
        <v>0</v>
      </c>
      <c r="S529" s="338"/>
      <c r="T529" s="344"/>
      <c r="U529" s="474"/>
      <c r="V529" s="344"/>
      <c r="W529" s="475"/>
    </row>
    <row r="530" spans="2:23" x14ac:dyDescent="0.25">
      <c r="B530" s="375"/>
      <c r="C530" s="351" t="s">
        <v>67</v>
      </c>
      <c r="D530" s="354" t="s">
        <v>541</v>
      </c>
      <c r="E530" s="354"/>
      <c r="F530" s="576"/>
      <c r="G530" s="113"/>
      <c r="H530" s="576"/>
      <c r="I530" s="113"/>
      <c r="J530" s="21">
        <v>20</v>
      </c>
      <c r="K530" s="364"/>
      <c r="L530" s="80"/>
      <c r="M530" s="570"/>
      <c r="N530" s="570"/>
      <c r="O530" s="570"/>
      <c r="P530" s="571"/>
      <c r="R530" s="18">
        <f t="shared" si="7"/>
        <v>0</v>
      </c>
      <c r="S530" s="338"/>
      <c r="T530" s="344"/>
      <c r="U530" s="474"/>
      <c r="V530" s="344"/>
      <c r="W530" s="475"/>
    </row>
    <row r="531" spans="2:23" ht="145.19999999999999" x14ac:dyDescent="0.25">
      <c r="B531" s="375"/>
      <c r="C531" s="351"/>
      <c r="D531" s="71" t="s">
        <v>69</v>
      </c>
      <c r="E531" s="77" t="s">
        <v>692</v>
      </c>
      <c r="F531" s="576"/>
      <c r="G531" s="82">
        <f>'SQ_Auditoreingaben '!G516</f>
        <v>15</v>
      </c>
      <c r="H531" s="576"/>
      <c r="I531" s="69"/>
      <c r="J531" s="18">
        <v>20</v>
      </c>
      <c r="K531" s="364"/>
      <c r="L531" s="80"/>
      <c r="M531" s="570"/>
      <c r="N531" s="570"/>
      <c r="O531" s="570"/>
      <c r="P531" s="571"/>
      <c r="R531" s="18">
        <f t="shared" si="7"/>
        <v>0</v>
      </c>
      <c r="S531" s="338"/>
      <c r="T531" s="344"/>
      <c r="U531" s="474"/>
      <c r="V531" s="344"/>
      <c r="W531" s="475"/>
    </row>
    <row r="532" spans="2:23" ht="66" x14ac:dyDescent="0.25">
      <c r="B532" s="375"/>
      <c r="C532" s="351"/>
      <c r="D532" s="57" t="s">
        <v>542</v>
      </c>
      <c r="E532" s="77" t="s">
        <v>598</v>
      </c>
      <c r="F532" s="576"/>
      <c r="G532" s="82">
        <f>'SQ_Auditoreingaben '!G517</f>
        <v>0</v>
      </c>
      <c r="H532" s="576"/>
      <c r="I532" s="69"/>
      <c r="J532" s="18">
        <v>20</v>
      </c>
      <c r="K532" s="364"/>
      <c r="L532" s="80"/>
      <c r="M532" s="570"/>
      <c r="N532" s="570"/>
      <c r="O532" s="570"/>
      <c r="P532" s="571"/>
      <c r="R532" s="18">
        <f t="shared" si="7"/>
        <v>0</v>
      </c>
      <c r="S532" s="338"/>
      <c r="T532" s="344"/>
      <c r="U532" s="474"/>
      <c r="V532" s="344"/>
      <c r="W532" s="475"/>
    </row>
    <row r="533" spans="2:23" x14ac:dyDescent="0.25">
      <c r="B533" s="375"/>
      <c r="C533" s="351" t="s">
        <v>154</v>
      </c>
      <c r="D533" s="354" t="s">
        <v>543</v>
      </c>
      <c r="E533" s="354"/>
      <c r="F533" s="576"/>
      <c r="G533" s="113"/>
      <c r="H533" s="576"/>
      <c r="I533" s="113"/>
      <c r="J533" s="21">
        <v>20</v>
      </c>
      <c r="K533" s="364"/>
      <c r="L533" s="80"/>
      <c r="M533" s="570"/>
      <c r="N533" s="570"/>
      <c r="O533" s="570"/>
      <c r="P533" s="571"/>
      <c r="R533" s="18">
        <f t="shared" si="7"/>
        <v>0</v>
      </c>
      <c r="S533" s="338"/>
      <c r="T533" s="344"/>
      <c r="U533" s="474"/>
      <c r="V533" s="344"/>
      <c r="W533" s="475"/>
    </row>
    <row r="534" spans="2:23" ht="118.8" x14ac:dyDescent="0.25">
      <c r="B534" s="375"/>
      <c r="C534" s="351"/>
      <c r="D534" s="71" t="s">
        <v>156</v>
      </c>
      <c r="E534" s="77" t="s">
        <v>693</v>
      </c>
      <c r="F534" s="576"/>
      <c r="G534" s="82">
        <f>'SQ_Auditoreingaben '!G519</f>
        <v>10</v>
      </c>
      <c r="H534" s="576"/>
      <c r="I534" s="69"/>
      <c r="J534" s="18">
        <v>20</v>
      </c>
      <c r="K534" s="364"/>
      <c r="L534" s="80"/>
      <c r="M534" s="570"/>
      <c r="N534" s="570"/>
      <c r="O534" s="570"/>
      <c r="P534" s="571"/>
      <c r="R534" s="18">
        <f t="shared" si="7"/>
        <v>0</v>
      </c>
      <c r="S534" s="338"/>
      <c r="T534" s="344"/>
      <c r="U534" s="474"/>
      <c r="V534" s="344"/>
      <c r="W534" s="475"/>
    </row>
    <row r="535" spans="2:23" ht="92.4" x14ac:dyDescent="0.25">
      <c r="B535" s="375"/>
      <c r="C535" s="351"/>
      <c r="D535" s="57" t="s">
        <v>694</v>
      </c>
      <c r="E535" s="77" t="s">
        <v>695</v>
      </c>
      <c r="F535" s="576"/>
      <c r="G535" s="82">
        <f>'SQ_Auditoreingaben '!G520</f>
        <v>10</v>
      </c>
      <c r="H535" s="576"/>
      <c r="I535" s="69"/>
      <c r="J535" s="18">
        <v>20</v>
      </c>
      <c r="K535" s="364"/>
      <c r="L535" s="80"/>
      <c r="M535" s="570"/>
      <c r="N535" s="570"/>
      <c r="O535" s="570"/>
      <c r="P535" s="571"/>
      <c r="R535" s="18">
        <f t="shared" si="7"/>
        <v>0</v>
      </c>
      <c r="S535" s="339"/>
      <c r="T535" s="365"/>
      <c r="U535" s="474"/>
      <c r="V535" s="344"/>
      <c r="W535" s="475"/>
    </row>
    <row r="536" spans="2:23" x14ac:dyDescent="0.25">
      <c r="B536" s="55" t="s">
        <v>545</v>
      </c>
      <c r="C536" s="354" t="s">
        <v>546</v>
      </c>
      <c r="D536" s="354"/>
      <c r="E536" s="354"/>
      <c r="F536" s="78">
        <f>'SQ_Auditoreingaben '!F521</f>
        <v>55</v>
      </c>
      <c r="G536" s="364"/>
      <c r="H536" s="91">
        <f>S536</f>
        <v>0</v>
      </c>
      <c r="I536" s="364"/>
      <c r="J536" s="21">
        <v>100</v>
      </c>
      <c r="K536" s="88">
        <v>2</v>
      </c>
      <c r="L536" s="80"/>
      <c r="M536" s="570"/>
      <c r="N536" s="570"/>
      <c r="O536" s="570"/>
      <c r="P536" s="571"/>
      <c r="R536" s="18">
        <f t="shared" si="7"/>
        <v>0</v>
      </c>
      <c r="S536" s="337">
        <f>SUM(R538:R553)</f>
        <v>0</v>
      </c>
      <c r="T536" s="343">
        <f>S536/100</f>
        <v>0</v>
      </c>
      <c r="U536" s="474"/>
      <c r="V536" s="344"/>
      <c r="W536" s="475"/>
    </row>
    <row r="537" spans="2:23" x14ac:dyDescent="0.25">
      <c r="B537" s="375"/>
      <c r="C537" s="351" t="s">
        <v>54</v>
      </c>
      <c r="D537" s="354" t="s">
        <v>547</v>
      </c>
      <c r="E537" s="354"/>
      <c r="F537" s="576"/>
      <c r="G537" s="364"/>
      <c r="H537" s="576"/>
      <c r="I537" s="364"/>
      <c r="J537" s="21">
        <v>45</v>
      </c>
      <c r="K537" s="364"/>
      <c r="L537" s="80"/>
      <c r="M537" s="570"/>
      <c r="N537" s="570"/>
      <c r="O537" s="570"/>
      <c r="P537" s="571"/>
      <c r="R537" s="18">
        <f t="shared" si="7"/>
        <v>0</v>
      </c>
      <c r="S537" s="338"/>
      <c r="T537" s="344"/>
      <c r="U537" s="474"/>
      <c r="V537" s="344"/>
      <c r="W537" s="475"/>
    </row>
    <row r="538" spans="2:23" ht="66" x14ac:dyDescent="0.25">
      <c r="B538" s="375"/>
      <c r="C538" s="351"/>
      <c r="D538" s="71" t="s">
        <v>58</v>
      </c>
      <c r="E538" s="77" t="s">
        <v>556</v>
      </c>
      <c r="F538" s="576"/>
      <c r="G538" s="82">
        <f>'SQ_Auditoreingaben '!G523</f>
        <v>0</v>
      </c>
      <c r="H538" s="576"/>
      <c r="I538" s="69"/>
      <c r="J538" s="18">
        <v>15</v>
      </c>
      <c r="K538" s="364"/>
      <c r="L538" s="80"/>
      <c r="M538" s="570"/>
      <c r="N538" s="570"/>
      <c r="O538" s="570"/>
      <c r="P538" s="571"/>
      <c r="R538" s="18">
        <f t="shared" ref="R538:R553" si="8">IF(I538&gt;J538,J538,I538)</f>
        <v>0</v>
      </c>
      <c r="S538" s="338"/>
      <c r="T538" s="344"/>
      <c r="U538" s="474"/>
      <c r="V538" s="344"/>
      <c r="W538" s="475"/>
    </row>
    <row r="539" spans="2:23" ht="44.25" customHeight="1" x14ac:dyDescent="0.25">
      <c r="B539" s="375"/>
      <c r="C539" s="351"/>
      <c r="D539" s="71" t="s">
        <v>181</v>
      </c>
      <c r="E539" s="52" t="s">
        <v>734</v>
      </c>
      <c r="F539" s="576"/>
      <c r="G539" s="82">
        <f>'SQ_Auditoreingaben '!G524</f>
        <v>0</v>
      </c>
      <c r="H539" s="576"/>
      <c r="I539" s="69"/>
      <c r="J539" s="18">
        <v>10</v>
      </c>
      <c r="K539" s="364"/>
      <c r="L539" s="80"/>
      <c r="M539" s="570"/>
      <c r="N539" s="570"/>
      <c r="O539" s="570"/>
      <c r="P539" s="571"/>
      <c r="R539" s="18">
        <f t="shared" si="8"/>
        <v>0</v>
      </c>
      <c r="S539" s="338"/>
      <c r="T539" s="344"/>
      <c r="U539" s="474"/>
      <c r="V539" s="344"/>
      <c r="W539" s="475"/>
    </row>
    <row r="540" spans="2:23" ht="52.8" x14ac:dyDescent="0.25">
      <c r="B540" s="375"/>
      <c r="C540" s="351"/>
      <c r="D540" s="71" t="s">
        <v>246</v>
      </c>
      <c r="E540" s="77" t="s">
        <v>557</v>
      </c>
      <c r="F540" s="576"/>
      <c r="G540" s="82">
        <f>'SQ_Auditoreingaben '!G525</f>
        <v>0</v>
      </c>
      <c r="H540" s="576"/>
      <c r="I540" s="69"/>
      <c r="J540" s="18">
        <v>10</v>
      </c>
      <c r="K540" s="364"/>
      <c r="L540" s="80"/>
      <c r="M540" s="570"/>
      <c r="N540" s="570"/>
      <c r="O540" s="570"/>
      <c r="P540" s="571"/>
      <c r="R540" s="18">
        <f t="shared" si="8"/>
        <v>0</v>
      </c>
      <c r="S540" s="338"/>
      <c r="T540" s="344"/>
      <c r="U540" s="474"/>
      <c r="V540" s="344"/>
      <c r="W540" s="475"/>
    </row>
    <row r="541" spans="2:23" ht="145.19999999999999" x14ac:dyDescent="0.25">
      <c r="B541" s="375"/>
      <c r="C541" s="351"/>
      <c r="D541" s="71" t="s">
        <v>250</v>
      </c>
      <c r="E541" s="77" t="s">
        <v>558</v>
      </c>
      <c r="F541" s="576"/>
      <c r="G541" s="82">
        <f>'SQ_Auditoreingaben '!G526</f>
        <v>0</v>
      </c>
      <c r="H541" s="576"/>
      <c r="I541" s="69"/>
      <c r="J541" s="18">
        <v>10</v>
      </c>
      <c r="K541" s="364"/>
      <c r="L541" s="80"/>
      <c r="M541" s="570"/>
      <c r="N541" s="570"/>
      <c r="O541" s="570"/>
      <c r="P541" s="571"/>
      <c r="R541" s="18">
        <f t="shared" si="8"/>
        <v>0</v>
      </c>
      <c r="S541" s="338"/>
      <c r="T541" s="344"/>
      <c r="U541" s="474"/>
      <c r="V541" s="344"/>
      <c r="W541" s="475"/>
    </row>
    <row r="542" spans="2:23" x14ac:dyDescent="0.25">
      <c r="B542" s="375"/>
      <c r="C542" s="351" t="s">
        <v>61</v>
      </c>
      <c r="D542" s="354" t="s">
        <v>548</v>
      </c>
      <c r="E542" s="354"/>
      <c r="F542" s="576"/>
      <c r="G542" s="356"/>
      <c r="H542" s="576"/>
      <c r="I542" s="356"/>
      <c r="J542" s="21">
        <v>15</v>
      </c>
      <c r="K542" s="364"/>
      <c r="L542" s="80"/>
      <c r="M542" s="570"/>
      <c r="N542" s="570"/>
      <c r="O542" s="570"/>
      <c r="P542" s="571"/>
      <c r="R542" s="18">
        <f t="shared" si="8"/>
        <v>0</v>
      </c>
      <c r="S542" s="338"/>
      <c r="T542" s="344"/>
      <c r="U542" s="474"/>
      <c r="V542" s="344"/>
      <c r="W542" s="475"/>
    </row>
    <row r="543" spans="2:23" x14ac:dyDescent="0.25">
      <c r="B543" s="375"/>
      <c r="C543" s="351"/>
      <c r="D543" s="361" t="s">
        <v>63</v>
      </c>
      <c r="E543" s="87" t="s">
        <v>549</v>
      </c>
      <c r="F543" s="576"/>
      <c r="G543" s="356"/>
      <c r="H543" s="576"/>
      <c r="I543" s="356"/>
      <c r="J543" s="21">
        <v>15</v>
      </c>
      <c r="K543" s="364"/>
      <c r="L543" s="80"/>
      <c r="M543" s="570"/>
      <c r="N543" s="570"/>
      <c r="O543" s="570"/>
      <c r="P543" s="571"/>
      <c r="R543" s="18">
        <f t="shared" si="8"/>
        <v>0</v>
      </c>
      <c r="S543" s="338"/>
      <c r="T543" s="344"/>
      <c r="U543" s="474"/>
      <c r="V543" s="344"/>
      <c r="W543" s="475"/>
    </row>
    <row r="544" spans="2:23" ht="39.6" x14ac:dyDescent="0.25">
      <c r="B544" s="375"/>
      <c r="C544" s="351"/>
      <c r="D544" s="361"/>
      <c r="E544" s="77" t="s">
        <v>550</v>
      </c>
      <c r="F544" s="576"/>
      <c r="G544" s="82">
        <f>'SQ_Auditoreingaben '!G529</f>
        <v>8</v>
      </c>
      <c r="H544" s="576"/>
      <c r="I544" s="69"/>
      <c r="J544" s="18">
        <v>5</v>
      </c>
      <c r="K544" s="364"/>
      <c r="L544" s="80"/>
      <c r="M544" s="570"/>
      <c r="N544" s="570"/>
      <c r="O544" s="570"/>
      <c r="P544" s="571"/>
      <c r="R544" s="18">
        <f t="shared" si="8"/>
        <v>0</v>
      </c>
      <c r="S544" s="338"/>
      <c r="T544" s="344"/>
      <c r="U544" s="474"/>
      <c r="V544" s="344"/>
      <c r="W544" s="475"/>
    </row>
    <row r="545" spans="2:23" ht="39.6" x14ac:dyDescent="0.25">
      <c r="B545" s="375"/>
      <c r="C545" s="351"/>
      <c r="D545" s="361"/>
      <c r="E545" s="77" t="s">
        <v>551</v>
      </c>
      <c r="F545" s="576"/>
      <c r="G545" s="82">
        <f>'SQ_Auditoreingaben '!G530</f>
        <v>7</v>
      </c>
      <c r="H545" s="576"/>
      <c r="I545" s="69"/>
      <c r="J545" s="18">
        <v>5</v>
      </c>
      <c r="K545" s="364"/>
      <c r="L545" s="80"/>
      <c r="M545" s="570"/>
      <c r="N545" s="570"/>
      <c r="O545" s="570"/>
      <c r="P545" s="571"/>
      <c r="R545" s="18">
        <f t="shared" si="8"/>
        <v>0</v>
      </c>
      <c r="S545" s="338"/>
      <c r="T545" s="344"/>
      <c r="U545" s="474"/>
      <c r="V545" s="344"/>
      <c r="W545" s="475"/>
    </row>
    <row r="546" spans="2:23" ht="39.6" x14ac:dyDescent="0.25">
      <c r="B546" s="375"/>
      <c r="C546" s="351"/>
      <c r="D546" s="361"/>
      <c r="E546" s="77" t="s">
        <v>552</v>
      </c>
      <c r="F546" s="576"/>
      <c r="G546" s="82" t="e">
        <f>'SQ_Auditoreingaben '!#REF!</f>
        <v>#REF!</v>
      </c>
      <c r="H546" s="576"/>
      <c r="I546" s="69"/>
      <c r="J546" s="18">
        <v>5</v>
      </c>
      <c r="K546" s="364"/>
      <c r="L546" s="80"/>
      <c r="M546" s="570"/>
      <c r="N546" s="570"/>
      <c r="O546" s="570"/>
      <c r="P546" s="571"/>
      <c r="R546" s="18">
        <f t="shared" si="8"/>
        <v>0</v>
      </c>
      <c r="S546" s="338"/>
      <c r="T546" s="344"/>
      <c r="U546" s="474"/>
      <c r="V546" s="344"/>
      <c r="W546" s="475"/>
    </row>
    <row r="547" spans="2:23" x14ac:dyDescent="0.25">
      <c r="B547" s="375"/>
      <c r="C547" s="351" t="s">
        <v>64</v>
      </c>
      <c r="D547" s="354" t="s">
        <v>553</v>
      </c>
      <c r="E547" s="354"/>
      <c r="F547" s="576"/>
      <c r="G547" s="113"/>
      <c r="H547" s="576"/>
      <c r="I547" s="113"/>
      <c r="J547" s="21">
        <v>10</v>
      </c>
      <c r="K547" s="364"/>
      <c r="L547" s="80"/>
      <c r="M547" s="570"/>
      <c r="N547" s="570"/>
      <c r="O547" s="570"/>
      <c r="P547" s="571"/>
      <c r="R547" s="18">
        <f t="shared" si="8"/>
        <v>0</v>
      </c>
      <c r="S547" s="338"/>
      <c r="T547" s="344"/>
      <c r="U547" s="474"/>
      <c r="V547" s="344"/>
      <c r="W547" s="475"/>
    </row>
    <row r="548" spans="2:23" ht="52.8" x14ac:dyDescent="0.25">
      <c r="B548" s="375"/>
      <c r="C548" s="351"/>
      <c r="D548" s="71" t="s">
        <v>66</v>
      </c>
      <c r="E548" s="77" t="s">
        <v>559</v>
      </c>
      <c r="F548" s="576"/>
      <c r="G548" s="82">
        <f>'SQ_Auditoreingaben '!G532</f>
        <v>10</v>
      </c>
      <c r="H548" s="576"/>
      <c r="I548" s="69"/>
      <c r="J548" s="18">
        <v>10</v>
      </c>
      <c r="K548" s="364"/>
      <c r="L548" s="80"/>
      <c r="M548" s="570"/>
      <c r="N548" s="570"/>
      <c r="O548" s="570"/>
      <c r="P548" s="571"/>
      <c r="R548" s="18">
        <f t="shared" si="8"/>
        <v>0</v>
      </c>
      <c r="S548" s="338"/>
      <c r="T548" s="344"/>
      <c r="U548" s="474"/>
      <c r="V548" s="344"/>
      <c r="W548" s="475"/>
    </row>
    <row r="549" spans="2:23" x14ac:dyDescent="0.25">
      <c r="B549" s="375"/>
      <c r="C549" s="351" t="s">
        <v>67</v>
      </c>
      <c r="D549" s="354" t="s">
        <v>554</v>
      </c>
      <c r="E549" s="354"/>
      <c r="F549" s="576"/>
      <c r="G549" s="113"/>
      <c r="H549" s="576"/>
      <c r="I549" s="113"/>
      <c r="J549" s="21">
        <v>20</v>
      </c>
      <c r="K549" s="364"/>
      <c r="L549" s="80"/>
      <c r="M549" s="570"/>
      <c r="N549" s="570"/>
      <c r="O549" s="570"/>
      <c r="P549" s="571"/>
      <c r="R549" s="18">
        <f t="shared" si="8"/>
        <v>0</v>
      </c>
      <c r="S549" s="338"/>
      <c r="T549" s="344"/>
      <c r="U549" s="474"/>
      <c r="V549" s="344"/>
      <c r="W549" s="475"/>
    </row>
    <row r="550" spans="2:23" ht="171.6" x14ac:dyDescent="0.25">
      <c r="B550" s="375"/>
      <c r="C550" s="351"/>
      <c r="D550" s="71" t="s">
        <v>69</v>
      </c>
      <c r="E550" s="114" t="s">
        <v>696</v>
      </c>
      <c r="F550" s="576"/>
      <c r="G550" s="82">
        <f>'SQ_Auditoreingaben '!G534</f>
        <v>10</v>
      </c>
      <c r="H550" s="576"/>
      <c r="I550" s="69"/>
      <c r="J550" s="18">
        <v>10</v>
      </c>
      <c r="K550" s="364"/>
      <c r="L550" s="80"/>
      <c r="M550" s="570"/>
      <c r="N550" s="570"/>
      <c r="O550" s="570"/>
      <c r="P550" s="571"/>
      <c r="R550" s="18">
        <f t="shared" si="8"/>
        <v>0</v>
      </c>
      <c r="S550" s="338"/>
      <c r="T550" s="344"/>
      <c r="U550" s="474"/>
      <c r="V550" s="344"/>
      <c r="W550" s="475"/>
    </row>
    <row r="551" spans="2:23" ht="105.6" x14ac:dyDescent="0.25">
      <c r="B551" s="375"/>
      <c r="C551" s="351"/>
      <c r="D551" s="71" t="s">
        <v>78</v>
      </c>
      <c r="E551" s="77" t="s">
        <v>697</v>
      </c>
      <c r="F551" s="576"/>
      <c r="G551" s="82">
        <f>'SQ_Auditoreingaben '!G535</f>
        <v>10</v>
      </c>
      <c r="H551" s="576"/>
      <c r="I551" s="69"/>
      <c r="J551" s="18">
        <v>10</v>
      </c>
      <c r="K551" s="364"/>
      <c r="L551" s="80"/>
      <c r="M551" s="570"/>
      <c r="N551" s="570"/>
      <c r="O551" s="570"/>
      <c r="P551" s="571"/>
      <c r="R551" s="18">
        <f t="shared" si="8"/>
        <v>0</v>
      </c>
      <c r="S551" s="338"/>
      <c r="T551" s="344"/>
      <c r="U551" s="474"/>
      <c r="V551" s="344"/>
      <c r="W551" s="475"/>
    </row>
    <row r="552" spans="2:23" x14ac:dyDescent="0.25">
      <c r="B552" s="375"/>
      <c r="C552" s="351" t="s">
        <v>154</v>
      </c>
      <c r="D552" s="354" t="s">
        <v>555</v>
      </c>
      <c r="E552" s="354"/>
      <c r="F552" s="576"/>
      <c r="G552" s="113"/>
      <c r="H552" s="576"/>
      <c r="I552" s="113"/>
      <c r="J552" s="21">
        <v>10</v>
      </c>
      <c r="K552" s="364"/>
      <c r="L552" s="80"/>
      <c r="M552" s="570"/>
      <c r="N552" s="570"/>
      <c r="O552" s="570"/>
      <c r="P552" s="571"/>
      <c r="R552" s="18">
        <f t="shared" si="8"/>
        <v>0</v>
      </c>
      <c r="S552" s="338"/>
      <c r="T552" s="344"/>
      <c r="U552" s="474"/>
      <c r="V552" s="344"/>
      <c r="W552" s="475"/>
    </row>
    <row r="553" spans="2:23" ht="53.4" thickBot="1" x14ac:dyDescent="0.3">
      <c r="B553" s="377"/>
      <c r="C553" s="389"/>
      <c r="D553" s="121" t="s">
        <v>156</v>
      </c>
      <c r="E553" s="97" t="s">
        <v>560</v>
      </c>
      <c r="F553" s="586"/>
      <c r="G553" s="98">
        <f>'SQ_Auditoreingaben '!G537</f>
        <v>10</v>
      </c>
      <c r="H553" s="586"/>
      <c r="I553" s="70"/>
      <c r="J553" s="59">
        <v>10</v>
      </c>
      <c r="K553" s="587"/>
      <c r="L553" s="99"/>
      <c r="M553" s="588"/>
      <c r="N553" s="588"/>
      <c r="O553" s="588"/>
      <c r="P553" s="589"/>
      <c r="R553" s="18">
        <f t="shared" si="8"/>
        <v>0</v>
      </c>
      <c r="S553" s="339"/>
      <c r="T553" s="365"/>
      <c r="U553" s="474"/>
      <c r="V553" s="365"/>
      <c r="W553" s="476"/>
    </row>
  </sheetData>
  <mergeCells count="1176">
    <mergeCell ref="M547:P547"/>
    <mergeCell ref="M536:P536"/>
    <mergeCell ref="M537:P537"/>
    <mergeCell ref="M538:P538"/>
    <mergeCell ref="M539:P539"/>
    <mergeCell ref="F227:F277"/>
    <mergeCell ref="G229:G230"/>
    <mergeCell ref="G239:G240"/>
    <mergeCell ref="G252:G253"/>
    <mergeCell ref="G262:G263"/>
    <mergeCell ref="G269:G270"/>
    <mergeCell ref="G274:G275"/>
    <mergeCell ref="M527:P527"/>
    <mergeCell ref="M528:P528"/>
    <mergeCell ref="M515:P515"/>
    <mergeCell ref="M516:P516"/>
    <mergeCell ref="M517:P517"/>
    <mergeCell ref="M518:P518"/>
    <mergeCell ref="M519:P519"/>
    <mergeCell ref="M468:P468"/>
    <mergeCell ref="M469:P469"/>
    <mergeCell ref="M470:P470"/>
    <mergeCell ref="M471:P471"/>
    <mergeCell ref="M472:P472"/>
    <mergeCell ref="M473:P473"/>
    <mergeCell ref="M509:P509"/>
    <mergeCell ref="M510:P510"/>
    <mergeCell ref="M511:P511"/>
    <mergeCell ref="M512:P512"/>
    <mergeCell ref="M513:P513"/>
    <mergeCell ref="M514:P514"/>
    <mergeCell ref="M499:P499"/>
    <mergeCell ref="G220:G221"/>
    <mergeCell ref="I509:I510"/>
    <mergeCell ref="G509:G510"/>
    <mergeCell ref="F510:F521"/>
    <mergeCell ref="G522:G523"/>
    <mergeCell ref="F523:F535"/>
    <mergeCell ref="G536:G537"/>
    <mergeCell ref="F537:F553"/>
    <mergeCell ref="G542:G543"/>
    <mergeCell ref="G438:G440"/>
    <mergeCell ref="F439:F457"/>
    <mergeCell ref="G458:G459"/>
    <mergeCell ref="F459:F484"/>
    <mergeCell ref="G485:G486"/>
    <mergeCell ref="G434:G435"/>
    <mergeCell ref="I349:I350"/>
    <mergeCell ref="F335:F348"/>
    <mergeCell ref="G349:G350"/>
    <mergeCell ref="F350:F369"/>
    <mergeCell ref="G370:G371"/>
    <mergeCell ref="F371:F390"/>
    <mergeCell ref="G374:G375"/>
    <mergeCell ref="G278:G280"/>
    <mergeCell ref="F279:F298"/>
    <mergeCell ref="G97:G99"/>
    <mergeCell ref="F98:F109"/>
    <mergeCell ref="G102:G103"/>
    <mergeCell ref="G50:G51"/>
    <mergeCell ref="F51:F70"/>
    <mergeCell ref="G63:G64"/>
    <mergeCell ref="G67:G68"/>
    <mergeCell ref="G71:G72"/>
    <mergeCell ref="F72:F79"/>
    <mergeCell ref="G110:G112"/>
    <mergeCell ref="F111:F139"/>
    <mergeCell ref="G134:G135"/>
    <mergeCell ref="G140:G141"/>
    <mergeCell ref="F141:F144"/>
    <mergeCell ref="G145:G146"/>
    <mergeCell ref="F146:F165"/>
    <mergeCell ref="F486:F508"/>
    <mergeCell ref="G488:G489"/>
    <mergeCell ref="G493:G494"/>
    <mergeCell ref="G502:G503"/>
    <mergeCell ref="G334:G335"/>
    <mergeCell ref="G299:G300"/>
    <mergeCell ref="F300:F315"/>
    <mergeCell ref="G316:G317"/>
    <mergeCell ref="F317:F333"/>
    <mergeCell ref="G226:G227"/>
    <mergeCell ref="G166:G167"/>
    <mergeCell ref="F167:F176"/>
    <mergeCell ref="G177:G179"/>
    <mergeCell ref="F178:F205"/>
    <mergeCell ref="G206:G208"/>
    <mergeCell ref="F207:F225"/>
    <mergeCell ref="M493:P493"/>
    <mergeCell ref="M494:P494"/>
    <mergeCell ref="M495:P495"/>
    <mergeCell ref="M496:P496"/>
    <mergeCell ref="M497:P497"/>
    <mergeCell ref="M498:P498"/>
    <mergeCell ref="M478:P478"/>
    <mergeCell ref="M479:P479"/>
    <mergeCell ref="M480:P480"/>
    <mergeCell ref="M481:P481"/>
    <mergeCell ref="M482:P482"/>
    <mergeCell ref="M432:P432"/>
    <mergeCell ref="M433:P433"/>
    <mergeCell ref="M462:P462"/>
    <mergeCell ref="M463:P463"/>
    <mergeCell ref="M464:P464"/>
    <mergeCell ref="M465:P465"/>
    <mergeCell ref="M466:P466"/>
    <mergeCell ref="M467:P467"/>
    <mergeCell ref="M456:P456"/>
    <mergeCell ref="M457:P457"/>
    <mergeCell ref="M458:P458"/>
    <mergeCell ref="M459:P459"/>
    <mergeCell ref="M460:P460"/>
    <mergeCell ref="M461:P461"/>
    <mergeCell ref="M450:P450"/>
    <mergeCell ref="M451:P451"/>
    <mergeCell ref="M452:P452"/>
    <mergeCell ref="M453:P453"/>
    <mergeCell ref="M454:P454"/>
    <mergeCell ref="M455:P455"/>
    <mergeCell ref="M423:P423"/>
    <mergeCell ref="M424:P424"/>
    <mergeCell ref="M412:P412"/>
    <mergeCell ref="M413:P413"/>
    <mergeCell ref="M414:P414"/>
    <mergeCell ref="M415:P415"/>
    <mergeCell ref="M416:P416"/>
    <mergeCell ref="M417:P417"/>
    <mergeCell ref="M405:P405"/>
    <mergeCell ref="M406:P406"/>
    <mergeCell ref="M407:P407"/>
    <mergeCell ref="M408:P408"/>
    <mergeCell ref="M409:P409"/>
    <mergeCell ref="M410:P410"/>
    <mergeCell ref="M429:P429"/>
    <mergeCell ref="M430:P430"/>
    <mergeCell ref="M431:P431"/>
    <mergeCell ref="M402:P402"/>
    <mergeCell ref="M403:P403"/>
    <mergeCell ref="M391:P391"/>
    <mergeCell ref="M392:P392"/>
    <mergeCell ref="M393:P393"/>
    <mergeCell ref="M394:P394"/>
    <mergeCell ref="M395:P395"/>
    <mergeCell ref="M396:P396"/>
    <mergeCell ref="M376:P376"/>
    <mergeCell ref="M377:P377"/>
    <mergeCell ref="M378:P378"/>
    <mergeCell ref="M379:P379"/>
    <mergeCell ref="M380:P380"/>
    <mergeCell ref="M381:P381"/>
    <mergeCell ref="M386:P386"/>
    <mergeCell ref="M419:P419"/>
    <mergeCell ref="M420:P420"/>
    <mergeCell ref="M370:P370"/>
    <mergeCell ref="M371:P371"/>
    <mergeCell ref="M372:P372"/>
    <mergeCell ref="M373:P373"/>
    <mergeCell ref="M374:P374"/>
    <mergeCell ref="M375:P375"/>
    <mergeCell ref="M364:P364"/>
    <mergeCell ref="M365:P365"/>
    <mergeCell ref="M366:P366"/>
    <mergeCell ref="M367:P367"/>
    <mergeCell ref="M368:P368"/>
    <mergeCell ref="M369:P369"/>
    <mergeCell ref="M357:P357"/>
    <mergeCell ref="M358:P358"/>
    <mergeCell ref="M359:P359"/>
    <mergeCell ref="M360:P360"/>
    <mergeCell ref="M361:P361"/>
    <mergeCell ref="M362:P362"/>
    <mergeCell ref="M311:P311"/>
    <mergeCell ref="M312:P312"/>
    <mergeCell ref="M313:P313"/>
    <mergeCell ref="M314:P314"/>
    <mergeCell ref="M315:P315"/>
    <mergeCell ref="M316:P316"/>
    <mergeCell ref="M350:P350"/>
    <mergeCell ref="M351:P351"/>
    <mergeCell ref="M352:P352"/>
    <mergeCell ref="M353:P353"/>
    <mergeCell ref="M354:P354"/>
    <mergeCell ref="M355:P355"/>
    <mergeCell ref="M340:P340"/>
    <mergeCell ref="M341:P341"/>
    <mergeCell ref="M342:P342"/>
    <mergeCell ref="M343:P343"/>
    <mergeCell ref="M344:P344"/>
    <mergeCell ref="M345:P345"/>
    <mergeCell ref="M334:P334"/>
    <mergeCell ref="M335:P335"/>
    <mergeCell ref="M336:P336"/>
    <mergeCell ref="M337:P337"/>
    <mergeCell ref="M338:P338"/>
    <mergeCell ref="M339:P339"/>
    <mergeCell ref="M347:P347"/>
    <mergeCell ref="M348:P348"/>
    <mergeCell ref="M349:P349"/>
    <mergeCell ref="M273:P273"/>
    <mergeCell ref="M274:P274"/>
    <mergeCell ref="M275:P275"/>
    <mergeCell ref="M276:P276"/>
    <mergeCell ref="M277:P277"/>
    <mergeCell ref="M305:P305"/>
    <mergeCell ref="M306:P306"/>
    <mergeCell ref="M307:P307"/>
    <mergeCell ref="M308:P308"/>
    <mergeCell ref="M309:P309"/>
    <mergeCell ref="M310:P310"/>
    <mergeCell ref="M299:P299"/>
    <mergeCell ref="M300:P300"/>
    <mergeCell ref="M301:P301"/>
    <mergeCell ref="M302:P302"/>
    <mergeCell ref="M303:P303"/>
    <mergeCell ref="M304:P304"/>
    <mergeCell ref="M293:P293"/>
    <mergeCell ref="M294:P294"/>
    <mergeCell ref="M295:P295"/>
    <mergeCell ref="M296:P296"/>
    <mergeCell ref="M297:P297"/>
    <mergeCell ref="M298:P298"/>
    <mergeCell ref="M269:P269"/>
    <mergeCell ref="M270:P270"/>
    <mergeCell ref="M260:P260"/>
    <mergeCell ref="M261:P261"/>
    <mergeCell ref="M262:P262"/>
    <mergeCell ref="M263:P263"/>
    <mergeCell ref="M264:P264"/>
    <mergeCell ref="M265:P265"/>
    <mergeCell ref="M253:P253"/>
    <mergeCell ref="M254:P254"/>
    <mergeCell ref="M255:P255"/>
    <mergeCell ref="M256:P256"/>
    <mergeCell ref="M257:P257"/>
    <mergeCell ref="M258:P258"/>
    <mergeCell ref="M243:P243"/>
    <mergeCell ref="M244:P244"/>
    <mergeCell ref="M245:P245"/>
    <mergeCell ref="M210:P210"/>
    <mergeCell ref="M211:P211"/>
    <mergeCell ref="M212:P212"/>
    <mergeCell ref="M237:P237"/>
    <mergeCell ref="M238:P238"/>
    <mergeCell ref="M239:P239"/>
    <mergeCell ref="M240:P240"/>
    <mergeCell ref="M241:P241"/>
    <mergeCell ref="M242:P242"/>
    <mergeCell ref="M231:P231"/>
    <mergeCell ref="M232:P232"/>
    <mergeCell ref="M233:P233"/>
    <mergeCell ref="M234:P234"/>
    <mergeCell ref="M235:P235"/>
    <mergeCell ref="M236:P236"/>
    <mergeCell ref="M266:P266"/>
    <mergeCell ref="M267:P267"/>
    <mergeCell ref="M246:P246"/>
    <mergeCell ref="M136:P136"/>
    <mergeCell ref="M137:P137"/>
    <mergeCell ref="M138:P138"/>
    <mergeCell ref="M139:P139"/>
    <mergeCell ref="M140:P140"/>
    <mergeCell ref="M141:P141"/>
    <mergeCell ref="M173:P173"/>
    <mergeCell ref="M174:P174"/>
    <mergeCell ref="M175:P175"/>
    <mergeCell ref="M176:P176"/>
    <mergeCell ref="M177:P177"/>
    <mergeCell ref="M178:P178"/>
    <mergeCell ref="M166:P166"/>
    <mergeCell ref="M167:P167"/>
    <mergeCell ref="M168:P168"/>
    <mergeCell ref="M169:P169"/>
    <mergeCell ref="M170:P170"/>
    <mergeCell ref="M171:P171"/>
    <mergeCell ref="M158:P158"/>
    <mergeCell ref="M159:P159"/>
    <mergeCell ref="M160:P160"/>
    <mergeCell ref="M161:P161"/>
    <mergeCell ref="M162:P162"/>
    <mergeCell ref="M163:P163"/>
    <mergeCell ref="M130:P130"/>
    <mergeCell ref="M131:P131"/>
    <mergeCell ref="M132:P132"/>
    <mergeCell ref="M133:P133"/>
    <mergeCell ref="M134:P134"/>
    <mergeCell ref="M135:P135"/>
    <mergeCell ref="M122:P122"/>
    <mergeCell ref="M123:P123"/>
    <mergeCell ref="M124:P124"/>
    <mergeCell ref="M125:P125"/>
    <mergeCell ref="M126:P126"/>
    <mergeCell ref="M127:P127"/>
    <mergeCell ref="M116:P116"/>
    <mergeCell ref="M117:P117"/>
    <mergeCell ref="M118:P118"/>
    <mergeCell ref="M119:P119"/>
    <mergeCell ref="M120:P120"/>
    <mergeCell ref="M121:P121"/>
    <mergeCell ref="M129:P129"/>
    <mergeCell ref="M65:P65"/>
    <mergeCell ref="M66:P66"/>
    <mergeCell ref="M67:P67"/>
    <mergeCell ref="M68:P68"/>
    <mergeCell ref="M69:P69"/>
    <mergeCell ref="M70:P70"/>
    <mergeCell ref="M109:P109"/>
    <mergeCell ref="M110:P110"/>
    <mergeCell ref="M111:P111"/>
    <mergeCell ref="M112:P112"/>
    <mergeCell ref="M113:P113"/>
    <mergeCell ref="M114:P114"/>
    <mergeCell ref="M97:P97"/>
    <mergeCell ref="M98:P98"/>
    <mergeCell ref="M99:P99"/>
    <mergeCell ref="M100:P100"/>
    <mergeCell ref="M101:P101"/>
    <mergeCell ref="M102:P102"/>
    <mergeCell ref="M90:P90"/>
    <mergeCell ref="M91:P91"/>
    <mergeCell ref="M92:P92"/>
    <mergeCell ref="M93:P93"/>
    <mergeCell ref="M94:P94"/>
    <mergeCell ref="M95:P95"/>
    <mergeCell ref="M58:P58"/>
    <mergeCell ref="M59:P59"/>
    <mergeCell ref="M60:P60"/>
    <mergeCell ref="M61:P61"/>
    <mergeCell ref="M62:P62"/>
    <mergeCell ref="M51:P51"/>
    <mergeCell ref="M52:P52"/>
    <mergeCell ref="M53:P53"/>
    <mergeCell ref="M54:P54"/>
    <mergeCell ref="M55:P55"/>
    <mergeCell ref="M56:P56"/>
    <mergeCell ref="M45:P45"/>
    <mergeCell ref="M46:P46"/>
    <mergeCell ref="M47:P47"/>
    <mergeCell ref="M48:P48"/>
    <mergeCell ref="M49:P49"/>
    <mergeCell ref="M50:P50"/>
    <mergeCell ref="M13:P13"/>
    <mergeCell ref="M14:P14"/>
    <mergeCell ref="M15:P15"/>
    <mergeCell ref="M16:P16"/>
    <mergeCell ref="M17:P17"/>
    <mergeCell ref="M18:P18"/>
    <mergeCell ref="F8:G8"/>
    <mergeCell ref="M8:P9"/>
    <mergeCell ref="L8:L9"/>
    <mergeCell ref="M10:P10"/>
    <mergeCell ref="M11:P11"/>
    <mergeCell ref="M12:P12"/>
    <mergeCell ref="M39:P39"/>
    <mergeCell ref="M40:P40"/>
    <mergeCell ref="M41:P41"/>
    <mergeCell ref="M42:P42"/>
    <mergeCell ref="M43:P43"/>
    <mergeCell ref="M33:P33"/>
    <mergeCell ref="M34:P34"/>
    <mergeCell ref="M35:P35"/>
    <mergeCell ref="M36:P36"/>
    <mergeCell ref="M37:P37"/>
    <mergeCell ref="M38:P38"/>
    <mergeCell ref="M27:P27"/>
    <mergeCell ref="M28:P28"/>
    <mergeCell ref="M29:P29"/>
    <mergeCell ref="M30:P30"/>
    <mergeCell ref="M31:P31"/>
    <mergeCell ref="M32:P32"/>
    <mergeCell ref="G10:G12"/>
    <mergeCell ref="F11:F24"/>
    <mergeCell ref="G20:G21"/>
    <mergeCell ref="C549:C551"/>
    <mergeCell ref="D549:E549"/>
    <mergeCell ref="C552:C553"/>
    <mergeCell ref="D552:E552"/>
    <mergeCell ref="M549:P549"/>
    <mergeCell ref="C547:C548"/>
    <mergeCell ref="D547:E547"/>
    <mergeCell ref="M548:P548"/>
    <mergeCell ref="C542:C546"/>
    <mergeCell ref="D542:E542"/>
    <mergeCell ref="I542:I543"/>
    <mergeCell ref="D543:D546"/>
    <mergeCell ref="C536:E536"/>
    <mergeCell ref="I536:I537"/>
    <mergeCell ref="S536:S553"/>
    <mergeCell ref="T536:T553"/>
    <mergeCell ref="B537:B553"/>
    <mergeCell ref="C537:C541"/>
    <mergeCell ref="D537:E537"/>
    <mergeCell ref="H537:H553"/>
    <mergeCell ref="K537:K553"/>
    <mergeCell ref="M540:P540"/>
    <mergeCell ref="M541:P541"/>
    <mergeCell ref="M550:P550"/>
    <mergeCell ref="M551:P551"/>
    <mergeCell ref="M552:P552"/>
    <mergeCell ref="M553:P553"/>
    <mergeCell ref="M542:P542"/>
    <mergeCell ref="M543:P543"/>
    <mergeCell ref="M544:P544"/>
    <mergeCell ref="M545:P545"/>
    <mergeCell ref="M546:P546"/>
    <mergeCell ref="C530:C532"/>
    <mergeCell ref="D530:E530"/>
    <mergeCell ref="C533:C535"/>
    <mergeCell ref="D533:E533"/>
    <mergeCell ref="D525:E525"/>
    <mergeCell ref="C528:C529"/>
    <mergeCell ref="D528:E528"/>
    <mergeCell ref="M529:P529"/>
    <mergeCell ref="S522:S535"/>
    <mergeCell ref="T522:T535"/>
    <mergeCell ref="B523:B535"/>
    <mergeCell ref="C523:C524"/>
    <mergeCell ref="D523:E523"/>
    <mergeCell ref="H523:H535"/>
    <mergeCell ref="K523:K535"/>
    <mergeCell ref="C525:C527"/>
    <mergeCell ref="C519:C521"/>
    <mergeCell ref="D519:E519"/>
    <mergeCell ref="C522:E522"/>
    <mergeCell ref="I522:I523"/>
    <mergeCell ref="M521:P521"/>
    <mergeCell ref="M522:P522"/>
    <mergeCell ref="M530:P530"/>
    <mergeCell ref="M531:P531"/>
    <mergeCell ref="M532:P532"/>
    <mergeCell ref="M533:P533"/>
    <mergeCell ref="M534:P534"/>
    <mergeCell ref="M535:P535"/>
    <mergeCell ref="M523:P523"/>
    <mergeCell ref="M524:P524"/>
    <mergeCell ref="M525:P525"/>
    <mergeCell ref="M526:P526"/>
    <mergeCell ref="C516:C518"/>
    <mergeCell ref="D516:E516"/>
    <mergeCell ref="C509:E509"/>
    <mergeCell ref="S509:S521"/>
    <mergeCell ref="T509:T521"/>
    <mergeCell ref="B510:B521"/>
    <mergeCell ref="C510:C515"/>
    <mergeCell ref="D510:E510"/>
    <mergeCell ref="H510:H521"/>
    <mergeCell ref="K510:K521"/>
    <mergeCell ref="M505:P505"/>
    <mergeCell ref="M506:P506"/>
    <mergeCell ref="M507:P507"/>
    <mergeCell ref="M508:P508"/>
    <mergeCell ref="C500:C501"/>
    <mergeCell ref="D500:E500"/>
    <mergeCell ref="C502:C508"/>
    <mergeCell ref="D502:E502"/>
    <mergeCell ref="I502:I503"/>
    <mergeCell ref="D503:D508"/>
    <mergeCell ref="M520:P520"/>
    <mergeCell ref="M500:P500"/>
    <mergeCell ref="M501:P501"/>
    <mergeCell ref="M502:P502"/>
    <mergeCell ref="M503:P503"/>
    <mergeCell ref="M504:P504"/>
    <mergeCell ref="D464:E464"/>
    <mergeCell ref="C493:C499"/>
    <mergeCell ref="D493:E493"/>
    <mergeCell ref="I493:I494"/>
    <mergeCell ref="D494:D499"/>
    <mergeCell ref="D488:E488"/>
    <mergeCell ref="I488:I489"/>
    <mergeCell ref="D489:D492"/>
    <mergeCell ref="M492:P492"/>
    <mergeCell ref="S485:S508"/>
    <mergeCell ref="T485:T508"/>
    <mergeCell ref="B486:B508"/>
    <mergeCell ref="C486:C487"/>
    <mergeCell ref="D486:E486"/>
    <mergeCell ref="H486:H508"/>
    <mergeCell ref="K486:K508"/>
    <mergeCell ref="C488:C492"/>
    <mergeCell ref="C483:C484"/>
    <mergeCell ref="D483:E483"/>
    <mergeCell ref="C485:E485"/>
    <mergeCell ref="I485:I486"/>
    <mergeCell ref="M483:P483"/>
    <mergeCell ref="M484:P484"/>
    <mergeCell ref="M485:P485"/>
    <mergeCell ref="T458:T484"/>
    <mergeCell ref="M486:P486"/>
    <mergeCell ref="M487:P487"/>
    <mergeCell ref="M488:P488"/>
    <mergeCell ref="M489:P489"/>
    <mergeCell ref="M490:P490"/>
    <mergeCell ref="M491:P491"/>
    <mergeCell ref="M477:P477"/>
    <mergeCell ref="V438:V553"/>
    <mergeCell ref="B439:B457"/>
    <mergeCell ref="C439:C442"/>
    <mergeCell ref="D439:E439"/>
    <mergeCell ref="H439:H457"/>
    <mergeCell ref="K439:K457"/>
    <mergeCell ref="D440:D442"/>
    <mergeCell ref="C438:E438"/>
    <mergeCell ref="I438:I440"/>
    <mergeCell ref="S438:S457"/>
    <mergeCell ref="T438:T457"/>
    <mergeCell ref="U438:U553"/>
    <mergeCell ref="C443:C449"/>
    <mergeCell ref="D443:E443"/>
    <mergeCell ref="C479:C482"/>
    <mergeCell ref="D479:E479"/>
    <mergeCell ref="C474:C478"/>
    <mergeCell ref="D474:E474"/>
    <mergeCell ref="M474:P474"/>
    <mergeCell ref="M475:P475"/>
    <mergeCell ref="M476:P476"/>
    <mergeCell ref="C469:C473"/>
    <mergeCell ref="D469:E469"/>
    <mergeCell ref="B459:B484"/>
    <mergeCell ref="C459:C463"/>
    <mergeCell ref="D459:E459"/>
    <mergeCell ref="H459:H484"/>
    <mergeCell ref="K459:K484"/>
    <mergeCell ref="C458:E458"/>
    <mergeCell ref="I458:I459"/>
    <mergeCell ref="S458:S484"/>
    <mergeCell ref="C464:C468"/>
    <mergeCell ref="D426:E426"/>
    <mergeCell ref="C428:C429"/>
    <mergeCell ref="D428:E428"/>
    <mergeCell ref="M426:P426"/>
    <mergeCell ref="M427:P427"/>
    <mergeCell ref="C424:C425"/>
    <mergeCell ref="D424:E424"/>
    <mergeCell ref="M425:P425"/>
    <mergeCell ref="G421:G422"/>
    <mergeCell ref="C421:E421"/>
    <mergeCell ref="I421:I422"/>
    <mergeCell ref="C450:C457"/>
    <mergeCell ref="D450:E450"/>
    <mergeCell ref="D453:D457"/>
    <mergeCell ref="D446:D449"/>
    <mergeCell ref="M448:P448"/>
    <mergeCell ref="M449:P449"/>
    <mergeCell ref="M442:P442"/>
    <mergeCell ref="M443:P443"/>
    <mergeCell ref="M444:P444"/>
    <mergeCell ref="M445:P445"/>
    <mergeCell ref="M446:P446"/>
    <mergeCell ref="M447:P447"/>
    <mergeCell ref="M436:P436"/>
    <mergeCell ref="M437:P437"/>
    <mergeCell ref="M438:P438"/>
    <mergeCell ref="M439:P439"/>
    <mergeCell ref="M440:P440"/>
    <mergeCell ref="M441:P441"/>
    <mergeCell ref="M428:P428"/>
    <mergeCell ref="M421:P421"/>
    <mergeCell ref="M422:P422"/>
    <mergeCell ref="S421:S437"/>
    <mergeCell ref="T421:T437"/>
    <mergeCell ref="B422:B437"/>
    <mergeCell ref="C422:C423"/>
    <mergeCell ref="D422:E422"/>
    <mergeCell ref="H422:H437"/>
    <mergeCell ref="K422:K437"/>
    <mergeCell ref="C416:C418"/>
    <mergeCell ref="D416:E416"/>
    <mergeCell ref="C419:C420"/>
    <mergeCell ref="D419:E419"/>
    <mergeCell ref="M418:P418"/>
    <mergeCell ref="C411:C412"/>
    <mergeCell ref="D411:E411"/>
    <mergeCell ref="C413:C415"/>
    <mergeCell ref="D413:E413"/>
    <mergeCell ref="M411:P411"/>
    <mergeCell ref="S391:S420"/>
    <mergeCell ref="T391:T420"/>
    <mergeCell ref="B392:B420"/>
    <mergeCell ref="C434:C437"/>
    <mergeCell ref="D434:E434"/>
    <mergeCell ref="I434:I435"/>
    <mergeCell ref="D435:D437"/>
    <mergeCell ref="M434:P434"/>
    <mergeCell ref="M435:P435"/>
    <mergeCell ref="C430:C431"/>
    <mergeCell ref="D430:E430"/>
    <mergeCell ref="C432:C433"/>
    <mergeCell ref="D432:E432"/>
    <mergeCell ref="F422:F437"/>
    <mergeCell ref="C426:C427"/>
    <mergeCell ref="D374:E374"/>
    <mergeCell ref="I374:I375"/>
    <mergeCell ref="D375:D377"/>
    <mergeCell ref="C407:C408"/>
    <mergeCell ref="D407:E407"/>
    <mergeCell ref="C409:C410"/>
    <mergeCell ref="D409:E409"/>
    <mergeCell ref="F392:F420"/>
    <mergeCell ref="G397:G398"/>
    <mergeCell ref="C402:C403"/>
    <mergeCell ref="D402:E402"/>
    <mergeCell ref="C404:C406"/>
    <mergeCell ref="D404:E404"/>
    <mergeCell ref="M404:P404"/>
    <mergeCell ref="C397:C401"/>
    <mergeCell ref="D397:E397"/>
    <mergeCell ref="I397:I398"/>
    <mergeCell ref="D398:D400"/>
    <mergeCell ref="M397:P397"/>
    <mergeCell ref="C394:C396"/>
    <mergeCell ref="D394:E394"/>
    <mergeCell ref="G391:G392"/>
    <mergeCell ref="C391:E391"/>
    <mergeCell ref="I391:I392"/>
    <mergeCell ref="C392:C393"/>
    <mergeCell ref="D392:E392"/>
    <mergeCell ref="H392:H420"/>
    <mergeCell ref="K392:K420"/>
    <mergeCell ref="M398:P398"/>
    <mergeCell ref="M399:P399"/>
    <mergeCell ref="M400:P400"/>
    <mergeCell ref="M401:P401"/>
    <mergeCell ref="C370:E370"/>
    <mergeCell ref="I370:I371"/>
    <mergeCell ref="S370:S390"/>
    <mergeCell ref="T370:T390"/>
    <mergeCell ref="B371:B390"/>
    <mergeCell ref="C371:C373"/>
    <mergeCell ref="D371:E371"/>
    <mergeCell ref="H371:H390"/>
    <mergeCell ref="K371:K390"/>
    <mergeCell ref="C367:C369"/>
    <mergeCell ref="D367:E367"/>
    <mergeCell ref="M363:P363"/>
    <mergeCell ref="C358:C360"/>
    <mergeCell ref="D358:E358"/>
    <mergeCell ref="C361:C366"/>
    <mergeCell ref="D361:E361"/>
    <mergeCell ref="D363:D365"/>
    <mergeCell ref="C387:C390"/>
    <mergeCell ref="D387:E387"/>
    <mergeCell ref="M387:P387"/>
    <mergeCell ref="M388:P388"/>
    <mergeCell ref="M389:P389"/>
    <mergeCell ref="M390:P390"/>
    <mergeCell ref="C383:C386"/>
    <mergeCell ref="D383:E383"/>
    <mergeCell ref="M383:P383"/>
    <mergeCell ref="M384:P384"/>
    <mergeCell ref="M385:P385"/>
    <mergeCell ref="C381:C382"/>
    <mergeCell ref="D381:E381"/>
    <mergeCell ref="M382:P382"/>
    <mergeCell ref="C374:C380"/>
    <mergeCell ref="C343:C346"/>
    <mergeCell ref="D343:E343"/>
    <mergeCell ref="D345:D346"/>
    <mergeCell ref="M346:P346"/>
    <mergeCell ref="V334:V437"/>
    <mergeCell ref="B335:B348"/>
    <mergeCell ref="C335:C340"/>
    <mergeCell ref="D335:E335"/>
    <mergeCell ref="H335:H348"/>
    <mergeCell ref="K335:K348"/>
    <mergeCell ref="C334:E334"/>
    <mergeCell ref="I334:I335"/>
    <mergeCell ref="S334:S348"/>
    <mergeCell ref="T334:T348"/>
    <mergeCell ref="U334:U437"/>
    <mergeCell ref="C341:C342"/>
    <mergeCell ref="D341:E341"/>
    <mergeCell ref="D352:E352"/>
    <mergeCell ref="C354:C357"/>
    <mergeCell ref="D354:E354"/>
    <mergeCell ref="M356:P356"/>
    <mergeCell ref="S349:S369"/>
    <mergeCell ref="T349:T369"/>
    <mergeCell ref="B350:B369"/>
    <mergeCell ref="C350:C351"/>
    <mergeCell ref="D350:E350"/>
    <mergeCell ref="H350:H369"/>
    <mergeCell ref="K350:K369"/>
    <mergeCell ref="C352:C353"/>
    <mergeCell ref="C347:C348"/>
    <mergeCell ref="D347:E347"/>
    <mergeCell ref="C349:E349"/>
    <mergeCell ref="C332:C333"/>
    <mergeCell ref="D332:E332"/>
    <mergeCell ref="M330:P330"/>
    <mergeCell ref="M331:P331"/>
    <mergeCell ref="M332:P332"/>
    <mergeCell ref="M333:P333"/>
    <mergeCell ref="M329:P329"/>
    <mergeCell ref="B317:B333"/>
    <mergeCell ref="C317:C322"/>
    <mergeCell ref="D317:E317"/>
    <mergeCell ref="H317:H333"/>
    <mergeCell ref="K317:K333"/>
    <mergeCell ref="C316:E316"/>
    <mergeCell ref="I316:I317"/>
    <mergeCell ref="S316:S333"/>
    <mergeCell ref="T316:T333"/>
    <mergeCell ref="C323:C331"/>
    <mergeCell ref="D323:E323"/>
    <mergeCell ref="M323:P323"/>
    <mergeCell ref="M324:P324"/>
    <mergeCell ref="M325:P325"/>
    <mergeCell ref="M326:P326"/>
    <mergeCell ref="M327:P327"/>
    <mergeCell ref="M328:P328"/>
    <mergeCell ref="M317:P317"/>
    <mergeCell ref="M318:P318"/>
    <mergeCell ref="M319:P319"/>
    <mergeCell ref="M320:P320"/>
    <mergeCell ref="M321:P321"/>
    <mergeCell ref="M322:P322"/>
    <mergeCell ref="T278:T298"/>
    <mergeCell ref="B279:B298"/>
    <mergeCell ref="C279:C291"/>
    <mergeCell ref="D279:E279"/>
    <mergeCell ref="H279:H298"/>
    <mergeCell ref="K279:K298"/>
    <mergeCell ref="C274:C277"/>
    <mergeCell ref="D274:E274"/>
    <mergeCell ref="I274:I275"/>
    <mergeCell ref="D275:D277"/>
    <mergeCell ref="C311:C315"/>
    <mergeCell ref="D311:E311"/>
    <mergeCell ref="D313:D315"/>
    <mergeCell ref="C304:C310"/>
    <mergeCell ref="D304:E304"/>
    <mergeCell ref="C299:E299"/>
    <mergeCell ref="I299:I300"/>
    <mergeCell ref="S299:S315"/>
    <mergeCell ref="T299:T315"/>
    <mergeCell ref="B300:B315"/>
    <mergeCell ref="C300:C303"/>
    <mergeCell ref="D300:E300"/>
    <mergeCell ref="H300:H315"/>
    <mergeCell ref="K300:K315"/>
    <mergeCell ref="C292:C298"/>
    <mergeCell ref="D292:E292"/>
    <mergeCell ref="M292:P292"/>
    <mergeCell ref="M285:P285"/>
    <mergeCell ref="M286:P286"/>
    <mergeCell ref="M287:P287"/>
    <mergeCell ref="M288:P288"/>
    <mergeCell ref="M289:P289"/>
    <mergeCell ref="C239:C251"/>
    <mergeCell ref="D239:E239"/>
    <mergeCell ref="I239:I240"/>
    <mergeCell ref="D240:D251"/>
    <mergeCell ref="D286:D288"/>
    <mergeCell ref="D289:D291"/>
    <mergeCell ref="M291:P291"/>
    <mergeCell ref="D280:D282"/>
    <mergeCell ref="D283:D285"/>
    <mergeCell ref="M284:P284"/>
    <mergeCell ref="C278:E278"/>
    <mergeCell ref="I278:I280"/>
    <mergeCell ref="S278:S298"/>
    <mergeCell ref="M247:P247"/>
    <mergeCell ref="M248:P248"/>
    <mergeCell ref="M249:P249"/>
    <mergeCell ref="M250:P250"/>
    <mergeCell ref="M251:P251"/>
    <mergeCell ref="M252:P252"/>
    <mergeCell ref="M271:P271"/>
    <mergeCell ref="M290:P290"/>
    <mergeCell ref="M278:P278"/>
    <mergeCell ref="M279:P279"/>
    <mergeCell ref="M280:P280"/>
    <mergeCell ref="M281:P281"/>
    <mergeCell ref="M282:P282"/>
    <mergeCell ref="M283:P283"/>
    <mergeCell ref="M272:P272"/>
    <mergeCell ref="S226:S277"/>
    <mergeCell ref="M226:P226"/>
    <mergeCell ref="M227:P227"/>
    <mergeCell ref="M268:P268"/>
    <mergeCell ref="T226:T277"/>
    <mergeCell ref="B227:B277"/>
    <mergeCell ref="C227:C228"/>
    <mergeCell ref="D227:E227"/>
    <mergeCell ref="H227:H277"/>
    <mergeCell ref="K227:K277"/>
    <mergeCell ref="C229:C238"/>
    <mergeCell ref="C226:E226"/>
    <mergeCell ref="I226:I227"/>
    <mergeCell ref="M222:P222"/>
    <mergeCell ref="M223:P223"/>
    <mergeCell ref="M224:P224"/>
    <mergeCell ref="C218:C219"/>
    <mergeCell ref="D218:E218"/>
    <mergeCell ref="C220:C225"/>
    <mergeCell ref="D220:E220"/>
    <mergeCell ref="I220:I221"/>
    <mergeCell ref="D221:D225"/>
    <mergeCell ref="C269:C273"/>
    <mergeCell ref="D269:E269"/>
    <mergeCell ref="I269:I270"/>
    <mergeCell ref="D270:D273"/>
    <mergeCell ref="C262:C268"/>
    <mergeCell ref="D262:E262"/>
    <mergeCell ref="I262:I263"/>
    <mergeCell ref="D263:D268"/>
    <mergeCell ref="M259:P259"/>
    <mergeCell ref="C252:C261"/>
    <mergeCell ref="D252:E252"/>
    <mergeCell ref="I252:I253"/>
    <mergeCell ref="D253:D261"/>
    <mergeCell ref="B207:B225"/>
    <mergeCell ref="M206:P206"/>
    <mergeCell ref="B178:B205"/>
    <mergeCell ref="D229:E229"/>
    <mergeCell ref="I229:I230"/>
    <mergeCell ref="D230:D238"/>
    <mergeCell ref="M197:P197"/>
    <mergeCell ref="M198:P198"/>
    <mergeCell ref="M199:P199"/>
    <mergeCell ref="M200:P200"/>
    <mergeCell ref="M201:P201"/>
    <mergeCell ref="M202:P202"/>
    <mergeCell ref="M191:P191"/>
    <mergeCell ref="M192:P192"/>
    <mergeCell ref="M193:P193"/>
    <mergeCell ref="M194:P194"/>
    <mergeCell ref="M195:P195"/>
    <mergeCell ref="M196:P196"/>
    <mergeCell ref="M184:P184"/>
    <mergeCell ref="M185:P185"/>
    <mergeCell ref="M186:P186"/>
    <mergeCell ref="M228:P228"/>
    <mergeCell ref="M229:P229"/>
    <mergeCell ref="M230:P230"/>
    <mergeCell ref="M216:P216"/>
    <mergeCell ref="M217:P217"/>
    <mergeCell ref="M218:P218"/>
    <mergeCell ref="M219:P219"/>
    <mergeCell ref="M220:P220"/>
    <mergeCell ref="M221:P221"/>
    <mergeCell ref="M207:P207"/>
    <mergeCell ref="M208:P208"/>
    <mergeCell ref="M209:P209"/>
    <mergeCell ref="S177:S205"/>
    <mergeCell ref="T177:T205"/>
    <mergeCell ref="C178:C190"/>
    <mergeCell ref="D178:E178"/>
    <mergeCell ref="H178:H205"/>
    <mergeCell ref="K178:K205"/>
    <mergeCell ref="D179:D181"/>
    <mergeCell ref="C214:C215"/>
    <mergeCell ref="D214:E214"/>
    <mergeCell ref="C216:C217"/>
    <mergeCell ref="D216:E216"/>
    <mergeCell ref="M214:P214"/>
    <mergeCell ref="M215:P215"/>
    <mergeCell ref="D211:D213"/>
    <mergeCell ref="M213:P213"/>
    <mergeCell ref="S206:S225"/>
    <mergeCell ref="T206:T225"/>
    <mergeCell ref="M187:P187"/>
    <mergeCell ref="M188:P188"/>
    <mergeCell ref="M189:P189"/>
    <mergeCell ref="M225:P225"/>
    <mergeCell ref="C207:C213"/>
    <mergeCell ref="D207:E207"/>
    <mergeCell ref="H207:H225"/>
    <mergeCell ref="K207:K225"/>
    <mergeCell ref="D208:D210"/>
    <mergeCell ref="C204:C205"/>
    <mergeCell ref="D204:E204"/>
    <mergeCell ref="C206:E206"/>
    <mergeCell ref="I206:I208"/>
    <mergeCell ref="M204:P204"/>
    <mergeCell ref="M205:P205"/>
    <mergeCell ref="C175:C176"/>
    <mergeCell ref="D175:E175"/>
    <mergeCell ref="C177:E177"/>
    <mergeCell ref="I177:I179"/>
    <mergeCell ref="M179:P179"/>
    <mergeCell ref="C173:C174"/>
    <mergeCell ref="D173:E173"/>
    <mergeCell ref="M172:P172"/>
    <mergeCell ref="S166:S176"/>
    <mergeCell ref="T166:T176"/>
    <mergeCell ref="U166:U333"/>
    <mergeCell ref="V166:V333"/>
    <mergeCell ref="B167:B176"/>
    <mergeCell ref="C167:C172"/>
    <mergeCell ref="D167:E167"/>
    <mergeCell ref="H167:H176"/>
    <mergeCell ref="K167:K176"/>
    <mergeCell ref="C200:C201"/>
    <mergeCell ref="D200:E200"/>
    <mergeCell ref="C202:C203"/>
    <mergeCell ref="D202:E202"/>
    <mergeCell ref="M203:P203"/>
    <mergeCell ref="C191:C199"/>
    <mergeCell ref="D191:E191"/>
    <mergeCell ref="D185:D187"/>
    <mergeCell ref="D188:D190"/>
    <mergeCell ref="M190:P190"/>
    <mergeCell ref="D182:D184"/>
    <mergeCell ref="M180:P180"/>
    <mergeCell ref="M181:P181"/>
    <mergeCell ref="M182:P182"/>
    <mergeCell ref="M183:P183"/>
    <mergeCell ref="D141:E141"/>
    <mergeCell ref="H141:H144"/>
    <mergeCell ref="K141:K144"/>
    <mergeCell ref="C163:C165"/>
    <mergeCell ref="D163:E163"/>
    <mergeCell ref="C166:E166"/>
    <mergeCell ref="I166:I167"/>
    <mergeCell ref="M164:P164"/>
    <mergeCell ref="M165:P165"/>
    <mergeCell ref="C157:C162"/>
    <mergeCell ref="D157:E157"/>
    <mergeCell ref="M157:P157"/>
    <mergeCell ref="C150:C151"/>
    <mergeCell ref="D150:E150"/>
    <mergeCell ref="C152:C156"/>
    <mergeCell ref="D152:E152"/>
    <mergeCell ref="C148:C149"/>
    <mergeCell ref="D148:E148"/>
    <mergeCell ref="C145:E145"/>
    <mergeCell ref="I145:I146"/>
    <mergeCell ref="M151:P151"/>
    <mergeCell ref="M152:P152"/>
    <mergeCell ref="M153:P153"/>
    <mergeCell ref="M154:P154"/>
    <mergeCell ref="M155:P155"/>
    <mergeCell ref="M156:P156"/>
    <mergeCell ref="M145:P145"/>
    <mergeCell ref="M146:P146"/>
    <mergeCell ref="M147:P147"/>
    <mergeCell ref="M148:P148"/>
    <mergeCell ref="M149:P149"/>
    <mergeCell ref="M150:P150"/>
    <mergeCell ref="C120:C133"/>
    <mergeCell ref="D120:E120"/>
    <mergeCell ref="D124:D127"/>
    <mergeCell ref="C117:C119"/>
    <mergeCell ref="D117:E117"/>
    <mergeCell ref="M115:P115"/>
    <mergeCell ref="S110:S139"/>
    <mergeCell ref="T110:T139"/>
    <mergeCell ref="B111:B139"/>
    <mergeCell ref="C111:C116"/>
    <mergeCell ref="D111:E111"/>
    <mergeCell ref="H111:H139"/>
    <mergeCell ref="K111:K139"/>
    <mergeCell ref="D112:D115"/>
    <mergeCell ref="S145:S165"/>
    <mergeCell ref="T145:T165"/>
    <mergeCell ref="B146:B165"/>
    <mergeCell ref="C146:C147"/>
    <mergeCell ref="D146:E146"/>
    <mergeCell ref="H146:H165"/>
    <mergeCell ref="K146:K165"/>
    <mergeCell ref="C143:C144"/>
    <mergeCell ref="D143:E143"/>
    <mergeCell ref="M142:P142"/>
    <mergeCell ref="M143:P143"/>
    <mergeCell ref="M144:P144"/>
    <mergeCell ref="C140:E140"/>
    <mergeCell ref="I140:I141"/>
    <mergeCell ref="S140:S144"/>
    <mergeCell ref="T140:T144"/>
    <mergeCell ref="B141:B144"/>
    <mergeCell ref="C141:C142"/>
    <mergeCell ref="C107:C109"/>
    <mergeCell ref="D107:E107"/>
    <mergeCell ref="C110:E110"/>
    <mergeCell ref="I110:I112"/>
    <mergeCell ref="M107:P107"/>
    <mergeCell ref="M108:P108"/>
    <mergeCell ref="D103:D105"/>
    <mergeCell ref="M103:P103"/>
    <mergeCell ref="M104:P104"/>
    <mergeCell ref="M105:P105"/>
    <mergeCell ref="M106:P106"/>
    <mergeCell ref="V97:V165"/>
    <mergeCell ref="B98:B109"/>
    <mergeCell ref="C98:C101"/>
    <mergeCell ref="D98:E98"/>
    <mergeCell ref="H98:H109"/>
    <mergeCell ref="K98:K109"/>
    <mergeCell ref="D99:D101"/>
    <mergeCell ref="C97:E97"/>
    <mergeCell ref="I97:I99"/>
    <mergeCell ref="S97:S109"/>
    <mergeCell ref="T97:T109"/>
    <mergeCell ref="U97:U165"/>
    <mergeCell ref="C102:C106"/>
    <mergeCell ref="D102:E102"/>
    <mergeCell ref="I102:I103"/>
    <mergeCell ref="C134:C139"/>
    <mergeCell ref="D134:E134"/>
    <mergeCell ref="I134:I135"/>
    <mergeCell ref="D135:D138"/>
    <mergeCell ref="D129:D133"/>
    <mergeCell ref="M128:P128"/>
    <mergeCell ref="C92:C93"/>
    <mergeCell ref="D92:E92"/>
    <mergeCell ref="C94:C96"/>
    <mergeCell ref="D94:E94"/>
    <mergeCell ref="M96:P96"/>
    <mergeCell ref="C88:C91"/>
    <mergeCell ref="D88:E88"/>
    <mergeCell ref="I88:I89"/>
    <mergeCell ref="D89:D91"/>
    <mergeCell ref="M88:P88"/>
    <mergeCell ref="M89:P89"/>
    <mergeCell ref="D83:E83"/>
    <mergeCell ref="C85:C87"/>
    <mergeCell ref="D85:E85"/>
    <mergeCell ref="S80:S96"/>
    <mergeCell ref="T80:T96"/>
    <mergeCell ref="B81:B96"/>
    <mergeCell ref="C81:C82"/>
    <mergeCell ref="D81:E81"/>
    <mergeCell ref="H81:H96"/>
    <mergeCell ref="K81:K96"/>
    <mergeCell ref="C83:C84"/>
    <mergeCell ref="M82:P82"/>
    <mergeCell ref="M83:P83"/>
    <mergeCell ref="M84:P84"/>
    <mergeCell ref="M85:P85"/>
    <mergeCell ref="M86:P86"/>
    <mergeCell ref="M87:P87"/>
    <mergeCell ref="G80:G81"/>
    <mergeCell ref="F81:F96"/>
    <mergeCell ref="G88:G89"/>
    <mergeCell ref="C78:C79"/>
    <mergeCell ref="C80:E80"/>
    <mergeCell ref="I80:I81"/>
    <mergeCell ref="M78:P78"/>
    <mergeCell ref="M79:P79"/>
    <mergeCell ref="M80:P80"/>
    <mergeCell ref="M81:P81"/>
    <mergeCell ref="C74:C75"/>
    <mergeCell ref="C76:C77"/>
    <mergeCell ref="M77:P77"/>
    <mergeCell ref="C71:E71"/>
    <mergeCell ref="I71:I72"/>
    <mergeCell ref="S71:S79"/>
    <mergeCell ref="T71:T79"/>
    <mergeCell ref="B72:B79"/>
    <mergeCell ref="C72:C73"/>
    <mergeCell ref="D72:E72"/>
    <mergeCell ref="H72:H79"/>
    <mergeCell ref="K72:K79"/>
    <mergeCell ref="M71:P71"/>
    <mergeCell ref="M72:P72"/>
    <mergeCell ref="M73:P73"/>
    <mergeCell ref="M74:P74"/>
    <mergeCell ref="M75:P75"/>
    <mergeCell ref="M76:P76"/>
    <mergeCell ref="S39:S49"/>
    <mergeCell ref="T39:T49"/>
    <mergeCell ref="B40:B49"/>
    <mergeCell ref="C40:C41"/>
    <mergeCell ref="D40:E40"/>
    <mergeCell ref="H40:H49"/>
    <mergeCell ref="K40:K49"/>
    <mergeCell ref="C67:C70"/>
    <mergeCell ref="D67:E67"/>
    <mergeCell ref="I67:I68"/>
    <mergeCell ref="D68:D70"/>
    <mergeCell ref="C63:C66"/>
    <mergeCell ref="D63:E63"/>
    <mergeCell ref="I63:I64"/>
    <mergeCell ref="D64:D66"/>
    <mergeCell ref="M63:P63"/>
    <mergeCell ref="M64:P64"/>
    <mergeCell ref="D58:D60"/>
    <mergeCell ref="C61:C62"/>
    <mergeCell ref="D61:E61"/>
    <mergeCell ref="T50:T70"/>
    <mergeCell ref="B51:B70"/>
    <mergeCell ref="C51:C60"/>
    <mergeCell ref="D51:E51"/>
    <mergeCell ref="H51:H70"/>
    <mergeCell ref="K51:K70"/>
    <mergeCell ref="D53:D57"/>
    <mergeCell ref="C50:E50"/>
    <mergeCell ref="I50:I51"/>
    <mergeCell ref="S50:S70"/>
    <mergeCell ref="M44:P44"/>
    <mergeCell ref="M57:P57"/>
    <mergeCell ref="K26:K38"/>
    <mergeCell ref="C20:C24"/>
    <mergeCell ref="D20:E20"/>
    <mergeCell ref="I20:I21"/>
    <mergeCell ref="D21:D23"/>
    <mergeCell ref="M20:P20"/>
    <mergeCell ref="C44:C45"/>
    <mergeCell ref="D44:E44"/>
    <mergeCell ref="C46:C49"/>
    <mergeCell ref="D46:E46"/>
    <mergeCell ref="I46:I47"/>
    <mergeCell ref="D47:D49"/>
    <mergeCell ref="C42:C43"/>
    <mergeCell ref="D42:E42"/>
    <mergeCell ref="F40:F49"/>
    <mergeCell ref="G46:G47"/>
    <mergeCell ref="C39:E39"/>
    <mergeCell ref="I39:I40"/>
    <mergeCell ref="M21:P21"/>
    <mergeCell ref="M22:P22"/>
    <mergeCell ref="M23:P23"/>
    <mergeCell ref="M24:P24"/>
    <mergeCell ref="M25:P25"/>
    <mergeCell ref="M26:P26"/>
    <mergeCell ref="G25:G26"/>
    <mergeCell ref="F26:F38"/>
    <mergeCell ref="G39:G40"/>
    <mergeCell ref="D16:E16"/>
    <mergeCell ref="C18:C19"/>
    <mergeCell ref="D18:E18"/>
    <mergeCell ref="M19:P19"/>
    <mergeCell ref="V10:V96"/>
    <mergeCell ref="W10:W553"/>
    <mergeCell ref="B11:B24"/>
    <mergeCell ref="C11:C15"/>
    <mergeCell ref="D11:E11"/>
    <mergeCell ref="H11:H24"/>
    <mergeCell ref="K11:K24"/>
    <mergeCell ref="D12:D15"/>
    <mergeCell ref="C10:E10"/>
    <mergeCell ref="I10:I12"/>
    <mergeCell ref="S10:S24"/>
    <mergeCell ref="T10:T24"/>
    <mergeCell ref="U10:U96"/>
    <mergeCell ref="C16:C17"/>
    <mergeCell ref="C34:C36"/>
    <mergeCell ref="D34:E34"/>
    <mergeCell ref="C37:C38"/>
    <mergeCell ref="D37:E37"/>
    <mergeCell ref="C31:C33"/>
    <mergeCell ref="D31:E31"/>
    <mergeCell ref="C25:E25"/>
    <mergeCell ref="I25:I26"/>
    <mergeCell ref="S25:S38"/>
    <mergeCell ref="T25:T38"/>
    <mergeCell ref="B26:B38"/>
    <mergeCell ref="C26:C30"/>
    <mergeCell ref="D26:E26"/>
    <mergeCell ref="H26:H38"/>
    <mergeCell ref="R8:R9"/>
    <mergeCell ref="S8:S9"/>
    <mergeCell ref="T8:T9"/>
    <mergeCell ref="U8:U9"/>
    <mergeCell ref="V8:V9"/>
    <mergeCell ref="W8:W9"/>
    <mergeCell ref="B6:D6"/>
    <mergeCell ref="H6:I6"/>
    <mergeCell ref="J6:K6"/>
    <mergeCell ref="L6:O6"/>
    <mergeCell ref="B8:B9"/>
    <mergeCell ref="C8:D9"/>
    <mergeCell ref="E8:E9"/>
    <mergeCell ref="H8:J8"/>
    <mergeCell ref="K8:K9"/>
    <mergeCell ref="B2:D2"/>
    <mergeCell ref="L2:N4"/>
    <mergeCell ref="O2:O4"/>
    <mergeCell ref="R2:W4"/>
    <mergeCell ref="B3:D3"/>
    <mergeCell ref="B4:D4"/>
    <mergeCell ref="E2:G2"/>
    <mergeCell ref="E3:G3"/>
    <mergeCell ref="E4:G4"/>
    <mergeCell ref="E6:G6"/>
  </mergeCells>
  <pageMargins left="0.7" right="0.7" top="0.78740157499999996" bottom="0.78740157499999996"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5FB93527-32B5-42F7-930E-24604AFC1B4B}">
            <x14:iconSet iconSet="3Symbols" showValue="0" custom="1">
              <x14:cfvo type="percent">
                <xm:f>0</xm:f>
              </x14:cfvo>
              <x14:cfvo type="num">
                <xm:f>2</xm:f>
              </x14:cfvo>
              <x14:cfvo type="num">
                <xm:f>3</xm:f>
              </x14:cfvo>
              <x14:cfIcon iconSet="3Symbols" iconId="2"/>
              <x14:cfIcon iconSet="3Symbols" iconId="1"/>
              <x14:cfIcon iconSet="3Symbols" iconId="0"/>
            </x14:iconSet>
          </x14:cfRule>
          <xm:sqref>L10:L553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3" tint="0.79998168889431442"/>
  </sheetPr>
  <dimension ref="B2:F48"/>
  <sheetViews>
    <sheetView view="pageBreakPreview" zoomScaleNormal="100" zoomScaleSheetLayoutView="100" workbookViewId="0"/>
  </sheetViews>
  <sheetFormatPr defaultColWidth="11.5546875" defaultRowHeight="13.2" x14ac:dyDescent="0.25"/>
  <cols>
    <col min="1" max="1" width="1.6640625" customWidth="1"/>
    <col min="2" max="2" width="9.6640625" customWidth="1"/>
    <col min="3" max="3" width="40.6640625" customWidth="1"/>
    <col min="4" max="6" width="17.6640625" customWidth="1"/>
    <col min="7" max="7" width="1.6640625" customWidth="1"/>
  </cols>
  <sheetData>
    <row r="2" spans="2:6" x14ac:dyDescent="0.25">
      <c r="C2" s="5" t="s">
        <v>1</v>
      </c>
      <c r="D2" s="549">
        <f>Deckblatt!C6</f>
        <v>0</v>
      </c>
      <c r="E2" s="549"/>
      <c r="F2" s="549"/>
    </row>
    <row r="3" spans="2:6" x14ac:dyDescent="0.25">
      <c r="C3" s="5" t="s">
        <v>2</v>
      </c>
      <c r="D3" s="549" t="str">
        <f>Deckblatt!C7</f>
        <v>Superquartier</v>
      </c>
      <c r="E3" s="549"/>
      <c r="F3" s="549"/>
    </row>
    <row r="4" spans="2:6" x14ac:dyDescent="0.25">
      <c r="C4" s="5" t="s">
        <v>4</v>
      </c>
      <c r="D4" s="549">
        <f>Deckblatt!C9</f>
        <v>0</v>
      </c>
      <c r="E4" s="549"/>
      <c r="F4" s="549"/>
    </row>
    <row r="6" spans="2:6" x14ac:dyDescent="0.25">
      <c r="B6" s="593" t="s">
        <v>704</v>
      </c>
      <c r="C6" s="593"/>
      <c r="D6" s="593"/>
      <c r="E6" s="593"/>
      <c r="F6" s="593"/>
    </row>
    <row r="7" spans="2:6" x14ac:dyDescent="0.25">
      <c r="B7" s="4" t="s">
        <v>638</v>
      </c>
    </row>
    <row r="9" spans="2:6" ht="26.4" x14ac:dyDescent="0.25">
      <c r="B9" s="11" t="s">
        <v>30</v>
      </c>
      <c r="C9" s="11" t="s">
        <v>31</v>
      </c>
      <c r="D9" s="13" t="s">
        <v>626</v>
      </c>
      <c r="E9" s="13" t="s">
        <v>627</v>
      </c>
      <c r="F9" s="11" t="s">
        <v>24</v>
      </c>
    </row>
    <row r="10" spans="2:6" x14ac:dyDescent="0.25">
      <c r="B10" s="14" t="str">
        <f>'SQ_Auditoreingaben '!$B$12</f>
        <v>ENV1.1</v>
      </c>
      <c r="C10" s="15" t="str">
        <f>'SQ_Auditoreingaben '!$C$12</f>
        <v>Ökobilanz</v>
      </c>
      <c r="D10" s="10">
        <f>'SQ_Auditoreingaben '!I12</f>
        <v>8</v>
      </c>
      <c r="E10" s="22">
        <f>'1. Prüfung'!H10</f>
        <v>0</v>
      </c>
      <c r="F10" s="12">
        <f>E10/100</f>
        <v>0</v>
      </c>
    </row>
    <row r="11" spans="2:6" x14ac:dyDescent="0.25">
      <c r="B11" s="14" t="str">
        <f>'SQ_Auditoreingaben '!$B$28</f>
        <v>ENV1.5</v>
      </c>
      <c r="C11" s="16" t="str">
        <f>'SQ_Auditoreingaben '!$C$28</f>
        <v>Stadtklima – Mesoklima</v>
      </c>
      <c r="D11" s="10">
        <f>'SQ_Auditoreingaben '!I28</f>
        <v>5</v>
      </c>
      <c r="E11" s="22">
        <f>'1. Prüfung'!H25</f>
        <v>0</v>
      </c>
      <c r="F11" s="12">
        <f t="shared" ref="F11:F37" si="0">E11/100</f>
        <v>0</v>
      </c>
    </row>
    <row r="12" spans="2:6" x14ac:dyDescent="0.25">
      <c r="B12" s="14" t="e">
        <f>'SQ_Auditoreingaben '!#REF!</f>
        <v>#REF!</v>
      </c>
      <c r="C12" s="16" t="e">
        <f>'SQ_Auditoreingaben '!#REF!</f>
        <v>#REF!</v>
      </c>
      <c r="D12" s="10" t="e">
        <f>'SQ_Auditoreingaben '!#REF!</f>
        <v>#REF!</v>
      </c>
      <c r="E12" s="22">
        <f>'1. Prüfung'!H39</f>
        <v>0</v>
      </c>
      <c r="F12" s="12">
        <f t="shared" si="0"/>
        <v>0</v>
      </c>
    </row>
    <row r="13" spans="2:6" x14ac:dyDescent="0.25">
      <c r="B13" s="14" t="str">
        <f>'SQ_Auditoreingaben '!$B$39</f>
        <v>ENV2.2</v>
      </c>
      <c r="C13" s="16" t="str">
        <f>'SQ_Auditoreingaben '!$C$39</f>
        <v>Wasserkreislaufsysteme</v>
      </c>
      <c r="D13" s="10">
        <f>'SQ_Auditoreingaben '!I39</f>
        <v>4</v>
      </c>
      <c r="E13" s="22">
        <f>'1. Prüfung'!H50</f>
        <v>0</v>
      </c>
      <c r="F13" s="12">
        <f t="shared" si="0"/>
        <v>0</v>
      </c>
    </row>
    <row r="14" spans="2:6" x14ac:dyDescent="0.25">
      <c r="B14" s="14" t="str">
        <f>'SQ_Auditoreingaben '!B59</f>
        <v>ENV2.3</v>
      </c>
      <c r="C14" s="16" t="str">
        <f>'SQ_Auditoreingaben '!C59</f>
        <v>Flächeninanspruchnahme</v>
      </c>
      <c r="D14" s="10">
        <f>'SQ_Auditoreingaben '!I59</f>
        <v>4</v>
      </c>
      <c r="E14" s="22">
        <f>'1. Prüfung'!H71</f>
        <v>0</v>
      </c>
      <c r="F14" s="12">
        <f t="shared" si="0"/>
        <v>0</v>
      </c>
    </row>
    <row r="15" spans="2:6" x14ac:dyDescent="0.25">
      <c r="B15" s="14" t="str">
        <f>'SQ_Auditoreingaben '!B70</f>
        <v>ENV2.4</v>
      </c>
      <c r="C15" s="15" t="str">
        <f>'SQ_Auditoreingaben '!C70</f>
        <v>Biodiversität</v>
      </c>
      <c r="D15" s="10">
        <f>'SQ_Auditoreingaben '!I70</f>
        <v>4</v>
      </c>
      <c r="E15" s="22">
        <f>'1. Prüfung'!H80</f>
        <v>0</v>
      </c>
      <c r="F15" s="12">
        <f t="shared" si="0"/>
        <v>0</v>
      </c>
    </row>
    <row r="16" spans="2:6" x14ac:dyDescent="0.25">
      <c r="B16" s="14" t="str">
        <f>'SQ_Auditoreingaben '!B87</f>
        <v>ECO1.1</v>
      </c>
      <c r="C16" s="16" t="str">
        <f>'SQ_Auditoreingaben '!C87</f>
        <v>Lebenszykluskosten</v>
      </c>
      <c r="D16" s="10">
        <f>'SQ_Auditoreingaben '!I87</f>
        <v>4</v>
      </c>
      <c r="E16" s="22">
        <f>'1. Prüfung'!H97</f>
        <v>0</v>
      </c>
      <c r="F16" s="12">
        <f t="shared" si="0"/>
        <v>0</v>
      </c>
    </row>
    <row r="17" spans="2:6" x14ac:dyDescent="0.25">
      <c r="B17" s="14" t="str">
        <f>'SQ_Auditoreingaben '!B100</f>
        <v>ECO2.1</v>
      </c>
      <c r="C17" s="16" t="str">
        <f>'SQ_Auditoreingaben '!C100</f>
        <v>Resilienz und Wandlungsfähigkeit</v>
      </c>
      <c r="D17" s="10">
        <f>'SQ_Auditoreingaben '!I100</f>
        <v>3</v>
      </c>
      <c r="E17" s="22">
        <f>'1. Prüfung'!H110</f>
        <v>0</v>
      </c>
      <c r="F17" s="12">
        <f t="shared" si="0"/>
        <v>0</v>
      </c>
    </row>
    <row r="18" spans="2:6" x14ac:dyDescent="0.25">
      <c r="B18" s="14" t="str">
        <f>'SQ_Auditoreingaben '!B127</f>
        <v>ECO2.3</v>
      </c>
      <c r="C18" s="16" t="str">
        <f>'SQ_Auditoreingaben '!C127</f>
        <v>Flächeneffizienz</v>
      </c>
      <c r="D18" s="10">
        <f>'SQ_Auditoreingaben '!I127</f>
        <v>3</v>
      </c>
      <c r="E18" s="22">
        <f>'1. Prüfung'!H140</f>
        <v>0</v>
      </c>
      <c r="F18" s="12">
        <f t="shared" si="0"/>
        <v>0</v>
      </c>
    </row>
    <row r="19" spans="2:6" x14ac:dyDescent="0.25">
      <c r="B19" s="14" t="str">
        <f>'SQ_Auditoreingaben '!B132</f>
        <v>ECO2.4</v>
      </c>
      <c r="C19" s="16" t="str">
        <f>'SQ_Auditoreingaben '!C132</f>
        <v>Wertstabilität</v>
      </c>
      <c r="D19" s="10">
        <f>'SQ_Auditoreingaben '!I132</f>
        <v>2</v>
      </c>
      <c r="E19" s="22">
        <f>'1. Prüfung'!H145</f>
        <v>0</v>
      </c>
      <c r="F19" s="12">
        <f t="shared" si="0"/>
        <v>0</v>
      </c>
    </row>
    <row r="20" spans="2:6" ht="26.1" customHeight="1" x14ac:dyDescent="0.25">
      <c r="B20" s="14" t="str">
        <f>'SQ_Auditoreingaben '!B159</f>
        <v>SOC1.1</v>
      </c>
      <c r="C20" s="16" t="str">
        <f>'SQ_Auditoreingaben '!C159</f>
        <v>Mikroklima – Thermischer Komfort im Freiraum</v>
      </c>
      <c r="D20" s="10">
        <f>'SQ_Auditoreingaben '!I159</f>
        <v>3</v>
      </c>
      <c r="E20" s="22">
        <f>'1. Prüfung'!H166</f>
        <v>0</v>
      </c>
      <c r="F20" s="12">
        <f t="shared" si="0"/>
        <v>0</v>
      </c>
    </row>
    <row r="21" spans="2:6" x14ac:dyDescent="0.25">
      <c r="B21" s="14" t="str">
        <f>'SQ_Auditoreingaben '!B170</f>
        <v>SOC1.6</v>
      </c>
      <c r="C21" s="16" t="str">
        <f>'SQ_Auditoreingaben '!C170</f>
        <v>Freiraum</v>
      </c>
      <c r="D21" s="10">
        <f>'SQ_Auditoreingaben '!I170</f>
        <v>4</v>
      </c>
      <c r="E21" s="22">
        <f>'1. Prüfung'!H177</f>
        <v>0</v>
      </c>
      <c r="F21" s="12">
        <f t="shared" si="0"/>
        <v>0</v>
      </c>
    </row>
    <row r="22" spans="2:6" x14ac:dyDescent="0.25">
      <c r="B22" s="14" t="str">
        <f>'SQ_Auditoreingaben '!B201</f>
        <v>SOC1.9</v>
      </c>
      <c r="C22" s="15" t="str">
        <f>'SQ_Auditoreingaben '!C201</f>
        <v>Emissionen / Immissionen</v>
      </c>
      <c r="D22" s="10">
        <f>'SQ_Auditoreingaben '!I201</f>
        <v>3</v>
      </c>
      <c r="E22" s="22">
        <f>'1. Prüfung'!H206</f>
        <v>0</v>
      </c>
      <c r="F22" s="12">
        <f t="shared" si="0"/>
        <v>0</v>
      </c>
    </row>
    <row r="23" spans="2:6" x14ac:dyDescent="0.25">
      <c r="B23" s="14" t="str">
        <f>'SQ_Auditoreingaben '!B222</f>
        <v>SOC2.1</v>
      </c>
      <c r="C23" s="15" t="str">
        <f>'SQ_Auditoreingaben '!C222</f>
        <v>Barrierefreiheit</v>
      </c>
      <c r="D23" s="10">
        <f>'SQ_Auditoreingaben '!I222</f>
        <v>3</v>
      </c>
      <c r="E23" s="22">
        <f>'1. Prüfung'!H226</f>
        <v>0</v>
      </c>
      <c r="F23" s="12">
        <f t="shared" si="0"/>
        <v>0</v>
      </c>
    </row>
    <row r="24" spans="2:6" x14ac:dyDescent="0.25">
      <c r="B24" s="14" t="str">
        <f>'SQ_Auditoreingaben '!B273</f>
        <v>SOC3.1</v>
      </c>
      <c r="C24" s="15" t="str">
        <f>'SQ_Auditoreingaben '!C273</f>
        <v>Städtebau</v>
      </c>
      <c r="D24" s="10">
        <f>'SQ_Auditoreingaben '!I273</f>
        <v>3</v>
      </c>
      <c r="E24" s="22">
        <f>'1. Prüfung'!H278</f>
        <v>0</v>
      </c>
      <c r="F24" s="12">
        <f t="shared" si="0"/>
        <v>0</v>
      </c>
    </row>
    <row r="25" spans="2:6" x14ac:dyDescent="0.25">
      <c r="B25" s="14" t="str">
        <f>'SQ_Auditoreingaben '!B297</f>
        <v>SOC3.2</v>
      </c>
      <c r="C25" s="15" t="str">
        <f>'SQ_Auditoreingaben '!C297</f>
        <v>Soziale und Funktionale Mischung</v>
      </c>
      <c r="D25" s="10">
        <f>'SQ_Auditoreingaben '!I297</f>
        <v>4</v>
      </c>
      <c r="E25" s="22">
        <f>'1. Prüfung'!H299</f>
        <v>0</v>
      </c>
      <c r="F25" s="12">
        <f t="shared" si="0"/>
        <v>0</v>
      </c>
    </row>
    <row r="26" spans="2:6" ht="26.4" x14ac:dyDescent="0.25">
      <c r="B26" s="14" t="str">
        <f>'SQ_Auditoreingaben '!B313</f>
        <v>SOC3.3.</v>
      </c>
      <c r="C26" s="15" t="str">
        <f>'SQ_Auditoreingaben '!C313</f>
        <v>Soziale und Erwerbswirtschaftliche Infrastruktur</v>
      </c>
      <c r="D26" s="10">
        <f>'SQ_Auditoreingaben '!I313</f>
        <v>3</v>
      </c>
      <c r="E26" s="22">
        <f>'1. Prüfung'!H316</f>
        <v>0</v>
      </c>
      <c r="F26" s="12">
        <f t="shared" si="0"/>
        <v>0</v>
      </c>
    </row>
    <row r="27" spans="2:6" x14ac:dyDescent="0.25">
      <c r="B27" s="14" t="str">
        <f>'SQ_Auditoreingaben '!B331</f>
        <v>TEC2.1</v>
      </c>
      <c r="C27" s="15" t="str">
        <f>'SQ_Auditoreingaben '!C331</f>
        <v>Energieinfrastruktur</v>
      </c>
      <c r="D27" s="10">
        <f>'SQ_Auditoreingaben '!I331</f>
        <v>4</v>
      </c>
      <c r="E27" s="22">
        <f>'1. Prüfung'!H334</f>
        <v>0</v>
      </c>
      <c r="F27" s="12">
        <f t="shared" si="0"/>
        <v>0</v>
      </c>
    </row>
    <row r="28" spans="2:6" x14ac:dyDescent="0.25">
      <c r="B28" s="14" t="str">
        <f>'SQ_Auditoreingaben '!B348</f>
        <v>TEC2.2</v>
      </c>
      <c r="C28" s="15" t="str">
        <f>'SQ_Auditoreingaben '!C348</f>
        <v>Wertstoffmanagement</v>
      </c>
      <c r="D28" s="10">
        <f>'SQ_Auditoreingaben '!I348</f>
        <v>2</v>
      </c>
      <c r="E28" s="22">
        <f>'1. Prüfung'!H349</f>
        <v>0</v>
      </c>
      <c r="F28" s="12">
        <f t="shared" si="0"/>
        <v>0</v>
      </c>
    </row>
    <row r="29" spans="2:6" x14ac:dyDescent="0.25">
      <c r="B29" s="14" t="str">
        <f>'SQ_Auditoreingaben '!B367</f>
        <v>TEC2.4</v>
      </c>
      <c r="C29" s="15" t="str">
        <f>'SQ_Auditoreingaben '!C367</f>
        <v>Smart Infrastructure</v>
      </c>
      <c r="D29" s="10">
        <f>'SQ_Auditoreingaben '!I367</f>
        <v>2</v>
      </c>
      <c r="E29" s="22">
        <f>'1. Prüfung'!H370</f>
        <v>0</v>
      </c>
      <c r="F29" s="12">
        <f t="shared" si="0"/>
        <v>0</v>
      </c>
    </row>
    <row r="30" spans="2:6" ht="26.1" customHeight="1" x14ac:dyDescent="0.25">
      <c r="B30" s="14" t="str">
        <f>'SQ_Auditoreingaben '!B380</f>
        <v>TEC3.1</v>
      </c>
      <c r="C30" s="15" t="str">
        <f>'SQ_Auditoreingaben '!C380</f>
        <v>Mobilitätsinfrastruktur– Motorisierter Verkehr</v>
      </c>
      <c r="D30" s="10">
        <f>'SQ_Auditoreingaben '!I380</f>
        <v>5</v>
      </c>
      <c r="E30" s="22">
        <f>'1. Prüfung'!H391</f>
        <v>0</v>
      </c>
      <c r="F30" s="12">
        <f t="shared" si="0"/>
        <v>0</v>
      </c>
    </row>
    <row r="31" spans="2:6" ht="26.1" customHeight="1" x14ac:dyDescent="0.25">
      <c r="B31" s="14" t="str">
        <f>'SQ_Auditoreingaben '!B407</f>
        <v>TEC3.2</v>
      </c>
      <c r="C31" s="15" t="str">
        <f>'SQ_Auditoreingaben '!C407</f>
        <v>Mobilitätsinfrastruktur– Nicht Motorisierter Verkehr</v>
      </c>
      <c r="D31" s="10">
        <f>'SQ_Auditoreingaben '!I407</f>
        <v>5</v>
      </c>
      <c r="E31" s="22">
        <f>'1. Prüfung'!H421</f>
        <v>0</v>
      </c>
      <c r="F31" s="12">
        <f t="shared" si="0"/>
        <v>0</v>
      </c>
    </row>
    <row r="32" spans="2:6" x14ac:dyDescent="0.25">
      <c r="B32" s="14" t="str">
        <f>'SQ_Auditoreingaben '!B424</f>
        <v>PRO1.2</v>
      </c>
      <c r="C32" s="15" t="str">
        <f>'SQ_Auditoreingaben '!C424</f>
        <v>Integrale Planung</v>
      </c>
      <c r="D32" s="10">
        <f>'SQ_Auditoreingaben '!I424</f>
        <v>3</v>
      </c>
      <c r="E32" s="22">
        <f>'1. Prüfung'!H438</f>
        <v>0</v>
      </c>
      <c r="F32" s="12">
        <f t="shared" si="0"/>
        <v>0</v>
      </c>
    </row>
    <row r="33" spans="2:6" x14ac:dyDescent="0.25">
      <c r="B33" s="14" t="str">
        <f>'SQ_Auditoreingaben '!B444</f>
        <v>PRO1.7</v>
      </c>
      <c r="C33" s="15" t="str">
        <f>'SQ_Auditoreingaben '!C444</f>
        <v>Partizipation</v>
      </c>
      <c r="D33" s="10">
        <f>'SQ_Auditoreingaben '!I444</f>
        <v>2</v>
      </c>
      <c r="E33" s="22">
        <f>'1. Prüfung'!H458</f>
        <v>0</v>
      </c>
      <c r="F33" s="12">
        <f t="shared" si="0"/>
        <v>0</v>
      </c>
    </row>
    <row r="34" spans="2:6" x14ac:dyDescent="0.25">
      <c r="B34" s="14" t="str">
        <f>'SQ_Auditoreingaben '!B471</f>
        <v>PRO1.8</v>
      </c>
      <c r="C34" s="15" t="str">
        <f>'SQ_Auditoreingaben '!C471</f>
        <v>Projektmanagement</v>
      </c>
      <c r="D34" s="10">
        <f>'SQ_Auditoreingaben '!I471</f>
        <v>2</v>
      </c>
      <c r="E34" s="22">
        <f>'1. Prüfung'!H485</f>
        <v>0</v>
      </c>
      <c r="F34" s="12">
        <f t="shared" si="0"/>
        <v>0</v>
      </c>
    </row>
    <row r="35" spans="2:6" x14ac:dyDescent="0.25">
      <c r="B35" s="14" t="str">
        <f>'SQ_Auditoreingaben '!B493</f>
        <v>PRO1.9</v>
      </c>
      <c r="C35" s="15" t="str">
        <f>'SQ_Auditoreingaben '!C493</f>
        <v>Governance</v>
      </c>
      <c r="D35" s="10">
        <f>'SQ_Auditoreingaben '!I493</f>
        <v>2</v>
      </c>
      <c r="E35" s="22">
        <f>'1. Prüfung'!H509</f>
        <v>0</v>
      </c>
      <c r="F35" s="12">
        <f t="shared" si="0"/>
        <v>0</v>
      </c>
    </row>
    <row r="36" spans="2:6" x14ac:dyDescent="0.25">
      <c r="B36" s="14" t="str">
        <f>'SQ_Auditoreingaben '!B506</f>
        <v>PRO2.1</v>
      </c>
      <c r="C36" s="15" t="str">
        <f>'SQ_Auditoreingaben '!C506</f>
        <v>Baustelle, Bauprozesse</v>
      </c>
      <c r="D36" s="10">
        <f>'SQ_Auditoreingaben '!I506</f>
        <v>1</v>
      </c>
      <c r="E36" s="22">
        <f>'1. Prüfung'!H522</f>
        <v>0</v>
      </c>
      <c r="F36" s="12">
        <f t="shared" si="0"/>
        <v>0</v>
      </c>
    </row>
    <row r="37" spans="2:6" x14ac:dyDescent="0.25">
      <c r="B37" s="14" t="str">
        <f>'SQ_Auditoreingaben '!B521</f>
        <v>PRO3.5</v>
      </c>
      <c r="C37" s="15" t="str">
        <f>'SQ_Auditoreingaben '!C521</f>
        <v>Qualitätssicherung &amp; Monitoring</v>
      </c>
      <c r="D37" s="10">
        <f>'SQ_Auditoreingaben '!I521</f>
        <v>2</v>
      </c>
      <c r="E37" s="22">
        <f>'1. Prüfung'!H536</f>
        <v>0</v>
      </c>
      <c r="F37" s="12">
        <f t="shared" si="0"/>
        <v>0</v>
      </c>
    </row>
    <row r="39" spans="2:6" x14ac:dyDescent="0.25">
      <c r="B39" s="598" t="s">
        <v>6</v>
      </c>
      <c r="C39" s="598"/>
      <c r="D39" s="11" t="s">
        <v>629</v>
      </c>
      <c r="E39" s="11" t="s">
        <v>24</v>
      </c>
    </row>
    <row r="40" spans="2:6" x14ac:dyDescent="0.25">
      <c r="B40" s="550" t="s">
        <v>630</v>
      </c>
      <c r="C40" s="550"/>
      <c r="D40" s="12">
        <f>'SQ_Auditoreingaben '!S12</f>
        <v>0.2</v>
      </c>
      <c r="E40" s="12">
        <f>'1. Prüfung'!I2</f>
        <v>0</v>
      </c>
    </row>
    <row r="41" spans="2:6" x14ac:dyDescent="0.25">
      <c r="B41" s="550" t="s">
        <v>631</v>
      </c>
      <c r="C41" s="550"/>
      <c r="D41" s="12">
        <f>'SQ_Auditoreingaben '!S87</f>
        <v>0.2</v>
      </c>
      <c r="E41" s="12">
        <f>'1. Prüfung'!I3</f>
        <v>0</v>
      </c>
    </row>
    <row r="42" spans="2:6" x14ac:dyDescent="0.25">
      <c r="B42" s="550" t="s">
        <v>632</v>
      </c>
      <c r="C42" s="550"/>
      <c r="D42" s="12">
        <f>'SQ_Auditoreingaben '!S159</f>
        <v>0.2</v>
      </c>
      <c r="E42" s="12">
        <f>'1. Prüfung'!I4</f>
        <v>0</v>
      </c>
    </row>
    <row r="43" spans="2:6" x14ac:dyDescent="0.25">
      <c r="B43" s="550" t="s">
        <v>633</v>
      </c>
      <c r="C43" s="550"/>
      <c r="D43" s="12">
        <f>'SQ_Auditoreingaben '!S331</f>
        <v>0.2</v>
      </c>
      <c r="E43" s="12">
        <f>'1. Prüfung'!K2</f>
        <v>0</v>
      </c>
    </row>
    <row r="44" spans="2:6" x14ac:dyDescent="0.25">
      <c r="B44" s="550" t="s">
        <v>634</v>
      </c>
      <c r="C44" s="550"/>
      <c r="D44" s="12">
        <f>'SQ_Auditoreingaben '!S424</f>
        <v>0.2</v>
      </c>
      <c r="E44" s="12">
        <f>'1. Prüfung'!K3</f>
        <v>0</v>
      </c>
    </row>
    <row r="45" spans="2:6" x14ac:dyDescent="0.25">
      <c r="B45" s="596" t="s">
        <v>635</v>
      </c>
      <c r="C45" s="597"/>
      <c r="D45" s="597"/>
      <c r="E45" s="597"/>
    </row>
    <row r="46" spans="2:6" x14ac:dyDescent="0.25">
      <c r="B46" s="550" t="s">
        <v>28</v>
      </c>
      <c r="C46" s="550"/>
      <c r="D46" s="594">
        <f>'1. Prüfung'!O2</f>
        <v>0</v>
      </c>
      <c r="E46" s="595"/>
    </row>
    <row r="47" spans="2:6" x14ac:dyDescent="0.25">
      <c r="B47" s="550" t="s">
        <v>636</v>
      </c>
      <c r="C47" s="550"/>
      <c r="D47" s="599" t="str">
        <f>IF(AND(E40&gt;=65/100,E41&gt;=65/100,E42&gt;=65/100,E43&gt;=65/100,E44&gt;=65/100),"Nebenanforderung Platin erfüllt",IF(AND(E40&gt;=1/2,E41&gt;=1/2,E42&gt;=1/2,E43&gt;=1/2,E44&gt;=1/2),"Nebenanforderung Gold erfüllt",IF(AND(E40&gt;=35/100,E41&gt;=35/100,E42&gt;=35/100,E43&gt;=35/100,E44&gt;=35/100),"Nebenanforderung Silber erfüllt","Nebenanforderung nicht erfüllt")))</f>
        <v>Nebenanforderung nicht erfüllt</v>
      </c>
      <c r="E47" s="600"/>
    </row>
    <row r="48" spans="2:6" x14ac:dyDescent="0.25">
      <c r="B48" s="550" t="s">
        <v>637</v>
      </c>
      <c r="C48" s="550"/>
      <c r="D48" s="599" t="str">
        <f>IF(AND(E40&gt;=65/100,E41&gt;=65/100,E42&gt;=65/100,E43&gt;=65/100,E44&gt;=65/100,D46&gt;=4/5),"PLATIN",IF(AND(E40&gt;=1/2,E41&gt;=1/2,E42&gt;=1/2,E43&gt;=1/2,E44&gt;=1/2,D46&gt;=65/100),"GOLD",IF(AND(E40&gt;=35/100,E41&gt;=35/100,E42&gt;=35/100,E43&gt;=35/100,E44&gt;=35/100,D46&gt;=1/2),"SILBER","keine Auszeichnung")))</f>
        <v>keine Auszeichnung</v>
      </c>
      <c r="E48" s="600"/>
    </row>
  </sheetData>
  <mergeCells count="17">
    <mergeCell ref="D47:E47"/>
    <mergeCell ref="D48:E48"/>
    <mergeCell ref="B47:C47"/>
    <mergeCell ref="B48:C48"/>
    <mergeCell ref="B46:C46"/>
    <mergeCell ref="D2:F2"/>
    <mergeCell ref="D3:F3"/>
    <mergeCell ref="D4:F4"/>
    <mergeCell ref="B6:F6"/>
    <mergeCell ref="D46:E46"/>
    <mergeCell ref="B40:C40"/>
    <mergeCell ref="B41:C41"/>
    <mergeCell ref="B45:E45"/>
    <mergeCell ref="B39:C39"/>
    <mergeCell ref="B42:C42"/>
    <mergeCell ref="B43:C43"/>
    <mergeCell ref="B44:C44"/>
  </mergeCells>
  <pageMargins left="0.7" right="0.7" top="0.78740157499999996" bottom="0.78740157499999996" header="0.3" footer="0.3"/>
  <pageSetup paperSize="9" scale="83"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3" tint="0.39997558519241921"/>
  </sheetPr>
  <dimension ref="B1:Z553"/>
  <sheetViews>
    <sheetView zoomScale="85" zoomScaleNormal="85" workbookViewId="0"/>
  </sheetViews>
  <sheetFormatPr defaultColWidth="11.44140625" defaultRowHeight="13.2" outlineLevelCol="1" x14ac:dyDescent="0.25"/>
  <cols>
    <col min="1" max="1" width="1.6640625" style="17" customWidth="1"/>
    <col min="2" max="2" width="8.6640625" style="17" customWidth="1"/>
    <col min="3" max="3" width="3.6640625" style="17" customWidth="1"/>
    <col min="4" max="4" width="8.6640625" style="17" customWidth="1"/>
    <col min="5" max="5" width="60.6640625" style="17" customWidth="1"/>
    <col min="6" max="13" width="12.6640625" style="17" customWidth="1"/>
    <col min="14" max="15" width="3.6640625" style="17" customWidth="1"/>
    <col min="16" max="16" width="6.6640625" style="17" customWidth="1"/>
    <col min="17" max="17" width="12.6640625" style="17" customWidth="1"/>
    <col min="18" max="18" width="36.6640625" style="17" customWidth="1"/>
    <col min="19" max="19" width="1.6640625" style="17" customWidth="1"/>
    <col min="20" max="25" width="11.44140625" style="34" hidden="1" customWidth="1" outlineLevel="1"/>
    <col min="26" max="26" width="11.44140625" style="17" collapsed="1"/>
    <col min="27" max="16384" width="11.44140625" style="17"/>
  </cols>
  <sheetData>
    <row r="1" spans="2:25" ht="13.8" thickBot="1" x14ac:dyDescent="0.3"/>
    <row r="2" spans="2:25" ht="26.1" customHeight="1" x14ac:dyDescent="0.25">
      <c r="B2" s="467" t="s">
        <v>1</v>
      </c>
      <c r="C2" s="457"/>
      <c r="D2" s="457"/>
      <c r="E2" s="557">
        <f>Deckblatt!C6</f>
        <v>0</v>
      </c>
      <c r="F2" s="558"/>
      <c r="G2" s="558"/>
      <c r="H2" s="558"/>
      <c r="I2" s="559"/>
      <c r="J2" s="36" t="s">
        <v>37</v>
      </c>
      <c r="K2" s="118">
        <f>ROUNDDOWN(X10,3)</f>
        <v>0</v>
      </c>
      <c r="L2" s="36" t="s">
        <v>39</v>
      </c>
      <c r="M2" s="37">
        <f>ROUNDDOWN(X334,3)</f>
        <v>0</v>
      </c>
      <c r="N2" s="447" t="s">
        <v>41</v>
      </c>
      <c r="O2" s="448"/>
      <c r="P2" s="508"/>
      <c r="Q2" s="511">
        <f>ROUNDDOWN(Y10,3)</f>
        <v>0</v>
      </c>
      <c r="T2" s="420" t="s">
        <v>43</v>
      </c>
      <c r="U2" s="421"/>
      <c r="V2" s="421"/>
      <c r="W2" s="421"/>
      <c r="X2" s="421"/>
      <c r="Y2" s="422"/>
    </row>
    <row r="3" spans="2:25" ht="26.1" customHeight="1" thickBot="1" x14ac:dyDescent="0.3">
      <c r="B3" s="468" t="s">
        <v>2</v>
      </c>
      <c r="C3" s="469"/>
      <c r="D3" s="469"/>
      <c r="E3" s="560" t="str">
        <f>Deckblatt!C7</f>
        <v>Superquartier</v>
      </c>
      <c r="F3" s="561"/>
      <c r="G3" s="561"/>
      <c r="H3" s="561"/>
      <c r="I3" s="562"/>
      <c r="J3" s="39" t="s">
        <v>38</v>
      </c>
      <c r="K3" s="119">
        <f>ROUNDDOWN(X97,3)</f>
        <v>0</v>
      </c>
      <c r="L3" s="40" t="s">
        <v>40</v>
      </c>
      <c r="M3" s="41">
        <f>ROUNDDOWN(X438,3)</f>
        <v>0</v>
      </c>
      <c r="N3" s="450"/>
      <c r="O3" s="451"/>
      <c r="P3" s="509"/>
      <c r="Q3" s="512"/>
      <c r="T3" s="423"/>
      <c r="U3" s="424"/>
      <c r="V3" s="424"/>
      <c r="W3" s="424"/>
      <c r="X3" s="424"/>
      <c r="Y3" s="425"/>
    </row>
    <row r="4" spans="2:25" ht="26.1" customHeight="1" thickBot="1" x14ac:dyDescent="0.3">
      <c r="B4" s="402" t="s">
        <v>4</v>
      </c>
      <c r="C4" s="403"/>
      <c r="D4" s="403"/>
      <c r="E4" s="563">
        <f>Deckblatt!C9</f>
        <v>0</v>
      </c>
      <c r="F4" s="564"/>
      <c r="G4" s="564"/>
      <c r="H4" s="564"/>
      <c r="I4" s="565"/>
      <c r="J4" s="43" t="s">
        <v>42</v>
      </c>
      <c r="K4" s="120">
        <f>ROUNDDOWN(X166,3)</f>
        <v>0</v>
      </c>
      <c r="L4" s="44"/>
      <c r="M4" s="34"/>
      <c r="N4" s="453"/>
      <c r="O4" s="454"/>
      <c r="P4" s="510"/>
      <c r="Q4" s="513"/>
      <c r="T4" s="426"/>
      <c r="U4" s="427"/>
      <c r="V4" s="427"/>
      <c r="W4" s="427"/>
      <c r="X4" s="427"/>
      <c r="Y4" s="428"/>
    </row>
    <row r="5" spans="2:25" ht="13.8" thickBot="1" x14ac:dyDescent="0.3"/>
    <row r="6" spans="2:25" ht="13.8" thickBot="1" x14ac:dyDescent="0.3">
      <c r="B6" s="429" t="s">
        <v>51</v>
      </c>
      <c r="C6" s="430"/>
      <c r="D6" s="431"/>
      <c r="E6" s="566" t="s">
        <v>47</v>
      </c>
      <c r="F6" s="567"/>
      <c r="G6" s="567"/>
      <c r="H6" s="567"/>
      <c r="I6" s="568"/>
      <c r="J6" s="410" t="s">
        <v>50</v>
      </c>
      <c r="K6" s="411"/>
      <c r="L6" s="429" t="s">
        <v>48</v>
      </c>
      <c r="M6" s="462"/>
      <c r="N6" s="551" t="s">
        <v>49</v>
      </c>
      <c r="O6" s="552"/>
      <c r="P6" s="552"/>
      <c r="Q6" s="553"/>
      <c r="R6" s="46" t="s">
        <v>26</v>
      </c>
    </row>
    <row r="7" spans="2:25" ht="13.8" thickBot="1" x14ac:dyDescent="0.3"/>
    <row r="8" spans="2:25" ht="48" customHeight="1" x14ac:dyDescent="0.25">
      <c r="B8" s="404" t="s">
        <v>30</v>
      </c>
      <c r="C8" s="406" t="s">
        <v>31</v>
      </c>
      <c r="D8" s="406"/>
      <c r="E8" s="406" t="s">
        <v>32</v>
      </c>
      <c r="F8" s="554" t="s">
        <v>59</v>
      </c>
      <c r="G8" s="406"/>
      <c r="H8" s="554" t="s">
        <v>700</v>
      </c>
      <c r="I8" s="406"/>
      <c r="J8" s="554" t="s">
        <v>701</v>
      </c>
      <c r="K8" s="406"/>
      <c r="L8" s="406"/>
      <c r="M8" s="555" t="s">
        <v>36</v>
      </c>
      <c r="N8" s="555" t="s">
        <v>699</v>
      </c>
      <c r="O8" s="555" t="s">
        <v>702</v>
      </c>
      <c r="P8" s="554" t="s">
        <v>60</v>
      </c>
      <c r="Q8" s="406"/>
      <c r="R8" s="408"/>
      <c r="T8" s="440" t="s">
        <v>80</v>
      </c>
      <c r="U8" s="432" t="s">
        <v>597</v>
      </c>
      <c r="V8" s="432" t="s">
        <v>45</v>
      </c>
      <c r="W8" s="432" t="s">
        <v>44</v>
      </c>
      <c r="X8" s="432" t="s">
        <v>46</v>
      </c>
      <c r="Y8" s="470" t="s">
        <v>29</v>
      </c>
    </row>
    <row r="9" spans="2:25" ht="48" customHeight="1" thickBot="1" x14ac:dyDescent="0.3">
      <c r="B9" s="405"/>
      <c r="C9" s="407"/>
      <c r="D9" s="407"/>
      <c r="E9" s="407"/>
      <c r="F9" s="48" t="s">
        <v>33</v>
      </c>
      <c r="G9" s="48" t="s">
        <v>34</v>
      </c>
      <c r="H9" s="48" t="s">
        <v>33</v>
      </c>
      <c r="I9" s="48" t="s">
        <v>34</v>
      </c>
      <c r="J9" s="48" t="s">
        <v>33</v>
      </c>
      <c r="K9" s="48" t="s">
        <v>34</v>
      </c>
      <c r="L9" s="48" t="s">
        <v>35</v>
      </c>
      <c r="M9" s="556"/>
      <c r="N9" s="590"/>
      <c r="O9" s="590"/>
      <c r="P9" s="407"/>
      <c r="Q9" s="407"/>
      <c r="R9" s="409"/>
      <c r="T9" s="441"/>
      <c r="U9" s="433"/>
      <c r="V9" s="433"/>
      <c r="W9" s="433"/>
      <c r="X9" s="433"/>
      <c r="Y9" s="471"/>
    </row>
    <row r="10" spans="2:25" x14ac:dyDescent="0.25">
      <c r="B10" s="63" t="s">
        <v>52</v>
      </c>
      <c r="C10" s="483" t="s">
        <v>53</v>
      </c>
      <c r="D10" s="483"/>
      <c r="E10" s="483"/>
      <c r="F10" s="100">
        <f>'SQ_Auditoreingaben '!F12</f>
        <v>106</v>
      </c>
      <c r="G10" s="489"/>
      <c r="H10" s="103">
        <f>'1. Prüfung'!H10</f>
        <v>0</v>
      </c>
      <c r="I10" s="489"/>
      <c r="J10" s="101">
        <f>U10</f>
        <v>0</v>
      </c>
      <c r="K10" s="489"/>
      <c r="L10" s="65">
        <v>130</v>
      </c>
      <c r="M10" s="65">
        <v>10</v>
      </c>
      <c r="N10" s="102"/>
      <c r="O10" s="109"/>
      <c r="P10" s="591"/>
      <c r="Q10" s="591"/>
      <c r="R10" s="592"/>
      <c r="T10" s="18">
        <f>IF(K10&gt;L10,L10,K10)</f>
        <v>0</v>
      </c>
      <c r="U10" s="493">
        <f>IF(SUM(IF(T13+T14+T15&gt;10,10,T13+T14+T15),T17,T19)&gt;100,100+T22+T23+T24,SUM(IF(T13+T14+T15&gt;10,10,T13+T14+T15),T17,T19,T22,T23,T24))</f>
        <v>0</v>
      </c>
      <c r="V10" s="474">
        <f>U10/100</f>
        <v>0</v>
      </c>
      <c r="W10" s="474">
        <v>0.2</v>
      </c>
      <c r="X10" s="343">
        <f>IF((V10*M10+V25*M25+V39*M39+V50*M50+V71*M71+V80*M80)/(M10+M25+M39+M50+M71+M80)&gt;1,1,(V10*M10+V25*M25+V39*M39+V50*M50+V71*M71+V80*M80)/(M10+M25+M39+M50+M71+M80))</f>
        <v>0</v>
      </c>
      <c r="Y10" s="343">
        <f>(1/5*X10+1/5*X97+1/5*X166+1/5*X334+1/5*X438)</f>
        <v>0</v>
      </c>
    </row>
    <row r="11" spans="2:25" x14ac:dyDescent="0.25">
      <c r="B11" s="375"/>
      <c r="C11" s="351" t="s">
        <v>54</v>
      </c>
      <c r="D11" s="354" t="s">
        <v>55</v>
      </c>
      <c r="E11" s="354"/>
      <c r="F11" s="362"/>
      <c r="G11" s="356"/>
      <c r="H11" s="362"/>
      <c r="I11" s="356"/>
      <c r="J11" s="362"/>
      <c r="K11" s="356"/>
      <c r="L11" s="21">
        <v>10</v>
      </c>
      <c r="M11" s="356"/>
      <c r="N11" s="80"/>
      <c r="O11" s="106"/>
      <c r="P11" s="570"/>
      <c r="Q11" s="570"/>
      <c r="R11" s="571"/>
      <c r="T11" s="18">
        <f t="shared" ref="T11:T74" si="0">IF(K11&gt;L11,L11,K11)</f>
        <v>0</v>
      </c>
      <c r="U11" s="493"/>
      <c r="V11" s="474"/>
      <c r="W11" s="474"/>
      <c r="X11" s="344"/>
      <c r="Y11" s="475"/>
    </row>
    <row r="12" spans="2:25" x14ac:dyDescent="0.25">
      <c r="B12" s="375"/>
      <c r="C12" s="351"/>
      <c r="D12" s="361" t="s">
        <v>58</v>
      </c>
      <c r="E12" s="81" t="s">
        <v>57</v>
      </c>
      <c r="F12" s="362"/>
      <c r="G12" s="356"/>
      <c r="H12" s="362"/>
      <c r="I12" s="356"/>
      <c r="J12" s="362"/>
      <c r="K12" s="356"/>
      <c r="L12" s="21">
        <v>10</v>
      </c>
      <c r="M12" s="356"/>
      <c r="N12" s="80"/>
      <c r="O12" s="106"/>
      <c r="P12" s="570"/>
      <c r="Q12" s="570"/>
      <c r="R12" s="571"/>
      <c r="T12" s="18">
        <f t="shared" si="0"/>
        <v>0</v>
      </c>
      <c r="U12" s="493"/>
      <c r="V12" s="474"/>
      <c r="W12" s="474"/>
      <c r="X12" s="344"/>
      <c r="Y12" s="475"/>
    </row>
    <row r="13" spans="2:25" ht="145.19999999999999" x14ac:dyDescent="0.25">
      <c r="B13" s="375"/>
      <c r="C13" s="351"/>
      <c r="D13" s="361"/>
      <c r="E13" s="77" t="s">
        <v>70</v>
      </c>
      <c r="F13" s="362"/>
      <c r="G13" s="82" t="e">
        <f>'SQ_Auditoreingaben '!#REF!</f>
        <v>#REF!</v>
      </c>
      <c r="H13" s="362"/>
      <c r="I13" s="104">
        <f>'1. Prüfung'!I13</f>
        <v>0</v>
      </c>
      <c r="J13" s="362"/>
      <c r="K13" s="69"/>
      <c r="L13" s="18">
        <v>8</v>
      </c>
      <c r="M13" s="356"/>
      <c r="N13" s="80"/>
      <c r="O13" s="106"/>
      <c r="P13" s="570"/>
      <c r="Q13" s="570"/>
      <c r="R13" s="571"/>
      <c r="T13" s="18">
        <f t="shared" si="0"/>
        <v>0</v>
      </c>
      <c r="U13" s="493"/>
      <c r="V13" s="474"/>
      <c r="W13" s="474"/>
      <c r="X13" s="344"/>
      <c r="Y13" s="475"/>
    </row>
    <row r="14" spans="2:25" ht="105.6" x14ac:dyDescent="0.25">
      <c r="B14" s="375"/>
      <c r="C14" s="351"/>
      <c r="D14" s="361"/>
      <c r="E14" s="77" t="s">
        <v>71</v>
      </c>
      <c r="F14" s="362"/>
      <c r="G14" s="82">
        <f>'SQ_Auditoreingaben '!G15</f>
        <v>0</v>
      </c>
      <c r="H14" s="362"/>
      <c r="I14" s="104">
        <f>'1. Prüfung'!I14</f>
        <v>0</v>
      </c>
      <c r="J14" s="362"/>
      <c r="K14" s="69"/>
      <c r="L14" s="18">
        <v>3</v>
      </c>
      <c r="M14" s="356"/>
      <c r="N14" s="80"/>
      <c r="O14" s="106"/>
      <c r="P14" s="570"/>
      <c r="Q14" s="570"/>
      <c r="R14" s="571"/>
      <c r="T14" s="18">
        <f t="shared" si="0"/>
        <v>0</v>
      </c>
      <c r="U14" s="493"/>
      <c r="V14" s="474"/>
      <c r="W14" s="474"/>
      <c r="X14" s="344"/>
      <c r="Y14" s="475"/>
    </row>
    <row r="15" spans="2:25" ht="92.4" x14ac:dyDescent="0.25">
      <c r="B15" s="375"/>
      <c r="C15" s="351"/>
      <c r="D15" s="361"/>
      <c r="E15" s="77" t="s">
        <v>72</v>
      </c>
      <c r="F15" s="362"/>
      <c r="G15" s="82">
        <f>'SQ_Auditoreingaben '!G16</f>
        <v>0</v>
      </c>
      <c r="H15" s="362"/>
      <c r="I15" s="104">
        <f>'1. Prüfung'!I15</f>
        <v>0</v>
      </c>
      <c r="J15" s="362"/>
      <c r="K15" s="69"/>
      <c r="L15" s="18">
        <v>2</v>
      </c>
      <c r="M15" s="356"/>
      <c r="N15" s="80"/>
      <c r="O15" s="106"/>
      <c r="P15" s="570"/>
      <c r="Q15" s="570"/>
      <c r="R15" s="571"/>
      <c r="T15" s="18">
        <f t="shared" si="0"/>
        <v>0</v>
      </c>
      <c r="U15" s="493"/>
      <c r="V15" s="474"/>
      <c r="W15" s="474"/>
      <c r="X15" s="344"/>
      <c r="Y15" s="475"/>
    </row>
    <row r="16" spans="2:25" x14ac:dyDescent="0.25">
      <c r="B16" s="375"/>
      <c r="C16" s="351" t="s">
        <v>61</v>
      </c>
      <c r="D16" s="569" t="s">
        <v>62</v>
      </c>
      <c r="E16" s="569"/>
      <c r="F16" s="362"/>
      <c r="G16" s="113"/>
      <c r="H16" s="362"/>
      <c r="I16" s="113"/>
      <c r="J16" s="362"/>
      <c r="K16" s="113"/>
      <c r="L16" s="21">
        <v>10</v>
      </c>
      <c r="M16" s="356"/>
      <c r="N16" s="80"/>
      <c r="O16" s="106"/>
      <c r="P16" s="570"/>
      <c r="Q16" s="570"/>
      <c r="R16" s="571"/>
      <c r="T16" s="18">
        <f t="shared" si="0"/>
        <v>0</v>
      </c>
      <c r="U16" s="493"/>
      <c r="V16" s="474"/>
      <c r="W16" s="474"/>
      <c r="X16" s="344"/>
      <c r="Y16" s="475"/>
    </row>
    <row r="17" spans="2:25" ht="92.4" x14ac:dyDescent="0.25">
      <c r="B17" s="375"/>
      <c r="C17" s="351"/>
      <c r="D17" s="71" t="s">
        <v>63</v>
      </c>
      <c r="E17" s="83" t="s">
        <v>73</v>
      </c>
      <c r="F17" s="362"/>
      <c r="G17" s="82">
        <f>'SQ_Auditoreingaben '!G19</f>
        <v>4</v>
      </c>
      <c r="H17" s="362"/>
      <c r="I17" s="104">
        <f>'1. Prüfung'!I17</f>
        <v>0</v>
      </c>
      <c r="J17" s="362"/>
      <c r="K17" s="69"/>
      <c r="L17" s="18">
        <v>10</v>
      </c>
      <c r="M17" s="356"/>
      <c r="N17" s="80"/>
      <c r="O17" s="106"/>
      <c r="P17" s="570"/>
      <c r="Q17" s="570"/>
      <c r="R17" s="571"/>
      <c r="T17" s="18">
        <f t="shared" si="0"/>
        <v>0</v>
      </c>
      <c r="U17" s="493"/>
      <c r="V17" s="474"/>
      <c r="W17" s="474"/>
      <c r="X17" s="344"/>
      <c r="Y17" s="475"/>
    </row>
    <row r="18" spans="2:25" x14ac:dyDescent="0.25">
      <c r="B18" s="375"/>
      <c r="C18" s="351" t="s">
        <v>64</v>
      </c>
      <c r="D18" s="569" t="s">
        <v>65</v>
      </c>
      <c r="E18" s="569"/>
      <c r="F18" s="362"/>
      <c r="G18" s="113"/>
      <c r="H18" s="362"/>
      <c r="I18" s="113"/>
      <c r="J18" s="362"/>
      <c r="K18" s="113"/>
      <c r="L18" s="21">
        <v>100</v>
      </c>
      <c r="M18" s="356"/>
      <c r="N18" s="80"/>
      <c r="O18" s="106"/>
      <c r="P18" s="570"/>
      <c r="Q18" s="570"/>
      <c r="R18" s="571"/>
      <c r="T18" s="18">
        <f t="shared" si="0"/>
        <v>0</v>
      </c>
      <c r="U18" s="493"/>
      <c r="V18" s="474"/>
      <c r="W18" s="474"/>
      <c r="X18" s="344"/>
      <c r="Y18" s="475"/>
    </row>
    <row r="19" spans="2:25" ht="39.6" x14ac:dyDescent="0.25">
      <c r="B19" s="375"/>
      <c r="C19" s="351"/>
      <c r="D19" s="71" t="s">
        <v>66</v>
      </c>
      <c r="E19" s="116" t="s">
        <v>74</v>
      </c>
      <c r="F19" s="362"/>
      <c r="G19" s="82">
        <f>'SQ_Auditoreingaben '!G21</f>
        <v>80</v>
      </c>
      <c r="H19" s="362"/>
      <c r="I19" s="104">
        <f>'1. Prüfung'!I19</f>
        <v>0</v>
      </c>
      <c r="J19" s="362"/>
      <c r="K19" s="69"/>
      <c r="L19" s="18">
        <v>100</v>
      </c>
      <c r="M19" s="356"/>
      <c r="N19" s="80"/>
      <c r="O19" s="106"/>
      <c r="P19" s="570"/>
      <c r="Q19" s="570"/>
      <c r="R19" s="571"/>
      <c r="T19" s="18">
        <f t="shared" si="0"/>
        <v>0</v>
      </c>
      <c r="U19" s="493"/>
      <c r="V19" s="474"/>
      <c r="W19" s="474"/>
      <c r="X19" s="344"/>
      <c r="Y19" s="475"/>
    </row>
    <row r="20" spans="2:25" x14ac:dyDescent="0.25">
      <c r="B20" s="375"/>
      <c r="C20" s="351" t="s">
        <v>67</v>
      </c>
      <c r="D20" s="412" t="s">
        <v>68</v>
      </c>
      <c r="E20" s="412"/>
      <c r="F20" s="362"/>
      <c r="G20" s="356"/>
      <c r="H20" s="362"/>
      <c r="I20" s="356"/>
      <c r="J20" s="362"/>
      <c r="K20" s="356"/>
      <c r="L20" s="21">
        <v>30</v>
      </c>
      <c r="M20" s="356"/>
      <c r="N20" s="80"/>
      <c r="O20" s="106"/>
      <c r="P20" s="570"/>
      <c r="Q20" s="570"/>
      <c r="R20" s="571"/>
      <c r="T20" s="18">
        <f t="shared" si="0"/>
        <v>0</v>
      </c>
      <c r="U20" s="493"/>
      <c r="V20" s="474"/>
      <c r="W20" s="474"/>
      <c r="X20" s="344"/>
      <c r="Y20" s="475"/>
    </row>
    <row r="21" spans="2:25" x14ac:dyDescent="0.25">
      <c r="B21" s="375"/>
      <c r="C21" s="351"/>
      <c r="D21" s="361" t="s">
        <v>69</v>
      </c>
      <c r="E21" s="84" t="s">
        <v>76</v>
      </c>
      <c r="F21" s="362"/>
      <c r="G21" s="356"/>
      <c r="H21" s="362"/>
      <c r="I21" s="356"/>
      <c r="J21" s="362"/>
      <c r="K21" s="356"/>
      <c r="L21" s="21">
        <v>28</v>
      </c>
      <c r="M21" s="356"/>
      <c r="N21" s="80"/>
      <c r="O21" s="106"/>
      <c r="P21" s="570"/>
      <c r="Q21" s="570"/>
      <c r="R21" s="571"/>
      <c r="T21" s="18">
        <f t="shared" si="0"/>
        <v>0</v>
      </c>
      <c r="U21" s="493"/>
      <c r="V21" s="474"/>
      <c r="W21" s="474"/>
      <c r="X21" s="344"/>
      <c r="Y21" s="475"/>
    </row>
    <row r="22" spans="2:25" ht="79.2" x14ac:dyDescent="0.25">
      <c r="B22" s="375"/>
      <c r="C22" s="351"/>
      <c r="D22" s="361"/>
      <c r="E22" s="85" t="s">
        <v>75</v>
      </c>
      <c r="F22" s="362"/>
      <c r="G22" s="82">
        <f>'SQ_Auditoreingaben '!G24</f>
        <v>20</v>
      </c>
      <c r="H22" s="362"/>
      <c r="I22" s="104">
        <f>'1. Prüfung'!I22</f>
        <v>0</v>
      </c>
      <c r="J22" s="362"/>
      <c r="K22" s="69"/>
      <c r="L22" s="18">
        <v>14</v>
      </c>
      <c r="M22" s="356"/>
      <c r="N22" s="80"/>
      <c r="O22" s="106"/>
      <c r="P22" s="570"/>
      <c r="Q22" s="570"/>
      <c r="R22" s="571"/>
      <c r="T22" s="18">
        <f t="shared" si="0"/>
        <v>0</v>
      </c>
      <c r="U22" s="493"/>
      <c r="V22" s="474"/>
      <c r="W22" s="474"/>
      <c r="X22" s="344"/>
      <c r="Y22" s="475"/>
    </row>
    <row r="23" spans="2:25" ht="66" x14ac:dyDescent="0.25">
      <c r="B23" s="375"/>
      <c r="C23" s="351"/>
      <c r="D23" s="361"/>
      <c r="E23" s="85" t="s">
        <v>77</v>
      </c>
      <c r="F23" s="362"/>
      <c r="G23" s="82">
        <f>'SQ_Auditoreingaben '!G25</f>
        <v>0</v>
      </c>
      <c r="H23" s="362"/>
      <c r="I23" s="104">
        <f>'1. Prüfung'!I23</f>
        <v>0</v>
      </c>
      <c r="J23" s="362"/>
      <c r="K23" s="69"/>
      <c r="L23" s="18">
        <v>14</v>
      </c>
      <c r="M23" s="356"/>
      <c r="N23" s="80"/>
      <c r="O23" s="106"/>
      <c r="P23" s="570"/>
      <c r="Q23" s="570"/>
      <c r="R23" s="571"/>
      <c r="T23" s="18">
        <f t="shared" si="0"/>
        <v>0</v>
      </c>
      <c r="U23" s="493"/>
      <c r="V23" s="474"/>
      <c r="W23" s="474"/>
      <c r="X23" s="344"/>
      <c r="Y23" s="475"/>
    </row>
    <row r="24" spans="2:25" ht="52.8" x14ac:dyDescent="0.25">
      <c r="B24" s="375"/>
      <c r="C24" s="351"/>
      <c r="D24" s="71" t="s">
        <v>78</v>
      </c>
      <c r="E24" s="86" t="s">
        <v>79</v>
      </c>
      <c r="F24" s="362"/>
      <c r="G24" s="82">
        <f>'SQ_Auditoreingaben '!G27</f>
        <v>2</v>
      </c>
      <c r="H24" s="362"/>
      <c r="I24" s="104">
        <f>'1. Prüfung'!I24</f>
        <v>0</v>
      </c>
      <c r="J24" s="362"/>
      <c r="K24" s="69"/>
      <c r="L24" s="18">
        <v>2</v>
      </c>
      <c r="M24" s="356"/>
      <c r="N24" s="80"/>
      <c r="O24" s="106"/>
      <c r="P24" s="570"/>
      <c r="Q24" s="570"/>
      <c r="R24" s="571"/>
      <c r="T24" s="18">
        <f t="shared" si="0"/>
        <v>0</v>
      </c>
      <c r="U24" s="493"/>
      <c r="V24" s="474"/>
      <c r="W24" s="474"/>
      <c r="X24" s="344"/>
      <c r="Y24" s="475"/>
    </row>
    <row r="25" spans="2:25" x14ac:dyDescent="0.25">
      <c r="B25" s="55" t="s">
        <v>81</v>
      </c>
      <c r="C25" s="354" t="s">
        <v>82</v>
      </c>
      <c r="D25" s="354"/>
      <c r="E25" s="354"/>
      <c r="F25" s="78">
        <f>'SQ_Auditoreingaben '!F28</f>
        <v>82.5</v>
      </c>
      <c r="G25" s="356"/>
      <c r="H25" s="105">
        <f>'1. Prüfung'!H25</f>
        <v>0</v>
      </c>
      <c r="I25" s="356"/>
      <c r="J25" s="79">
        <f>U25</f>
        <v>0</v>
      </c>
      <c r="K25" s="356"/>
      <c r="L25" s="21">
        <v>120</v>
      </c>
      <c r="M25" s="115">
        <v>7</v>
      </c>
      <c r="N25" s="80"/>
      <c r="O25" s="106"/>
      <c r="P25" s="570"/>
      <c r="Q25" s="570"/>
      <c r="R25" s="571"/>
      <c r="T25" s="18">
        <f t="shared" si="0"/>
        <v>0</v>
      </c>
      <c r="U25" s="337">
        <f>SUM(T27,T28,T29,T30,IF(T32+T33&gt;40,40,T32+T33),T35,T36,T38)</f>
        <v>0</v>
      </c>
      <c r="V25" s="474">
        <f>U25/100</f>
        <v>0</v>
      </c>
      <c r="W25" s="474"/>
      <c r="X25" s="344"/>
      <c r="Y25" s="475"/>
    </row>
    <row r="26" spans="2:25" x14ac:dyDescent="0.25">
      <c r="B26" s="375"/>
      <c r="C26" s="351" t="s">
        <v>54</v>
      </c>
      <c r="D26" s="354" t="s">
        <v>83</v>
      </c>
      <c r="E26" s="354"/>
      <c r="F26" s="573"/>
      <c r="G26" s="356"/>
      <c r="H26" s="573"/>
      <c r="I26" s="356"/>
      <c r="J26" s="573"/>
      <c r="K26" s="356"/>
      <c r="L26" s="21">
        <v>30</v>
      </c>
      <c r="M26" s="356"/>
      <c r="N26" s="80"/>
      <c r="O26" s="106"/>
      <c r="P26" s="570"/>
      <c r="Q26" s="570"/>
      <c r="R26" s="571"/>
      <c r="T26" s="18">
        <f t="shared" si="0"/>
        <v>0</v>
      </c>
      <c r="U26" s="338"/>
      <c r="V26" s="474"/>
      <c r="W26" s="474"/>
      <c r="X26" s="344"/>
      <c r="Y26" s="475"/>
    </row>
    <row r="27" spans="2:25" ht="26.4" x14ac:dyDescent="0.25">
      <c r="B27" s="375"/>
      <c r="C27" s="351"/>
      <c r="D27" s="71" t="s">
        <v>56</v>
      </c>
      <c r="E27" s="77" t="s">
        <v>84</v>
      </c>
      <c r="F27" s="573"/>
      <c r="G27" s="82">
        <f>'SQ_Auditoreingaben '!G30</f>
        <v>30</v>
      </c>
      <c r="H27" s="573"/>
      <c r="I27" s="104">
        <f>'1. Prüfung'!I27</f>
        <v>0</v>
      </c>
      <c r="J27" s="573"/>
      <c r="K27" s="69"/>
      <c r="L27" s="18">
        <v>7.5</v>
      </c>
      <c r="M27" s="356"/>
      <c r="N27" s="80"/>
      <c r="O27" s="106"/>
      <c r="P27" s="570"/>
      <c r="Q27" s="570"/>
      <c r="R27" s="571"/>
      <c r="T27" s="18">
        <f t="shared" si="0"/>
        <v>0</v>
      </c>
      <c r="U27" s="338"/>
      <c r="V27" s="474"/>
      <c r="W27" s="474"/>
      <c r="X27" s="344"/>
      <c r="Y27" s="475"/>
    </row>
    <row r="28" spans="2:25" ht="26.4" x14ac:dyDescent="0.25">
      <c r="B28" s="375"/>
      <c r="C28" s="351"/>
      <c r="D28" s="71" t="s">
        <v>88</v>
      </c>
      <c r="E28" s="77" t="s">
        <v>85</v>
      </c>
      <c r="F28" s="573"/>
      <c r="G28" s="82" t="e">
        <f>'SQ_Auditoreingaben '!#REF!</f>
        <v>#REF!</v>
      </c>
      <c r="H28" s="573"/>
      <c r="I28" s="104">
        <f>'1. Prüfung'!I28</f>
        <v>0</v>
      </c>
      <c r="J28" s="573"/>
      <c r="K28" s="69"/>
      <c r="L28" s="18">
        <v>7.5</v>
      </c>
      <c r="M28" s="356"/>
      <c r="N28" s="80"/>
      <c r="O28" s="106"/>
      <c r="P28" s="570"/>
      <c r="Q28" s="570"/>
      <c r="R28" s="571"/>
      <c r="T28" s="18">
        <f t="shared" si="0"/>
        <v>0</v>
      </c>
      <c r="U28" s="338"/>
      <c r="V28" s="474"/>
      <c r="W28" s="474"/>
      <c r="X28" s="344"/>
      <c r="Y28" s="475"/>
    </row>
    <row r="29" spans="2:25" ht="39.6" x14ac:dyDescent="0.25">
      <c r="B29" s="375"/>
      <c r="C29" s="351"/>
      <c r="D29" s="71" t="s">
        <v>89</v>
      </c>
      <c r="E29" s="77" t="s">
        <v>86</v>
      </c>
      <c r="F29" s="573"/>
      <c r="G29" s="82" t="e">
        <f>'SQ_Auditoreingaben '!#REF!</f>
        <v>#REF!</v>
      </c>
      <c r="H29" s="573"/>
      <c r="I29" s="104">
        <f>'1. Prüfung'!I29</f>
        <v>0</v>
      </c>
      <c r="J29" s="573"/>
      <c r="K29" s="69"/>
      <c r="L29" s="18">
        <v>7.5</v>
      </c>
      <c r="M29" s="356"/>
      <c r="N29" s="80"/>
      <c r="O29" s="106"/>
      <c r="P29" s="570"/>
      <c r="Q29" s="570"/>
      <c r="R29" s="571"/>
      <c r="T29" s="18">
        <f t="shared" si="0"/>
        <v>0</v>
      </c>
      <c r="U29" s="338"/>
      <c r="V29" s="474"/>
      <c r="W29" s="474"/>
      <c r="X29" s="344"/>
      <c r="Y29" s="475"/>
    </row>
    <row r="30" spans="2:25" ht="26.4" x14ac:dyDescent="0.25">
      <c r="B30" s="375"/>
      <c r="C30" s="351"/>
      <c r="D30" s="71" t="s">
        <v>90</v>
      </c>
      <c r="E30" s="77" t="s">
        <v>87</v>
      </c>
      <c r="F30" s="573"/>
      <c r="G30" s="82" t="e">
        <f>'SQ_Auditoreingaben '!#REF!</f>
        <v>#REF!</v>
      </c>
      <c r="H30" s="573"/>
      <c r="I30" s="104">
        <f>'1. Prüfung'!I30</f>
        <v>0</v>
      </c>
      <c r="J30" s="573"/>
      <c r="K30" s="69"/>
      <c r="L30" s="18">
        <v>7.5</v>
      </c>
      <c r="M30" s="356"/>
      <c r="N30" s="80"/>
      <c r="O30" s="106"/>
      <c r="P30" s="570"/>
      <c r="Q30" s="570"/>
      <c r="R30" s="571"/>
      <c r="T30" s="18">
        <f t="shared" si="0"/>
        <v>0</v>
      </c>
      <c r="U30" s="338"/>
      <c r="V30" s="474"/>
      <c r="W30" s="474"/>
      <c r="X30" s="344"/>
      <c r="Y30" s="475"/>
    </row>
    <row r="31" spans="2:25" x14ac:dyDescent="0.25">
      <c r="B31" s="375"/>
      <c r="C31" s="351" t="s">
        <v>61</v>
      </c>
      <c r="D31" s="354" t="s">
        <v>91</v>
      </c>
      <c r="E31" s="354"/>
      <c r="F31" s="573"/>
      <c r="G31" s="117"/>
      <c r="H31" s="573"/>
      <c r="I31" s="117"/>
      <c r="J31" s="573"/>
      <c r="K31" s="117"/>
      <c r="L31" s="21">
        <v>40</v>
      </c>
      <c r="M31" s="356"/>
      <c r="N31" s="80"/>
      <c r="O31" s="106"/>
      <c r="P31" s="570"/>
      <c r="Q31" s="570"/>
      <c r="R31" s="571"/>
      <c r="T31" s="18">
        <f t="shared" si="0"/>
        <v>0</v>
      </c>
      <c r="U31" s="338"/>
      <c r="V31" s="474"/>
      <c r="W31" s="474"/>
      <c r="X31" s="344"/>
      <c r="Y31" s="475"/>
    </row>
    <row r="32" spans="2:25" ht="26.4" x14ac:dyDescent="0.25">
      <c r="B32" s="375"/>
      <c r="C32" s="351"/>
      <c r="D32" s="71" t="s">
        <v>94</v>
      </c>
      <c r="E32" s="77" t="s">
        <v>92</v>
      </c>
      <c r="F32" s="573"/>
      <c r="G32" s="82">
        <f>'SQ_Auditoreingaben '!G32</f>
        <v>25</v>
      </c>
      <c r="H32" s="573"/>
      <c r="I32" s="104">
        <f>'1. Prüfung'!I32</f>
        <v>0</v>
      </c>
      <c r="J32" s="573"/>
      <c r="K32" s="69"/>
      <c r="L32" s="18">
        <v>40</v>
      </c>
      <c r="M32" s="356"/>
      <c r="N32" s="80"/>
      <c r="O32" s="106"/>
      <c r="P32" s="570"/>
      <c r="Q32" s="570"/>
      <c r="R32" s="571"/>
      <c r="T32" s="18">
        <f t="shared" si="0"/>
        <v>0</v>
      </c>
      <c r="U32" s="338"/>
      <c r="V32" s="474"/>
      <c r="W32" s="474"/>
      <c r="X32" s="344"/>
      <c r="Y32" s="475"/>
    </row>
    <row r="33" spans="2:25" ht="39.6" x14ac:dyDescent="0.25">
      <c r="B33" s="375"/>
      <c r="C33" s="351"/>
      <c r="D33" s="71" t="s">
        <v>95</v>
      </c>
      <c r="E33" s="77" t="s">
        <v>93</v>
      </c>
      <c r="F33" s="573"/>
      <c r="G33" s="82">
        <f>'SQ_Auditoreingaben '!G33</f>
        <v>0</v>
      </c>
      <c r="H33" s="573"/>
      <c r="I33" s="104">
        <f>'1. Prüfung'!I33</f>
        <v>0</v>
      </c>
      <c r="J33" s="573"/>
      <c r="K33" s="69"/>
      <c r="L33" s="18">
        <v>40</v>
      </c>
      <c r="M33" s="356"/>
      <c r="N33" s="80"/>
      <c r="O33" s="106"/>
      <c r="P33" s="570"/>
      <c r="Q33" s="570"/>
      <c r="R33" s="571"/>
      <c r="T33" s="18">
        <f t="shared" si="0"/>
        <v>0</v>
      </c>
      <c r="U33" s="338"/>
      <c r="V33" s="474"/>
      <c r="W33" s="474"/>
      <c r="X33" s="344"/>
      <c r="Y33" s="475"/>
    </row>
    <row r="34" spans="2:25" x14ac:dyDescent="0.25">
      <c r="B34" s="375"/>
      <c r="C34" s="351" t="s">
        <v>64</v>
      </c>
      <c r="D34" s="354" t="s">
        <v>96</v>
      </c>
      <c r="E34" s="354"/>
      <c r="F34" s="573"/>
      <c r="G34" s="117"/>
      <c r="H34" s="573"/>
      <c r="I34" s="117"/>
      <c r="J34" s="573"/>
      <c r="K34" s="117"/>
      <c r="L34" s="21">
        <v>30</v>
      </c>
      <c r="M34" s="356"/>
      <c r="N34" s="80"/>
      <c r="O34" s="106"/>
      <c r="P34" s="570"/>
      <c r="Q34" s="570"/>
      <c r="R34" s="571"/>
      <c r="T34" s="18">
        <f t="shared" si="0"/>
        <v>0</v>
      </c>
      <c r="U34" s="338"/>
      <c r="V34" s="474"/>
      <c r="W34" s="474"/>
      <c r="X34" s="344"/>
      <c r="Y34" s="475"/>
    </row>
    <row r="35" spans="2:25" ht="132" x14ac:dyDescent="0.25">
      <c r="B35" s="375"/>
      <c r="C35" s="351"/>
      <c r="D35" s="57" t="s">
        <v>66</v>
      </c>
      <c r="E35" s="77" t="s">
        <v>651</v>
      </c>
      <c r="F35" s="573"/>
      <c r="G35" s="82">
        <f>'SQ_Auditoreingaben '!G35</f>
        <v>7.5</v>
      </c>
      <c r="H35" s="573"/>
      <c r="I35" s="104">
        <f>'1. Prüfung'!I35</f>
        <v>0</v>
      </c>
      <c r="J35" s="573"/>
      <c r="K35" s="69"/>
      <c r="L35" s="18">
        <v>15</v>
      </c>
      <c r="M35" s="356"/>
      <c r="N35" s="80"/>
      <c r="O35" s="106"/>
      <c r="P35" s="570"/>
      <c r="Q35" s="570"/>
      <c r="R35" s="571"/>
      <c r="T35" s="18">
        <f t="shared" si="0"/>
        <v>0</v>
      </c>
      <c r="U35" s="338"/>
      <c r="V35" s="474"/>
      <c r="W35" s="474"/>
      <c r="X35" s="344"/>
      <c r="Y35" s="475"/>
    </row>
    <row r="36" spans="2:25" ht="39.6" x14ac:dyDescent="0.25">
      <c r="B36" s="375"/>
      <c r="C36" s="351"/>
      <c r="D36" s="71" t="s">
        <v>97</v>
      </c>
      <c r="E36" s="77" t="s">
        <v>652</v>
      </c>
      <c r="F36" s="573"/>
      <c r="G36" s="82">
        <f>'SQ_Auditoreingaben '!G36</f>
        <v>0</v>
      </c>
      <c r="H36" s="573"/>
      <c r="I36" s="104">
        <f>'1. Prüfung'!I36</f>
        <v>0</v>
      </c>
      <c r="J36" s="573"/>
      <c r="K36" s="69"/>
      <c r="L36" s="18">
        <v>15</v>
      </c>
      <c r="M36" s="356"/>
      <c r="N36" s="80"/>
      <c r="O36" s="106"/>
      <c r="P36" s="570"/>
      <c r="Q36" s="570"/>
      <c r="R36" s="571"/>
      <c r="T36" s="18">
        <f t="shared" si="0"/>
        <v>0</v>
      </c>
      <c r="U36" s="338"/>
      <c r="V36" s="474"/>
      <c r="W36" s="474"/>
      <c r="X36" s="344"/>
      <c r="Y36" s="475"/>
    </row>
    <row r="37" spans="2:25" ht="26.1" customHeight="1" x14ac:dyDescent="0.25">
      <c r="B37" s="375"/>
      <c r="C37" s="351" t="s">
        <v>67</v>
      </c>
      <c r="D37" s="572" t="s">
        <v>654</v>
      </c>
      <c r="E37" s="572"/>
      <c r="F37" s="573"/>
      <c r="G37" s="117"/>
      <c r="H37" s="573"/>
      <c r="I37" s="117"/>
      <c r="J37" s="573"/>
      <c r="K37" s="117"/>
      <c r="L37" s="21">
        <v>20</v>
      </c>
      <c r="M37" s="356"/>
      <c r="N37" s="80"/>
      <c r="O37" s="106"/>
      <c r="P37" s="570"/>
      <c r="Q37" s="570"/>
      <c r="R37" s="571"/>
      <c r="T37" s="18">
        <f t="shared" si="0"/>
        <v>0</v>
      </c>
      <c r="U37" s="338"/>
      <c r="V37" s="474"/>
      <c r="W37" s="474"/>
      <c r="X37" s="344"/>
      <c r="Y37" s="475"/>
    </row>
    <row r="38" spans="2:25" ht="39.6" x14ac:dyDescent="0.25">
      <c r="B38" s="375"/>
      <c r="C38" s="351"/>
      <c r="D38" s="71" t="s">
        <v>98</v>
      </c>
      <c r="E38" s="77" t="s">
        <v>653</v>
      </c>
      <c r="F38" s="573"/>
      <c r="G38" s="82">
        <f>'SQ_Auditoreingaben '!G38</f>
        <v>20</v>
      </c>
      <c r="H38" s="573"/>
      <c r="I38" s="104">
        <f>'1. Prüfung'!I38</f>
        <v>0</v>
      </c>
      <c r="J38" s="573"/>
      <c r="K38" s="69"/>
      <c r="L38" s="18">
        <v>20</v>
      </c>
      <c r="M38" s="356"/>
      <c r="N38" s="80"/>
      <c r="O38" s="106"/>
      <c r="P38" s="570"/>
      <c r="Q38" s="570"/>
      <c r="R38" s="571"/>
      <c r="T38" s="18">
        <f t="shared" si="0"/>
        <v>0</v>
      </c>
      <c r="U38" s="339"/>
      <c r="V38" s="474"/>
      <c r="W38" s="474"/>
      <c r="X38" s="344"/>
      <c r="Y38" s="475"/>
    </row>
    <row r="39" spans="2:25" x14ac:dyDescent="0.25">
      <c r="B39" s="55" t="s">
        <v>99</v>
      </c>
      <c r="C39" s="354" t="s">
        <v>100</v>
      </c>
      <c r="D39" s="354"/>
      <c r="E39" s="354"/>
      <c r="F39" s="78" t="e">
        <f>'SQ_Auditoreingaben '!#REF!</f>
        <v>#REF!</v>
      </c>
      <c r="G39" s="362"/>
      <c r="H39" s="105">
        <f>'1. Prüfung'!H39</f>
        <v>0</v>
      </c>
      <c r="I39" s="362"/>
      <c r="J39" s="79">
        <f>U39</f>
        <v>0</v>
      </c>
      <c r="K39" s="362"/>
      <c r="L39" s="21">
        <v>100</v>
      </c>
      <c r="M39" s="115">
        <v>3</v>
      </c>
      <c r="N39" s="80"/>
      <c r="O39" s="106"/>
      <c r="P39" s="570"/>
      <c r="Q39" s="570"/>
      <c r="R39" s="571"/>
      <c r="T39" s="18">
        <f t="shared" si="0"/>
        <v>0</v>
      </c>
      <c r="U39" s="337">
        <f>SUM(T41:T49)</f>
        <v>0</v>
      </c>
      <c r="V39" s="474">
        <f>U39/100</f>
        <v>0</v>
      </c>
      <c r="W39" s="474"/>
      <c r="X39" s="344"/>
      <c r="Y39" s="475"/>
    </row>
    <row r="40" spans="2:25" x14ac:dyDescent="0.25">
      <c r="B40" s="375"/>
      <c r="C40" s="351" t="s">
        <v>101</v>
      </c>
      <c r="D40" s="354" t="s">
        <v>102</v>
      </c>
      <c r="E40" s="354"/>
      <c r="F40" s="573"/>
      <c r="G40" s="362"/>
      <c r="H40" s="573"/>
      <c r="I40" s="362"/>
      <c r="J40" s="573"/>
      <c r="K40" s="362"/>
      <c r="L40" s="21">
        <v>30</v>
      </c>
      <c r="M40" s="575"/>
      <c r="N40" s="80"/>
      <c r="O40" s="106"/>
      <c r="P40" s="570"/>
      <c r="Q40" s="570"/>
      <c r="R40" s="571"/>
      <c r="T40" s="18">
        <f t="shared" si="0"/>
        <v>0</v>
      </c>
      <c r="U40" s="338"/>
      <c r="V40" s="474"/>
      <c r="W40" s="474"/>
      <c r="X40" s="344"/>
      <c r="Y40" s="475"/>
    </row>
    <row r="41" spans="2:25" ht="52.8" x14ac:dyDescent="0.25">
      <c r="B41" s="375"/>
      <c r="C41" s="351"/>
      <c r="D41" s="57" t="s">
        <v>105</v>
      </c>
      <c r="E41" s="77" t="s">
        <v>109</v>
      </c>
      <c r="F41" s="573"/>
      <c r="G41" s="82" t="e">
        <f>'SQ_Auditoreingaben '!#REF!</f>
        <v>#REF!</v>
      </c>
      <c r="H41" s="573"/>
      <c r="I41" s="104">
        <f>'1. Prüfung'!I41</f>
        <v>0</v>
      </c>
      <c r="J41" s="573"/>
      <c r="K41" s="69"/>
      <c r="L41" s="18">
        <v>30</v>
      </c>
      <c r="M41" s="575"/>
      <c r="N41" s="80"/>
      <c r="O41" s="106"/>
      <c r="P41" s="570"/>
      <c r="Q41" s="570"/>
      <c r="R41" s="571"/>
      <c r="T41" s="18">
        <f t="shared" si="0"/>
        <v>0</v>
      </c>
      <c r="U41" s="338"/>
      <c r="V41" s="474"/>
      <c r="W41" s="474"/>
      <c r="X41" s="344"/>
      <c r="Y41" s="475"/>
    </row>
    <row r="42" spans="2:25" x14ac:dyDescent="0.25">
      <c r="B42" s="375"/>
      <c r="C42" s="351" t="s">
        <v>103</v>
      </c>
      <c r="D42" s="354" t="s">
        <v>104</v>
      </c>
      <c r="E42" s="354"/>
      <c r="F42" s="573"/>
      <c r="G42" s="117"/>
      <c r="H42" s="573"/>
      <c r="I42" s="117"/>
      <c r="J42" s="573"/>
      <c r="K42" s="117"/>
      <c r="L42" s="21">
        <v>30</v>
      </c>
      <c r="M42" s="575"/>
      <c r="N42" s="80"/>
      <c r="O42" s="106"/>
      <c r="P42" s="570"/>
      <c r="Q42" s="570"/>
      <c r="R42" s="571"/>
      <c r="T42" s="18">
        <f t="shared" si="0"/>
        <v>0</v>
      </c>
      <c r="U42" s="338"/>
      <c r="V42" s="474"/>
      <c r="W42" s="474"/>
      <c r="X42" s="344"/>
      <c r="Y42" s="475"/>
    </row>
    <row r="43" spans="2:25" ht="52.8" x14ac:dyDescent="0.25">
      <c r="B43" s="375"/>
      <c r="C43" s="351"/>
      <c r="D43" s="57" t="s">
        <v>105</v>
      </c>
      <c r="E43" s="77" t="s">
        <v>109</v>
      </c>
      <c r="F43" s="573"/>
      <c r="G43" s="82" t="e">
        <f>'SQ_Auditoreingaben '!#REF!</f>
        <v>#REF!</v>
      </c>
      <c r="H43" s="573"/>
      <c r="I43" s="104">
        <f>'1. Prüfung'!I43</f>
        <v>0</v>
      </c>
      <c r="J43" s="573"/>
      <c r="K43" s="69"/>
      <c r="L43" s="18">
        <v>30</v>
      </c>
      <c r="M43" s="575"/>
      <c r="N43" s="80"/>
      <c r="O43" s="106"/>
      <c r="P43" s="570"/>
      <c r="Q43" s="570"/>
      <c r="R43" s="571"/>
      <c r="T43" s="18">
        <f t="shared" si="0"/>
        <v>0</v>
      </c>
      <c r="U43" s="338"/>
      <c r="V43" s="474"/>
      <c r="W43" s="474"/>
      <c r="X43" s="344"/>
      <c r="Y43" s="475"/>
    </row>
    <row r="44" spans="2:25" x14ac:dyDescent="0.25">
      <c r="B44" s="375"/>
      <c r="C44" s="351" t="s">
        <v>106</v>
      </c>
      <c r="D44" s="354" t="s">
        <v>104</v>
      </c>
      <c r="E44" s="354"/>
      <c r="F44" s="573"/>
      <c r="G44" s="117"/>
      <c r="H44" s="573"/>
      <c r="I44" s="117"/>
      <c r="J44" s="573"/>
      <c r="K44" s="117"/>
      <c r="L44" s="21">
        <v>30</v>
      </c>
      <c r="M44" s="575"/>
      <c r="N44" s="80"/>
      <c r="O44" s="106"/>
      <c r="P44" s="570"/>
      <c r="Q44" s="570"/>
      <c r="R44" s="571"/>
      <c r="T44" s="18">
        <f t="shared" si="0"/>
        <v>0</v>
      </c>
      <c r="U44" s="338"/>
      <c r="V44" s="474"/>
      <c r="W44" s="474"/>
      <c r="X44" s="344"/>
      <c r="Y44" s="475"/>
    </row>
    <row r="45" spans="2:25" ht="52.8" x14ac:dyDescent="0.25">
      <c r="B45" s="375"/>
      <c r="C45" s="351"/>
      <c r="D45" s="57" t="s">
        <v>105</v>
      </c>
      <c r="E45" s="77" t="s">
        <v>109</v>
      </c>
      <c r="F45" s="573"/>
      <c r="G45" s="82" t="e">
        <f>'SQ_Auditoreingaben '!#REF!</f>
        <v>#REF!</v>
      </c>
      <c r="H45" s="573"/>
      <c r="I45" s="104">
        <f>'1. Prüfung'!I45</f>
        <v>0</v>
      </c>
      <c r="J45" s="573"/>
      <c r="K45" s="69"/>
      <c r="L45" s="18">
        <v>30</v>
      </c>
      <c r="M45" s="575"/>
      <c r="N45" s="80"/>
      <c r="O45" s="106"/>
      <c r="P45" s="570"/>
      <c r="Q45" s="570"/>
      <c r="R45" s="571"/>
      <c r="T45" s="18">
        <f t="shared" si="0"/>
        <v>0</v>
      </c>
      <c r="U45" s="338"/>
      <c r="V45" s="474"/>
      <c r="W45" s="474"/>
      <c r="X45" s="344"/>
      <c r="Y45" s="475"/>
    </row>
    <row r="46" spans="2:25" x14ac:dyDescent="0.25">
      <c r="B46" s="375"/>
      <c r="C46" s="574" t="s">
        <v>107</v>
      </c>
      <c r="D46" s="354" t="s">
        <v>108</v>
      </c>
      <c r="E46" s="354"/>
      <c r="F46" s="573"/>
      <c r="G46" s="362"/>
      <c r="H46" s="573"/>
      <c r="I46" s="362"/>
      <c r="J46" s="573"/>
      <c r="K46" s="362"/>
      <c r="L46" s="21">
        <v>10</v>
      </c>
      <c r="M46" s="575"/>
      <c r="N46" s="80"/>
      <c r="O46" s="106"/>
      <c r="P46" s="570"/>
      <c r="Q46" s="570"/>
      <c r="R46" s="571"/>
      <c r="T46" s="18">
        <f t="shared" si="0"/>
        <v>0</v>
      </c>
      <c r="U46" s="338"/>
      <c r="V46" s="474"/>
      <c r="W46" s="474"/>
      <c r="X46" s="344"/>
      <c r="Y46" s="475"/>
    </row>
    <row r="47" spans="2:25" ht="26.4" x14ac:dyDescent="0.25">
      <c r="B47" s="375"/>
      <c r="C47" s="574"/>
      <c r="D47" s="361" t="s">
        <v>110</v>
      </c>
      <c r="E47" s="87" t="s">
        <v>133</v>
      </c>
      <c r="F47" s="573"/>
      <c r="G47" s="362"/>
      <c r="H47" s="573"/>
      <c r="I47" s="362"/>
      <c r="J47" s="573"/>
      <c r="K47" s="362"/>
      <c r="L47" s="21">
        <v>10</v>
      </c>
      <c r="M47" s="575"/>
      <c r="N47" s="80"/>
      <c r="O47" s="106"/>
      <c r="P47" s="570"/>
      <c r="Q47" s="570"/>
      <c r="R47" s="571"/>
      <c r="T47" s="18">
        <f t="shared" si="0"/>
        <v>0</v>
      </c>
      <c r="U47" s="338"/>
      <c r="V47" s="474"/>
      <c r="W47" s="474"/>
      <c r="X47" s="344"/>
      <c r="Y47" s="475"/>
    </row>
    <row r="48" spans="2:25" ht="39.6" x14ac:dyDescent="0.25">
      <c r="B48" s="375"/>
      <c r="C48" s="574"/>
      <c r="D48" s="361"/>
      <c r="E48" s="77" t="s">
        <v>111</v>
      </c>
      <c r="F48" s="573"/>
      <c r="G48" s="82" t="e">
        <f>'SQ_Auditoreingaben '!#REF!</f>
        <v>#REF!</v>
      </c>
      <c r="H48" s="573"/>
      <c r="I48" s="104">
        <f>'1. Prüfung'!I48</f>
        <v>0</v>
      </c>
      <c r="J48" s="573"/>
      <c r="K48" s="69"/>
      <c r="L48" s="18">
        <v>5</v>
      </c>
      <c r="M48" s="575"/>
      <c r="N48" s="80"/>
      <c r="O48" s="106"/>
      <c r="P48" s="570"/>
      <c r="Q48" s="570"/>
      <c r="R48" s="571"/>
      <c r="T48" s="18">
        <f t="shared" si="0"/>
        <v>0</v>
      </c>
      <c r="U48" s="338"/>
      <c r="V48" s="474"/>
      <c r="W48" s="474"/>
      <c r="X48" s="344"/>
      <c r="Y48" s="475"/>
    </row>
    <row r="49" spans="2:25" ht="52.8" x14ac:dyDescent="0.25">
      <c r="B49" s="375"/>
      <c r="C49" s="574"/>
      <c r="D49" s="361"/>
      <c r="E49" s="77" t="s">
        <v>112</v>
      </c>
      <c r="F49" s="573"/>
      <c r="G49" s="82" t="e">
        <f>'SQ_Auditoreingaben '!#REF!</f>
        <v>#REF!</v>
      </c>
      <c r="H49" s="573"/>
      <c r="I49" s="104">
        <f>'1. Prüfung'!I49</f>
        <v>0</v>
      </c>
      <c r="J49" s="573"/>
      <c r="K49" s="69"/>
      <c r="L49" s="18">
        <v>5</v>
      </c>
      <c r="M49" s="575"/>
      <c r="N49" s="80"/>
      <c r="O49" s="106"/>
      <c r="P49" s="570"/>
      <c r="Q49" s="570"/>
      <c r="R49" s="571"/>
      <c r="T49" s="18">
        <f t="shared" si="0"/>
        <v>0</v>
      </c>
      <c r="U49" s="339"/>
      <c r="V49" s="474"/>
      <c r="W49" s="474"/>
      <c r="X49" s="344"/>
      <c r="Y49" s="475"/>
    </row>
    <row r="50" spans="2:25" x14ac:dyDescent="0.25">
      <c r="B50" s="55" t="s">
        <v>113</v>
      </c>
      <c r="C50" s="354" t="s">
        <v>114</v>
      </c>
      <c r="D50" s="354"/>
      <c r="E50" s="354"/>
      <c r="F50" s="78">
        <f>'SQ_Auditoreingaben '!F39</f>
        <v>65</v>
      </c>
      <c r="G50" s="362"/>
      <c r="H50" s="105">
        <f>'1. Prüfung'!H50</f>
        <v>0</v>
      </c>
      <c r="I50" s="362"/>
      <c r="J50" s="79">
        <f>U50</f>
        <v>0</v>
      </c>
      <c r="K50" s="362"/>
      <c r="L50" s="21">
        <v>110</v>
      </c>
      <c r="M50" s="88">
        <v>5</v>
      </c>
      <c r="N50" s="80"/>
      <c r="O50" s="106"/>
      <c r="P50" s="570"/>
      <c r="Q50" s="570"/>
      <c r="R50" s="571"/>
      <c r="T50" s="18">
        <f t="shared" si="0"/>
        <v>0</v>
      </c>
      <c r="U50" s="337">
        <f>SUM(T52:T70)</f>
        <v>0</v>
      </c>
      <c r="V50" s="343">
        <f>U50/100</f>
        <v>0</v>
      </c>
      <c r="W50" s="474"/>
      <c r="X50" s="344"/>
      <c r="Y50" s="475"/>
    </row>
    <row r="51" spans="2:25" x14ac:dyDescent="0.25">
      <c r="B51" s="375"/>
      <c r="C51" s="392" t="s">
        <v>54</v>
      </c>
      <c r="D51" s="354" t="s">
        <v>115</v>
      </c>
      <c r="E51" s="354"/>
      <c r="F51" s="576"/>
      <c r="G51" s="362"/>
      <c r="H51" s="576"/>
      <c r="I51" s="362"/>
      <c r="J51" s="576"/>
      <c r="K51" s="362"/>
      <c r="L51" s="21">
        <v>45</v>
      </c>
      <c r="M51" s="364"/>
      <c r="N51" s="80"/>
      <c r="O51" s="106"/>
      <c r="P51" s="570"/>
      <c r="Q51" s="570"/>
      <c r="R51" s="571"/>
      <c r="T51" s="18">
        <f t="shared" si="0"/>
        <v>0</v>
      </c>
      <c r="U51" s="338"/>
      <c r="V51" s="344"/>
      <c r="W51" s="474"/>
      <c r="X51" s="344"/>
      <c r="Y51" s="475"/>
    </row>
    <row r="52" spans="2:25" ht="52.8" x14ac:dyDescent="0.25">
      <c r="B52" s="375"/>
      <c r="C52" s="392"/>
      <c r="D52" s="71" t="s">
        <v>58</v>
      </c>
      <c r="E52" s="77" t="s">
        <v>132</v>
      </c>
      <c r="F52" s="576"/>
      <c r="G52" s="82">
        <f>'SQ_Auditoreingaben '!G41</f>
        <v>5</v>
      </c>
      <c r="H52" s="576"/>
      <c r="I52" s="104">
        <f>'1. Prüfung'!I52</f>
        <v>0</v>
      </c>
      <c r="J52" s="576"/>
      <c r="K52" s="69"/>
      <c r="L52" s="18">
        <v>5</v>
      </c>
      <c r="M52" s="364"/>
      <c r="N52" s="80"/>
      <c r="O52" s="106"/>
      <c r="P52" s="570"/>
      <c r="Q52" s="570"/>
      <c r="R52" s="571"/>
      <c r="T52" s="18">
        <f t="shared" si="0"/>
        <v>0</v>
      </c>
      <c r="U52" s="338"/>
      <c r="V52" s="344"/>
      <c r="W52" s="474"/>
      <c r="X52" s="344"/>
      <c r="Y52" s="475"/>
    </row>
    <row r="53" spans="2:25" x14ac:dyDescent="0.25">
      <c r="B53" s="375"/>
      <c r="C53" s="392"/>
      <c r="D53" s="361" t="s">
        <v>88</v>
      </c>
      <c r="E53" s="87" t="s">
        <v>116</v>
      </c>
      <c r="F53" s="576"/>
      <c r="G53" s="117"/>
      <c r="H53" s="576"/>
      <c r="I53" s="117"/>
      <c r="J53" s="576"/>
      <c r="K53" s="117"/>
      <c r="L53" s="21">
        <v>30</v>
      </c>
      <c r="M53" s="364"/>
      <c r="N53" s="80"/>
      <c r="O53" s="106"/>
      <c r="P53" s="570"/>
      <c r="Q53" s="570"/>
      <c r="R53" s="571"/>
      <c r="T53" s="18">
        <f t="shared" si="0"/>
        <v>0</v>
      </c>
      <c r="U53" s="338"/>
      <c r="V53" s="344"/>
      <c r="W53" s="474"/>
      <c r="X53" s="344"/>
      <c r="Y53" s="475"/>
    </row>
    <row r="54" spans="2:25" ht="52.8" x14ac:dyDescent="0.25">
      <c r="B54" s="375"/>
      <c r="C54" s="392"/>
      <c r="D54" s="361"/>
      <c r="E54" s="77" t="s">
        <v>117</v>
      </c>
      <c r="F54" s="576"/>
      <c r="G54" s="82">
        <f>'SQ_Auditoreingaben '!G43</f>
        <v>5</v>
      </c>
      <c r="H54" s="576"/>
      <c r="I54" s="104">
        <f>'1. Prüfung'!I54</f>
        <v>0</v>
      </c>
      <c r="J54" s="576"/>
      <c r="K54" s="69"/>
      <c r="L54" s="18">
        <v>5</v>
      </c>
      <c r="M54" s="364"/>
      <c r="N54" s="80"/>
      <c r="O54" s="106"/>
      <c r="P54" s="570"/>
      <c r="Q54" s="570"/>
      <c r="R54" s="571"/>
      <c r="T54" s="18">
        <f t="shared" si="0"/>
        <v>0</v>
      </c>
      <c r="U54" s="338"/>
      <c r="V54" s="344"/>
      <c r="W54" s="474"/>
      <c r="X54" s="344"/>
      <c r="Y54" s="475"/>
    </row>
    <row r="55" spans="2:25" ht="39.6" x14ac:dyDescent="0.25">
      <c r="B55" s="375"/>
      <c r="C55" s="392"/>
      <c r="D55" s="361"/>
      <c r="E55" s="77" t="s">
        <v>118</v>
      </c>
      <c r="F55" s="576"/>
      <c r="G55" s="82">
        <f>'SQ_Auditoreingaben '!G44</f>
        <v>5</v>
      </c>
      <c r="H55" s="576"/>
      <c r="I55" s="104">
        <f>'1. Prüfung'!I55</f>
        <v>0</v>
      </c>
      <c r="J55" s="576"/>
      <c r="K55" s="69"/>
      <c r="L55" s="18">
        <v>5</v>
      </c>
      <c r="M55" s="364"/>
      <c r="N55" s="80"/>
      <c r="O55" s="106"/>
      <c r="P55" s="570"/>
      <c r="Q55" s="570"/>
      <c r="R55" s="571"/>
      <c r="T55" s="18">
        <f t="shared" si="0"/>
        <v>0</v>
      </c>
      <c r="U55" s="338"/>
      <c r="V55" s="344"/>
      <c r="W55" s="474"/>
      <c r="X55" s="344"/>
      <c r="Y55" s="475"/>
    </row>
    <row r="56" spans="2:25" ht="39.6" x14ac:dyDescent="0.25">
      <c r="B56" s="375"/>
      <c r="C56" s="392"/>
      <c r="D56" s="361"/>
      <c r="E56" s="77" t="s">
        <v>119</v>
      </c>
      <c r="F56" s="576"/>
      <c r="G56" s="82">
        <f>'SQ_Auditoreingaben '!G45</f>
        <v>0</v>
      </c>
      <c r="H56" s="576"/>
      <c r="I56" s="104">
        <f>'1. Prüfung'!I56</f>
        <v>0</v>
      </c>
      <c r="J56" s="576"/>
      <c r="K56" s="69"/>
      <c r="L56" s="18">
        <v>15</v>
      </c>
      <c r="M56" s="364"/>
      <c r="N56" s="80"/>
      <c r="O56" s="106"/>
      <c r="P56" s="570"/>
      <c r="Q56" s="570"/>
      <c r="R56" s="571"/>
      <c r="T56" s="18">
        <f t="shared" si="0"/>
        <v>0</v>
      </c>
      <c r="U56" s="338"/>
      <c r="V56" s="344"/>
      <c r="W56" s="474"/>
      <c r="X56" s="344"/>
      <c r="Y56" s="475"/>
    </row>
    <row r="57" spans="2:25" ht="52.8" x14ac:dyDescent="0.25">
      <c r="B57" s="375"/>
      <c r="C57" s="392"/>
      <c r="D57" s="361"/>
      <c r="E57" s="77" t="s">
        <v>120</v>
      </c>
      <c r="F57" s="576"/>
      <c r="G57" s="82">
        <f>'SQ_Auditoreingaben '!G46</f>
        <v>5</v>
      </c>
      <c r="H57" s="576"/>
      <c r="I57" s="104">
        <f>'1. Prüfung'!I57</f>
        <v>0</v>
      </c>
      <c r="J57" s="576"/>
      <c r="K57" s="69"/>
      <c r="L57" s="18">
        <v>5</v>
      </c>
      <c r="M57" s="364"/>
      <c r="N57" s="80"/>
      <c r="O57" s="106"/>
      <c r="P57" s="570"/>
      <c r="Q57" s="570"/>
      <c r="R57" s="571"/>
      <c r="T57" s="18">
        <f t="shared" si="0"/>
        <v>0</v>
      </c>
      <c r="U57" s="338"/>
      <c r="V57" s="344"/>
      <c r="W57" s="474"/>
      <c r="X57" s="344"/>
      <c r="Y57" s="475"/>
    </row>
    <row r="58" spans="2:25" ht="105.6" x14ac:dyDescent="0.25">
      <c r="B58" s="375"/>
      <c r="C58" s="392"/>
      <c r="D58" s="361" t="s">
        <v>121</v>
      </c>
      <c r="E58" s="77" t="s">
        <v>655</v>
      </c>
      <c r="F58" s="576"/>
      <c r="G58" s="117"/>
      <c r="H58" s="576"/>
      <c r="I58" s="117"/>
      <c r="J58" s="576"/>
      <c r="K58" s="117"/>
      <c r="L58" s="21">
        <v>10</v>
      </c>
      <c r="M58" s="364"/>
      <c r="N58" s="80"/>
      <c r="O58" s="106"/>
      <c r="P58" s="570"/>
      <c r="Q58" s="570"/>
      <c r="R58" s="571"/>
      <c r="T58" s="18">
        <f t="shared" si="0"/>
        <v>0</v>
      </c>
      <c r="U58" s="338"/>
      <c r="V58" s="344"/>
      <c r="W58" s="474"/>
      <c r="X58" s="344"/>
      <c r="Y58" s="475"/>
    </row>
    <row r="59" spans="2:25" ht="26.4" x14ac:dyDescent="0.25">
      <c r="B59" s="375"/>
      <c r="C59" s="392"/>
      <c r="D59" s="361"/>
      <c r="E59" s="77" t="s">
        <v>656</v>
      </c>
      <c r="F59" s="576"/>
      <c r="G59" s="82">
        <f>'SQ_Auditoreingaben '!G48</f>
        <v>0</v>
      </c>
      <c r="H59" s="576"/>
      <c r="I59" s="104">
        <f>'1. Prüfung'!I59</f>
        <v>0</v>
      </c>
      <c r="J59" s="576"/>
      <c r="K59" s="69"/>
      <c r="L59" s="18">
        <v>5</v>
      </c>
      <c r="M59" s="364"/>
      <c r="N59" s="80"/>
      <c r="O59" s="106"/>
      <c r="P59" s="570"/>
      <c r="Q59" s="570"/>
      <c r="R59" s="571"/>
      <c r="T59" s="18">
        <f t="shared" si="0"/>
        <v>0</v>
      </c>
      <c r="U59" s="338"/>
      <c r="V59" s="344"/>
      <c r="W59" s="474"/>
      <c r="X59" s="344"/>
      <c r="Y59" s="475"/>
    </row>
    <row r="60" spans="2:25" ht="39.6" x14ac:dyDescent="0.25">
      <c r="B60" s="375"/>
      <c r="C60" s="392"/>
      <c r="D60" s="361"/>
      <c r="E60" s="77" t="s">
        <v>657</v>
      </c>
      <c r="F60" s="576"/>
      <c r="G60" s="82">
        <f>'SQ_Auditoreingaben '!G49</f>
        <v>0</v>
      </c>
      <c r="H60" s="576"/>
      <c r="I60" s="104">
        <f>'1. Prüfung'!I60</f>
        <v>0</v>
      </c>
      <c r="J60" s="576"/>
      <c r="K60" s="69"/>
      <c r="L60" s="18">
        <v>5</v>
      </c>
      <c r="M60" s="364"/>
      <c r="N60" s="80"/>
      <c r="O60" s="106"/>
      <c r="P60" s="570"/>
      <c r="Q60" s="570"/>
      <c r="R60" s="571"/>
      <c r="T60" s="18">
        <f t="shared" si="0"/>
        <v>0</v>
      </c>
      <c r="U60" s="338"/>
      <c r="V60" s="344"/>
      <c r="W60" s="474"/>
      <c r="X60" s="344"/>
      <c r="Y60" s="475"/>
    </row>
    <row r="61" spans="2:25" x14ac:dyDescent="0.25">
      <c r="B61" s="375"/>
      <c r="C61" s="392" t="s">
        <v>61</v>
      </c>
      <c r="D61" s="354" t="s">
        <v>122</v>
      </c>
      <c r="E61" s="354"/>
      <c r="F61" s="576"/>
      <c r="G61" s="117"/>
      <c r="H61" s="576"/>
      <c r="I61" s="117"/>
      <c r="J61" s="576"/>
      <c r="K61" s="117"/>
      <c r="L61" s="21">
        <v>30</v>
      </c>
      <c r="M61" s="364"/>
      <c r="N61" s="80"/>
      <c r="O61" s="106"/>
      <c r="P61" s="570"/>
      <c r="Q61" s="570"/>
      <c r="R61" s="571"/>
      <c r="T61" s="18">
        <f t="shared" si="0"/>
        <v>0</v>
      </c>
      <c r="U61" s="338"/>
      <c r="V61" s="344"/>
      <c r="W61" s="474"/>
      <c r="X61" s="344"/>
      <c r="Y61" s="475"/>
    </row>
    <row r="62" spans="2:25" ht="39.6" x14ac:dyDescent="0.25">
      <c r="B62" s="375"/>
      <c r="C62" s="392"/>
      <c r="D62" s="71" t="s">
        <v>63</v>
      </c>
      <c r="E62" s="77" t="s">
        <v>123</v>
      </c>
      <c r="F62" s="576"/>
      <c r="G62" s="82">
        <f>'SQ_Auditoreingaben '!G51</f>
        <v>10</v>
      </c>
      <c r="H62" s="576"/>
      <c r="I62" s="104">
        <f>'1. Prüfung'!I62</f>
        <v>0</v>
      </c>
      <c r="J62" s="576"/>
      <c r="K62" s="69"/>
      <c r="L62" s="18">
        <v>30</v>
      </c>
      <c r="M62" s="364"/>
      <c r="N62" s="80"/>
      <c r="O62" s="106"/>
      <c r="P62" s="570"/>
      <c r="Q62" s="570"/>
      <c r="R62" s="571"/>
      <c r="T62" s="18">
        <f t="shared" si="0"/>
        <v>0</v>
      </c>
      <c r="U62" s="338"/>
      <c r="V62" s="344"/>
      <c r="W62" s="474"/>
      <c r="X62" s="344"/>
      <c r="Y62" s="475"/>
    </row>
    <row r="63" spans="2:25" x14ac:dyDescent="0.25">
      <c r="B63" s="375"/>
      <c r="C63" s="392" t="s">
        <v>64</v>
      </c>
      <c r="D63" s="354" t="s">
        <v>124</v>
      </c>
      <c r="E63" s="354"/>
      <c r="F63" s="576"/>
      <c r="G63" s="362"/>
      <c r="H63" s="576"/>
      <c r="I63" s="362"/>
      <c r="J63" s="576"/>
      <c r="K63" s="362"/>
      <c r="L63" s="21">
        <v>20</v>
      </c>
      <c r="M63" s="364"/>
      <c r="N63" s="80"/>
      <c r="O63" s="106"/>
      <c r="P63" s="570"/>
      <c r="Q63" s="570"/>
      <c r="R63" s="571"/>
      <c r="T63" s="18">
        <f t="shared" si="0"/>
        <v>0</v>
      </c>
      <c r="U63" s="338"/>
      <c r="V63" s="344"/>
      <c r="W63" s="474"/>
      <c r="X63" s="344"/>
      <c r="Y63" s="475"/>
    </row>
    <row r="64" spans="2:25" x14ac:dyDescent="0.25">
      <c r="B64" s="375"/>
      <c r="C64" s="392"/>
      <c r="D64" s="361" t="s">
        <v>66</v>
      </c>
      <c r="E64" s="87" t="s">
        <v>125</v>
      </c>
      <c r="F64" s="576"/>
      <c r="G64" s="362"/>
      <c r="H64" s="576"/>
      <c r="I64" s="362"/>
      <c r="J64" s="576"/>
      <c r="K64" s="362"/>
      <c r="L64" s="21">
        <v>20</v>
      </c>
      <c r="M64" s="364"/>
      <c r="N64" s="80"/>
      <c r="O64" s="106"/>
      <c r="P64" s="570"/>
      <c r="Q64" s="570"/>
      <c r="R64" s="571"/>
      <c r="T64" s="18">
        <f t="shared" si="0"/>
        <v>0</v>
      </c>
      <c r="U64" s="338"/>
      <c r="V64" s="344"/>
      <c r="W64" s="474"/>
      <c r="X64" s="344"/>
      <c r="Y64" s="475"/>
    </row>
    <row r="65" spans="2:25" ht="26.4" x14ac:dyDescent="0.25">
      <c r="B65" s="375"/>
      <c r="C65" s="392"/>
      <c r="D65" s="361"/>
      <c r="E65" s="77" t="s">
        <v>126</v>
      </c>
      <c r="F65" s="576"/>
      <c r="G65" s="82">
        <f>'SQ_Auditoreingaben '!G54</f>
        <v>20</v>
      </c>
      <c r="H65" s="576"/>
      <c r="I65" s="104">
        <f>'1. Prüfung'!I65</f>
        <v>0</v>
      </c>
      <c r="J65" s="576"/>
      <c r="K65" s="69"/>
      <c r="L65" s="18">
        <v>10</v>
      </c>
      <c r="M65" s="364"/>
      <c r="N65" s="80"/>
      <c r="O65" s="106"/>
      <c r="P65" s="570"/>
      <c r="Q65" s="570"/>
      <c r="R65" s="571"/>
      <c r="T65" s="18">
        <f t="shared" si="0"/>
        <v>0</v>
      </c>
      <c r="U65" s="338"/>
      <c r="V65" s="344"/>
      <c r="W65" s="474"/>
      <c r="X65" s="344"/>
      <c r="Y65" s="475"/>
    </row>
    <row r="66" spans="2:25" ht="26.4" x14ac:dyDescent="0.25">
      <c r="B66" s="375"/>
      <c r="C66" s="392"/>
      <c r="D66" s="361"/>
      <c r="E66" s="77" t="s">
        <v>127</v>
      </c>
      <c r="F66" s="576"/>
      <c r="G66" s="82">
        <f>'SQ_Auditoreingaben '!G55</f>
        <v>0</v>
      </c>
      <c r="H66" s="576"/>
      <c r="I66" s="104">
        <f>'1. Prüfung'!I66</f>
        <v>0</v>
      </c>
      <c r="J66" s="576"/>
      <c r="K66" s="69"/>
      <c r="L66" s="18">
        <v>10</v>
      </c>
      <c r="M66" s="364"/>
      <c r="N66" s="80"/>
      <c r="O66" s="106"/>
      <c r="P66" s="570"/>
      <c r="Q66" s="570"/>
      <c r="R66" s="571"/>
      <c r="T66" s="18">
        <f t="shared" si="0"/>
        <v>0</v>
      </c>
      <c r="U66" s="338"/>
      <c r="V66" s="344"/>
      <c r="W66" s="474"/>
      <c r="X66" s="344"/>
      <c r="Y66" s="475"/>
    </row>
    <row r="67" spans="2:25" x14ac:dyDescent="0.25">
      <c r="B67" s="375"/>
      <c r="C67" s="392" t="s">
        <v>67</v>
      </c>
      <c r="D67" s="354" t="s">
        <v>128</v>
      </c>
      <c r="E67" s="354"/>
      <c r="F67" s="576"/>
      <c r="G67" s="362"/>
      <c r="H67" s="576"/>
      <c r="I67" s="362"/>
      <c r="J67" s="576"/>
      <c r="K67" s="362"/>
      <c r="L67" s="21">
        <v>15</v>
      </c>
      <c r="M67" s="364"/>
      <c r="N67" s="80"/>
      <c r="O67" s="106"/>
      <c r="P67" s="570"/>
      <c r="Q67" s="570"/>
      <c r="R67" s="571"/>
      <c r="T67" s="18">
        <f t="shared" si="0"/>
        <v>0</v>
      </c>
      <c r="U67" s="338"/>
      <c r="V67" s="344"/>
      <c r="W67" s="474"/>
      <c r="X67" s="344"/>
      <c r="Y67" s="475"/>
    </row>
    <row r="68" spans="2:25" x14ac:dyDescent="0.25">
      <c r="B68" s="375"/>
      <c r="C68" s="392"/>
      <c r="D68" s="361" t="s">
        <v>98</v>
      </c>
      <c r="E68" s="87" t="s">
        <v>129</v>
      </c>
      <c r="F68" s="576"/>
      <c r="G68" s="362"/>
      <c r="H68" s="576"/>
      <c r="I68" s="362"/>
      <c r="J68" s="576"/>
      <c r="K68" s="362"/>
      <c r="L68" s="21">
        <v>15</v>
      </c>
      <c r="M68" s="364"/>
      <c r="N68" s="80"/>
      <c r="O68" s="106"/>
      <c r="P68" s="570"/>
      <c r="Q68" s="570"/>
      <c r="R68" s="571"/>
      <c r="T68" s="18">
        <f t="shared" si="0"/>
        <v>0</v>
      </c>
      <c r="U68" s="338"/>
      <c r="V68" s="344"/>
      <c r="W68" s="474"/>
      <c r="X68" s="344"/>
      <c r="Y68" s="475"/>
    </row>
    <row r="69" spans="2:25" ht="79.2" x14ac:dyDescent="0.25">
      <c r="B69" s="375"/>
      <c r="C69" s="392"/>
      <c r="D69" s="361"/>
      <c r="E69" s="77" t="s">
        <v>130</v>
      </c>
      <c r="F69" s="576"/>
      <c r="G69" s="82">
        <f>'SQ_Auditoreingaben '!G58</f>
        <v>15</v>
      </c>
      <c r="H69" s="576"/>
      <c r="I69" s="104">
        <f>'1. Prüfung'!I69</f>
        <v>0</v>
      </c>
      <c r="J69" s="576"/>
      <c r="K69" s="69"/>
      <c r="L69" s="18">
        <v>10</v>
      </c>
      <c r="M69" s="364"/>
      <c r="N69" s="80"/>
      <c r="O69" s="106"/>
      <c r="P69" s="570"/>
      <c r="Q69" s="570"/>
      <c r="R69" s="571"/>
      <c r="T69" s="18">
        <f t="shared" si="0"/>
        <v>0</v>
      </c>
      <c r="U69" s="338"/>
      <c r="V69" s="344"/>
      <c r="W69" s="474"/>
      <c r="X69" s="344"/>
      <c r="Y69" s="475"/>
    </row>
    <row r="70" spans="2:25" ht="39.6" x14ac:dyDescent="0.25">
      <c r="B70" s="375"/>
      <c r="C70" s="392"/>
      <c r="D70" s="361"/>
      <c r="E70" s="77" t="s">
        <v>131</v>
      </c>
      <c r="F70" s="576"/>
      <c r="G70" s="82" t="e">
        <f>'SQ_Auditoreingaben '!#REF!</f>
        <v>#REF!</v>
      </c>
      <c r="H70" s="576"/>
      <c r="I70" s="104">
        <f>'1. Prüfung'!I70</f>
        <v>0</v>
      </c>
      <c r="J70" s="576"/>
      <c r="K70" s="69"/>
      <c r="L70" s="18">
        <v>5</v>
      </c>
      <c r="M70" s="364"/>
      <c r="N70" s="80"/>
      <c r="O70" s="106"/>
      <c r="P70" s="570"/>
      <c r="Q70" s="570"/>
      <c r="R70" s="571"/>
      <c r="T70" s="18">
        <f t="shared" si="0"/>
        <v>0</v>
      </c>
      <c r="U70" s="339"/>
      <c r="V70" s="365"/>
      <c r="W70" s="474"/>
      <c r="X70" s="344"/>
      <c r="Y70" s="475"/>
    </row>
    <row r="71" spans="2:25" x14ac:dyDescent="0.25">
      <c r="B71" s="55" t="s">
        <v>134</v>
      </c>
      <c r="C71" s="354" t="s">
        <v>135</v>
      </c>
      <c r="D71" s="354"/>
      <c r="E71" s="354"/>
      <c r="F71" s="78">
        <f>'SQ_Auditoreingaben '!F59</f>
        <v>95</v>
      </c>
      <c r="G71" s="356"/>
      <c r="H71" s="105">
        <f>'1. Prüfung'!H71</f>
        <v>0</v>
      </c>
      <c r="I71" s="356"/>
      <c r="J71" s="79">
        <f>U71</f>
        <v>0</v>
      </c>
      <c r="K71" s="356"/>
      <c r="L71" s="21">
        <v>100</v>
      </c>
      <c r="M71" s="88">
        <v>5</v>
      </c>
      <c r="N71" s="80"/>
      <c r="O71" s="106"/>
      <c r="P71" s="570"/>
      <c r="Q71" s="570"/>
      <c r="R71" s="571"/>
      <c r="T71" s="18">
        <f t="shared" si="0"/>
        <v>0</v>
      </c>
      <c r="U71" s="337">
        <f>IF(SUM(T73:T79)&gt;100,100,SUM(T73:T79))</f>
        <v>0</v>
      </c>
      <c r="V71" s="343">
        <f>U71/100</f>
        <v>0</v>
      </c>
      <c r="W71" s="474"/>
      <c r="X71" s="344"/>
      <c r="Y71" s="475"/>
    </row>
    <row r="72" spans="2:25" x14ac:dyDescent="0.25">
      <c r="B72" s="375"/>
      <c r="C72" s="392" t="s">
        <v>54</v>
      </c>
      <c r="D72" s="354" t="s">
        <v>136</v>
      </c>
      <c r="E72" s="354"/>
      <c r="F72" s="576"/>
      <c r="G72" s="356"/>
      <c r="H72" s="576"/>
      <c r="I72" s="356"/>
      <c r="J72" s="576"/>
      <c r="K72" s="356"/>
      <c r="L72" s="21">
        <v>45</v>
      </c>
      <c r="M72" s="364"/>
      <c r="N72" s="80"/>
      <c r="O72" s="106"/>
      <c r="P72" s="570"/>
      <c r="Q72" s="570"/>
      <c r="R72" s="571"/>
      <c r="T72" s="18">
        <f t="shared" si="0"/>
        <v>0</v>
      </c>
      <c r="U72" s="338"/>
      <c r="V72" s="344"/>
      <c r="W72" s="474"/>
      <c r="X72" s="344"/>
      <c r="Y72" s="475"/>
    </row>
    <row r="73" spans="2:25" ht="26.4" x14ac:dyDescent="0.25">
      <c r="B73" s="375"/>
      <c r="C73" s="392"/>
      <c r="D73" s="71" t="s">
        <v>58</v>
      </c>
      <c r="E73" s="77" t="s">
        <v>138</v>
      </c>
      <c r="F73" s="576"/>
      <c r="G73" s="82">
        <f>'SQ_Auditoreingaben '!G61</f>
        <v>40</v>
      </c>
      <c r="H73" s="576"/>
      <c r="I73" s="104">
        <f>'1. Prüfung'!I73</f>
        <v>0</v>
      </c>
      <c r="J73" s="576"/>
      <c r="K73" s="69"/>
      <c r="L73" s="18">
        <v>45</v>
      </c>
      <c r="M73" s="364"/>
      <c r="N73" s="80"/>
      <c r="O73" s="106"/>
      <c r="P73" s="570"/>
      <c r="Q73" s="570"/>
      <c r="R73" s="571"/>
      <c r="T73" s="18">
        <f t="shared" si="0"/>
        <v>0</v>
      </c>
      <c r="U73" s="338"/>
      <c r="V73" s="344"/>
      <c r="W73" s="474"/>
      <c r="X73" s="344"/>
      <c r="Y73" s="475"/>
    </row>
    <row r="74" spans="2:25" x14ac:dyDescent="0.25">
      <c r="B74" s="375"/>
      <c r="C74" s="392" t="s">
        <v>61</v>
      </c>
      <c r="D74" s="122" t="s">
        <v>137</v>
      </c>
      <c r="E74" s="89"/>
      <c r="F74" s="576"/>
      <c r="G74" s="113"/>
      <c r="H74" s="576"/>
      <c r="I74" s="113"/>
      <c r="J74" s="576"/>
      <c r="K74" s="113"/>
      <c r="L74" s="21">
        <v>20</v>
      </c>
      <c r="M74" s="364"/>
      <c r="N74" s="80"/>
      <c r="O74" s="106"/>
      <c r="P74" s="570"/>
      <c r="Q74" s="570"/>
      <c r="R74" s="571"/>
      <c r="T74" s="18">
        <f t="shared" si="0"/>
        <v>0</v>
      </c>
      <c r="U74" s="338"/>
      <c r="V74" s="344"/>
      <c r="W74" s="474"/>
      <c r="X74" s="344"/>
      <c r="Y74" s="475"/>
    </row>
    <row r="75" spans="2:25" ht="26.4" x14ac:dyDescent="0.25">
      <c r="B75" s="375"/>
      <c r="C75" s="392"/>
      <c r="D75" s="71" t="s">
        <v>63</v>
      </c>
      <c r="E75" s="77" t="s">
        <v>139</v>
      </c>
      <c r="F75" s="576"/>
      <c r="G75" s="82">
        <f>'SQ_Auditoreingaben '!G63</f>
        <v>15</v>
      </c>
      <c r="H75" s="576"/>
      <c r="I75" s="104">
        <f>'1. Prüfung'!I75</f>
        <v>0</v>
      </c>
      <c r="J75" s="576"/>
      <c r="K75" s="69"/>
      <c r="L75" s="18">
        <v>20</v>
      </c>
      <c r="M75" s="364"/>
      <c r="N75" s="80"/>
      <c r="O75" s="106"/>
      <c r="P75" s="570"/>
      <c r="Q75" s="570"/>
      <c r="R75" s="571"/>
      <c r="T75" s="18">
        <f t="shared" ref="T75:T142" si="1">IF(K75&gt;L75,L75,K75)</f>
        <v>0</v>
      </c>
      <c r="U75" s="338"/>
      <c r="V75" s="344"/>
      <c r="W75" s="474"/>
      <c r="X75" s="344"/>
      <c r="Y75" s="475"/>
    </row>
    <row r="76" spans="2:25" x14ac:dyDescent="0.25">
      <c r="B76" s="375"/>
      <c r="C76" s="392" t="s">
        <v>64</v>
      </c>
      <c r="D76" s="122" t="s">
        <v>140</v>
      </c>
      <c r="E76" s="89"/>
      <c r="F76" s="576"/>
      <c r="G76" s="113"/>
      <c r="H76" s="576"/>
      <c r="I76" s="113"/>
      <c r="J76" s="576"/>
      <c r="K76" s="113"/>
      <c r="L76" s="21">
        <v>10</v>
      </c>
      <c r="M76" s="364"/>
      <c r="N76" s="80"/>
      <c r="O76" s="106"/>
      <c r="P76" s="570"/>
      <c r="Q76" s="570"/>
      <c r="R76" s="571"/>
      <c r="T76" s="18">
        <f t="shared" si="1"/>
        <v>0</v>
      </c>
      <c r="U76" s="338"/>
      <c r="V76" s="344"/>
      <c r="W76" s="474"/>
      <c r="X76" s="344"/>
      <c r="Y76" s="475"/>
    </row>
    <row r="77" spans="2:25" ht="66" x14ac:dyDescent="0.25">
      <c r="B77" s="375"/>
      <c r="C77" s="392"/>
      <c r="D77" s="71" t="s">
        <v>66</v>
      </c>
      <c r="E77" s="77" t="s">
        <v>235</v>
      </c>
      <c r="F77" s="576"/>
      <c r="G77" s="82">
        <f>'SQ_Auditoreingaben '!G66</f>
        <v>5</v>
      </c>
      <c r="H77" s="576"/>
      <c r="I77" s="104">
        <f>'1. Prüfung'!I77</f>
        <v>0</v>
      </c>
      <c r="J77" s="576"/>
      <c r="K77" s="69"/>
      <c r="L77" s="18">
        <v>10</v>
      </c>
      <c r="M77" s="364"/>
      <c r="N77" s="80"/>
      <c r="O77" s="106"/>
      <c r="P77" s="570"/>
      <c r="Q77" s="570"/>
      <c r="R77" s="571"/>
      <c r="T77" s="18">
        <f t="shared" si="1"/>
        <v>0</v>
      </c>
      <c r="U77" s="338"/>
      <c r="V77" s="344"/>
      <c r="W77" s="474"/>
      <c r="X77" s="344"/>
      <c r="Y77" s="475"/>
    </row>
    <row r="78" spans="2:25" x14ac:dyDescent="0.25">
      <c r="B78" s="375"/>
      <c r="C78" s="392" t="s">
        <v>67</v>
      </c>
      <c r="D78" s="122" t="s">
        <v>141</v>
      </c>
      <c r="E78" s="89"/>
      <c r="F78" s="576"/>
      <c r="G78" s="113"/>
      <c r="H78" s="576"/>
      <c r="I78" s="113"/>
      <c r="J78" s="576"/>
      <c r="K78" s="113"/>
      <c r="L78" s="21">
        <v>35</v>
      </c>
      <c r="M78" s="364"/>
      <c r="N78" s="80"/>
      <c r="O78" s="106"/>
      <c r="P78" s="570"/>
      <c r="Q78" s="570"/>
      <c r="R78" s="571"/>
      <c r="T78" s="18">
        <f t="shared" si="1"/>
        <v>0</v>
      </c>
      <c r="U78" s="338"/>
      <c r="V78" s="344"/>
      <c r="W78" s="474"/>
      <c r="X78" s="344"/>
      <c r="Y78" s="475"/>
    </row>
    <row r="79" spans="2:25" ht="26.4" x14ac:dyDescent="0.25">
      <c r="B79" s="375"/>
      <c r="C79" s="392"/>
      <c r="D79" s="71" t="s">
        <v>69</v>
      </c>
      <c r="E79" s="77" t="s">
        <v>142</v>
      </c>
      <c r="F79" s="576"/>
      <c r="G79" s="82">
        <f>'SQ_Auditoreingaben '!G69</f>
        <v>25</v>
      </c>
      <c r="H79" s="576"/>
      <c r="I79" s="104">
        <f>'1. Prüfung'!I79</f>
        <v>0</v>
      </c>
      <c r="J79" s="576"/>
      <c r="K79" s="69"/>
      <c r="L79" s="18">
        <v>35</v>
      </c>
      <c r="M79" s="364"/>
      <c r="N79" s="80"/>
      <c r="O79" s="106"/>
      <c r="P79" s="570"/>
      <c r="Q79" s="570"/>
      <c r="R79" s="571"/>
      <c r="T79" s="18">
        <f t="shared" si="1"/>
        <v>0</v>
      </c>
      <c r="U79" s="339"/>
      <c r="V79" s="365"/>
      <c r="W79" s="474"/>
      <c r="X79" s="344"/>
      <c r="Y79" s="475"/>
    </row>
    <row r="80" spans="2:25" x14ac:dyDescent="0.25">
      <c r="B80" s="55" t="s">
        <v>143</v>
      </c>
      <c r="C80" s="354" t="s">
        <v>144</v>
      </c>
      <c r="D80" s="354"/>
      <c r="E80" s="354"/>
      <c r="F80" s="78">
        <f>'SQ_Auditoreingaben '!F70</f>
        <v>75</v>
      </c>
      <c r="G80" s="364"/>
      <c r="H80" s="105">
        <f>'1. Prüfung'!H80</f>
        <v>0</v>
      </c>
      <c r="I80" s="364"/>
      <c r="J80" s="79">
        <f>U80</f>
        <v>0</v>
      </c>
      <c r="K80" s="364"/>
      <c r="L80" s="21">
        <v>110</v>
      </c>
      <c r="M80" s="88">
        <v>4</v>
      </c>
      <c r="N80" s="80"/>
      <c r="O80" s="106"/>
      <c r="P80" s="570"/>
      <c r="Q80" s="570"/>
      <c r="R80" s="571"/>
      <c r="T80" s="18">
        <f t="shared" si="1"/>
        <v>0</v>
      </c>
      <c r="U80" s="337">
        <f>SUM(T82:T96)</f>
        <v>0</v>
      </c>
      <c r="V80" s="343">
        <f>U80/100</f>
        <v>0</v>
      </c>
      <c r="W80" s="474"/>
      <c r="X80" s="344"/>
      <c r="Y80" s="475"/>
    </row>
    <row r="81" spans="2:25" x14ac:dyDescent="0.25">
      <c r="B81" s="375"/>
      <c r="C81" s="351" t="s">
        <v>54</v>
      </c>
      <c r="D81" s="354" t="s">
        <v>145</v>
      </c>
      <c r="E81" s="354"/>
      <c r="F81" s="576"/>
      <c r="G81" s="364"/>
      <c r="H81" s="576"/>
      <c r="I81" s="364"/>
      <c r="J81" s="576"/>
      <c r="K81" s="364"/>
      <c r="L81" s="21">
        <v>10</v>
      </c>
      <c r="M81" s="364"/>
      <c r="N81" s="80"/>
      <c r="O81" s="106"/>
      <c r="P81" s="570"/>
      <c r="Q81" s="570"/>
      <c r="R81" s="571"/>
      <c r="T81" s="18">
        <f t="shared" si="1"/>
        <v>0</v>
      </c>
      <c r="U81" s="338"/>
      <c r="V81" s="344"/>
      <c r="W81" s="474"/>
      <c r="X81" s="344"/>
      <c r="Y81" s="475"/>
    </row>
    <row r="82" spans="2:25" ht="79.2" x14ac:dyDescent="0.25">
      <c r="B82" s="375"/>
      <c r="C82" s="351"/>
      <c r="D82" s="71" t="s">
        <v>58</v>
      </c>
      <c r="E82" s="77" t="s">
        <v>146</v>
      </c>
      <c r="F82" s="576"/>
      <c r="G82" s="82">
        <f>'SQ_Auditoreingaben '!G72</f>
        <v>10</v>
      </c>
      <c r="H82" s="576"/>
      <c r="I82" s="104">
        <f>'1. Prüfung'!I82</f>
        <v>0</v>
      </c>
      <c r="J82" s="576"/>
      <c r="K82" s="69"/>
      <c r="L82" s="18">
        <v>10</v>
      </c>
      <c r="M82" s="364"/>
      <c r="N82" s="80"/>
      <c r="O82" s="106"/>
      <c r="P82" s="570"/>
      <c r="Q82" s="570"/>
      <c r="R82" s="571"/>
      <c r="T82" s="18">
        <f t="shared" si="1"/>
        <v>0</v>
      </c>
      <c r="U82" s="338"/>
      <c r="V82" s="344"/>
      <c r="W82" s="474"/>
      <c r="X82" s="344"/>
      <c r="Y82" s="475"/>
    </row>
    <row r="83" spans="2:25" x14ac:dyDescent="0.25">
      <c r="B83" s="375"/>
      <c r="C83" s="351" t="s">
        <v>61</v>
      </c>
      <c r="D83" s="354" t="s">
        <v>147</v>
      </c>
      <c r="E83" s="354"/>
      <c r="F83" s="576"/>
      <c r="G83" s="113"/>
      <c r="H83" s="576"/>
      <c r="I83" s="113"/>
      <c r="J83" s="576"/>
      <c r="K83" s="113"/>
      <c r="L83" s="21">
        <v>20</v>
      </c>
      <c r="M83" s="364"/>
      <c r="N83" s="80"/>
      <c r="O83" s="106"/>
      <c r="P83" s="570"/>
      <c r="Q83" s="570"/>
      <c r="R83" s="571"/>
      <c r="T83" s="18">
        <f t="shared" si="1"/>
        <v>0</v>
      </c>
      <c r="U83" s="338"/>
      <c r="V83" s="344"/>
      <c r="W83" s="474"/>
      <c r="X83" s="344"/>
      <c r="Y83" s="475"/>
    </row>
    <row r="84" spans="2:25" ht="26.4" x14ac:dyDescent="0.25">
      <c r="B84" s="375"/>
      <c r="C84" s="351"/>
      <c r="D84" s="71" t="s">
        <v>63</v>
      </c>
      <c r="E84" s="77" t="s">
        <v>148</v>
      </c>
      <c r="F84" s="576"/>
      <c r="G84" s="82">
        <f>'SQ_Auditoreingaben '!G74</f>
        <v>20</v>
      </c>
      <c r="H84" s="576"/>
      <c r="I84" s="104">
        <f>'1. Prüfung'!I84</f>
        <v>0</v>
      </c>
      <c r="J84" s="576"/>
      <c r="K84" s="69"/>
      <c r="L84" s="18">
        <v>20</v>
      </c>
      <c r="M84" s="364"/>
      <c r="N84" s="80"/>
      <c r="O84" s="106"/>
      <c r="P84" s="570"/>
      <c r="Q84" s="570"/>
      <c r="R84" s="571"/>
      <c r="T84" s="18">
        <f t="shared" si="1"/>
        <v>0</v>
      </c>
      <c r="U84" s="338"/>
      <c r="V84" s="344"/>
      <c r="W84" s="474"/>
      <c r="X84" s="344"/>
      <c r="Y84" s="475"/>
    </row>
    <row r="85" spans="2:25" x14ac:dyDescent="0.25">
      <c r="B85" s="375"/>
      <c r="C85" s="577" t="s">
        <v>64</v>
      </c>
      <c r="D85" s="354" t="s">
        <v>149</v>
      </c>
      <c r="E85" s="354"/>
      <c r="F85" s="576"/>
      <c r="G85" s="113"/>
      <c r="H85" s="576"/>
      <c r="I85" s="113"/>
      <c r="J85" s="576"/>
      <c r="K85" s="113"/>
      <c r="L85" s="21">
        <v>40</v>
      </c>
      <c r="M85" s="364"/>
      <c r="N85" s="80"/>
      <c r="O85" s="106"/>
      <c r="P85" s="570"/>
      <c r="Q85" s="570"/>
      <c r="R85" s="571"/>
      <c r="T85" s="18">
        <f t="shared" si="1"/>
        <v>0</v>
      </c>
      <c r="U85" s="338"/>
      <c r="V85" s="344"/>
      <c r="W85" s="474"/>
      <c r="X85" s="344"/>
      <c r="Y85" s="475"/>
    </row>
    <row r="86" spans="2:25" ht="26.4" x14ac:dyDescent="0.25">
      <c r="B86" s="375"/>
      <c r="C86" s="577"/>
      <c r="D86" s="71" t="s">
        <v>66</v>
      </c>
      <c r="E86" s="77" t="s">
        <v>705</v>
      </c>
      <c r="F86" s="576"/>
      <c r="G86" s="82">
        <f>'SQ_Auditoreingaben '!G76</f>
        <v>5</v>
      </c>
      <c r="H86" s="576"/>
      <c r="I86" s="104">
        <f>'1. Prüfung'!I86</f>
        <v>0</v>
      </c>
      <c r="J86" s="576"/>
      <c r="K86" s="69"/>
      <c r="L86" s="18">
        <v>30</v>
      </c>
      <c r="M86" s="364"/>
      <c r="N86" s="80"/>
      <c r="O86" s="106"/>
      <c r="P86" s="570"/>
      <c r="Q86" s="570"/>
      <c r="R86" s="571"/>
      <c r="T86" s="18">
        <f t="shared" si="1"/>
        <v>0</v>
      </c>
      <c r="U86" s="338"/>
      <c r="V86" s="344"/>
      <c r="W86" s="474"/>
      <c r="X86" s="344"/>
      <c r="Y86" s="475"/>
    </row>
    <row r="87" spans="2:25" ht="52.8" x14ac:dyDescent="0.25">
      <c r="B87" s="375"/>
      <c r="C87" s="577"/>
      <c r="D87" s="71" t="s">
        <v>150</v>
      </c>
      <c r="E87" s="77" t="s">
        <v>706</v>
      </c>
      <c r="F87" s="576"/>
      <c r="G87" s="82">
        <f>'SQ_Auditoreingaben '!G77</f>
        <v>0</v>
      </c>
      <c r="H87" s="576"/>
      <c r="I87" s="104">
        <f>'1. Prüfung'!I87</f>
        <v>0</v>
      </c>
      <c r="J87" s="576"/>
      <c r="K87" s="69"/>
      <c r="L87" s="18">
        <v>10</v>
      </c>
      <c r="M87" s="364"/>
      <c r="N87" s="80"/>
      <c r="O87" s="106"/>
      <c r="P87" s="570"/>
      <c r="Q87" s="570"/>
      <c r="R87" s="571"/>
      <c r="T87" s="18">
        <f t="shared" si="1"/>
        <v>0</v>
      </c>
      <c r="U87" s="338"/>
      <c r="V87" s="344"/>
      <c r="W87" s="474"/>
      <c r="X87" s="344"/>
      <c r="Y87" s="475"/>
    </row>
    <row r="88" spans="2:25" x14ac:dyDescent="0.25">
      <c r="B88" s="375"/>
      <c r="C88" s="351" t="s">
        <v>67</v>
      </c>
      <c r="D88" s="354" t="s">
        <v>151</v>
      </c>
      <c r="E88" s="354"/>
      <c r="F88" s="576"/>
      <c r="G88" s="356"/>
      <c r="H88" s="576"/>
      <c r="I88" s="356"/>
      <c r="J88" s="576"/>
      <c r="K88" s="356"/>
      <c r="L88" s="21">
        <v>20</v>
      </c>
      <c r="M88" s="364"/>
      <c r="N88" s="80"/>
      <c r="O88" s="106"/>
      <c r="P88" s="570"/>
      <c r="Q88" s="570"/>
      <c r="R88" s="571"/>
      <c r="T88" s="18">
        <f t="shared" si="1"/>
        <v>0</v>
      </c>
      <c r="U88" s="338"/>
      <c r="V88" s="344"/>
      <c r="W88" s="474"/>
      <c r="X88" s="344"/>
      <c r="Y88" s="475"/>
    </row>
    <row r="89" spans="2:25" x14ac:dyDescent="0.25">
      <c r="B89" s="375"/>
      <c r="C89" s="351"/>
      <c r="D89" s="361" t="s">
        <v>69</v>
      </c>
      <c r="E89" s="90" t="s">
        <v>151</v>
      </c>
      <c r="F89" s="576"/>
      <c r="G89" s="356"/>
      <c r="H89" s="576"/>
      <c r="I89" s="356"/>
      <c r="J89" s="576"/>
      <c r="K89" s="356"/>
      <c r="L89" s="21">
        <v>20</v>
      </c>
      <c r="M89" s="364"/>
      <c r="N89" s="80"/>
      <c r="O89" s="106"/>
      <c r="P89" s="570"/>
      <c r="Q89" s="570"/>
      <c r="R89" s="571"/>
      <c r="T89" s="18">
        <f t="shared" si="1"/>
        <v>0</v>
      </c>
      <c r="U89" s="338"/>
      <c r="V89" s="344"/>
      <c r="W89" s="474"/>
      <c r="X89" s="344"/>
      <c r="Y89" s="475"/>
    </row>
    <row r="90" spans="2:25" ht="52.8" x14ac:dyDescent="0.25">
      <c r="B90" s="375"/>
      <c r="C90" s="351"/>
      <c r="D90" s="361"/>
      <c r="E90" s="77" t="s">
        <v>152</v>
      </c>
      <c r="F90" s="576"/>
      <c r="G90" s="82">
        <f>'SQ_Auditoreingaben '!G80</f>
        <v>10</v>
      </c>
      <c r="H90" s="576"/>
      <c r="I90" s="104">
        <f>'1. Prüfung'!I90</f>
        <v>0</v>
      </c>
      <c r="J90" s="576"/>
      <c r="K90" s="69"/>
      <c r="L90" s="18">
        <v>10</v>
      </c>
      <c r="M90" s="364"/>
      <c r="N90" s="80"/>
      <c r="O90" s="106"/>
      <c r="P90" s="570"/>
      <c r="Q90" s="570"/>
      <c r="R90" s="571"/>
      <c r="T90" s="18">
        <f t="shared" si="1"/>
        <v>0</v>
      </c>
      <c r="U90" s="338"/>
      <c r="V90" s="344"/>
      <c r="W90" s="474"/>
      <c r="X90" s="344"/>
      <c r="Y90" s="475"/>
    </row>
    <row r="91" spans="2:25" ht="79.2" x14ac:dyDescent="0.25">
      <c r="B91" s="375"/>
      <c r="C91" s="351"/>
      <c r="D91" s="361"/>
      <c r="E91" s="77" t="s">
        <v>153</v>
      </c>
      <c r="F91" s="576"/>
      <c r="G91" s="82">
        <f>'SQ_Auditoreingaben '!G81</f>
        <v>10</v>
      </c>
      <c r="H91" s="576"/>
      <c r="I91" s="104">
        <f>'1. Prüfung'!I91</f>
        <v>0</v>
      </c>
      <c r="J91" s="576"/>
      <c r="K91" s="69"/>
      <c r="L91" s="18">
        <v>10</v>
      </c>
      <c r="M91" s="364"/>
      <c r="N91" s="80"/>
      <c r="O91" s="106"/>
      <c r="P91" s="570"/>
      <c r="Q91" s="570"/>
      <c r="R91" s="571"/>
      <c r="T91" s="18">
        <f t="shared" si="1"/>
        <v>0</v>
      </c>
      <c r="U91" s="338"/>
      <c r="V91" s="344"/>
      <c r="W91" s="474"/>
      <c r="X91" s="344"/>
      <c r="Y91" s="475"/>
    </row>
    <row r="92" spans="2:25" x14ac:dyDescent="0.25">
      <c r="B92" s="375"/>
      <c r="C92" s="351" t="s">
        <v>154</v>
      </c>
      <c r="D92" s="354" t="s">
        <v>155</v>
      </c>
      <c r="E92" s="354"/>
      <c r="F92" s="576"/>
      <c r="G92" s="113"/>
      <c r="H92" s="576"/>
      <c r="I92" s="113"/>
      <c r="J92" s="576"/>
      <c r="K92" s="113"/>
      <c r="L92" s="21">
        <v>10</v>
      </c>
      <c r="M92" s="364"/>
      <c r="N92" s="80"/>
      <c r="O92" s="106"/>
      <c r="P92" s="570"/>
      <c r="Q92" s="570"/>
      <c r="R92" s="571"/>
      <c r="T92" s="18">
        <f t="shared" si="1"/>
        <v>0</v>
      </c>
      <c r="U92" s="338"/>
      <c r="V92" s="344"/>
      <c r="W92" s="474"/>
      <c r="X92" s="344"/>
      <c r="Y92" s="475"/>
    </row>
    <row r="93" spans="2:25" ht="39.6" x14ac:dyDescent="0.25">
      <c r="B93" s="375"/>
      <c r="C93" s="351"/>
      <c r="D93" s="71" t="s">
        <v>156</v>
      </c>
      <c r="E93" s="77" t="s">
        <v>234</v>
      </c>
      <c r="F93" s="576"/>
      <c r="G93" s="82">
        <f>'SQ_Auditoreingaben '!G83</f>
        <v>10</v>
      </c>
      <c r="H93" s="576"/>
      <c r="I93" s="104">
        <f>'1. Prüfung'!I93</f>
        <v>0</v>
      </c>
      <c r="J93" s="576"/>
      <c r="K93" s="69"/>
      <c r="L93" s="18">
        <v>10</v>
      </c>
      <c r="M93" s="364"/>
      <c r="N93" s="80"/>
      <c r="O93" s="106"/>
      <c r="P93" s="570"/>
      <c r="Q93" s="570"/>
      <c r="R93" s="571"/>
      <c r="T93" s="18">
        <f t="shared" si="1"/>
        <v>0</v>
      </c>
      <c r="U93" s="338"/>
      <c r="V93" s="344"/>
      <c r="W93" s="474"/>
      <c r="X93" s="344"/>
      <c r="Y93" s="475"/>
    </row>
    <row r="94" spans="2:25" x14ac:dyDescent="0.25">
      <c r="B94" s="375"/>
      <c r="C94" s="351" t="s">
        <v>157</v>
      </c>
      <c r="D94" s="354" t="s">
        <v>158</v>
      </c>
      <c r="E94" s="354"/>
      <c r="F94" s="576"/>
      <c r="G94" s="113"/>
      <c r="H94" s="576"/>
      <c r="I94" s="113"/>
      <c r="J94" s="576"/>
      <c r="K94" s="113"/>
      <c r="L94" s="21">
        <v>10</v>
      </c>
      <c r="M94" s="364"/>
      <c r="N94" s="80"/>
      <c r="O94" s="106"/>
      <c r="P94" s="570"/>
      <c r="Q94" s="570"/>
      <c r="R94" s="571"/>
      <c r="T94" s="18">
        <f t="shared" si="1"/>
        <v>0</v>
      </c>
      <c r="U94" s="338"/>
      <c r="V94" s="344"/>
      <c r="W94" s="474"/>
      <c r="X94" s="344"/>
      <c r="Y94" s="475"/>
    </row>
    <row r="95" spans="2:25" ht="66" x14ac:dyDescent="0.25">
      <c r="B95" s="375"/>
      <c r="C95" s="351"/>
      <c r="D95" s="71" t="s">
        <v>159</v>
      </c>
      <c r="E95" s="77" t="s">
        <v>161</v>
      </c>
      <c r="F95" s="576"/>
      <c r="G95" s="82">
        <f>'SQ_Auditoreingaben '!G85</f>
        <v>5</v>
      </c>
      <c r="H95" s="576"/>
      <c r="I95" s="104">
        <f>'1. Prüfung'!I95</f>
        <v>0</v>
      </c>
      <c r="J95" s="576"/>
      <c r="K95" s="69"/>
      <c r="L95" s="18">
        <v>5</v>
      </c>
      <c r="M95" s="364"/>
      <c r="N95" s="80"/>
      <c r="O95" s="106"/>
      <c r="P95" s="570"/>
      <c r="Q95" s="570"/>
      <c r="R95" s="571"/>
      <c r="T95" s="18">
        <f t="shared" si="1"/>
        <v>0</v>
      </c>
      <c r="U95" s="338"/>
      <c r="V95" s="344"/>
      <c r="W95" s="474"/>
      <c r="X95" s="344"/>
      <c r="Y95" s="475"/>
    </row>
    <row r="96" spans="2:25" ht="79.2" x14ac:dyDescent="0.25">
      <c r="B96" s="375"/>
      <c r="C96" s="351"/>
      <c r="D96" s="71" t="s">
        <v>160</v>
      </c>
      <c r="E96" s="77" t="s">
        <v>162</v>
      </c>
      <c r="F96" s="576"/>
      <c r="G96" s="82">
        <f>'SQ_Auditoreingaben '!G86</f>
        <v>5</v>
      </c>
      <c r="H96" s="576"/>
      <c r="I96" s="104">
        <f>'1. Prüfung'!I96</f>
        <v>0</v>
      </c>
      <c r="J96" s="576"/>
      <c r="K96" s="69"/>
      <c r="L96" s="18">
        <v>5</v>
      </c>
      <c r="M96" s="364"/>
      <c r="N96" s="80"/>
      <c r="O96" s="106"/>
      <c r="P96" s="570"/>
      <c r="Q96" s="570"/>
      <c r="R96" s="571"/>
      <c r="T96" s="18">
        <f t="shared" si="1"/>
        <v>0</v>
      </c>
      <c r="U96" s="339"/>
      <c r="V96" s="365"/>
      <c r="W96" s="474"/>
      <c r="X96" s="365"/>
      <c r="Y96" s="475"/>
    </row>
    <row r="97" spans="2:25" x14ac:dyDescent="0.25">
      <c r="B97" s="55" t="s">
        <v>163</v>
      </c>
      <c r="C97" s="354" t="s">
        <v>164</v>
      </c>
      <c r="D97" s="354"/>
      <c r="E97" s="354"/>
      <c r="F97" s="78">
        <f>'SQ_Auditoreingaben '!F87</f>
        <v>73</v>
      </c>
      <c r="G97" s="356"/>
      <c r="H97" s="105">
        <f>'1. Prüfung'!H97</f>
        <v>0</v>
      </c>
      <c r="I97" s="356"/>
      <c r="J97" s="79">
        <f>U97</f>
        <v>0</v>
      </c>
      <c r="K97" s="356"/>
      <c r="L97" s="21">
        <v>100</v>
      </c>
      <c r="M97" s="88">
        <v>4</v>
      </c>
      <c r="N97" s="80"/>
      <c r="O97" s="106"/>
      <c r="P97" s="570"/>
      <c r="Q97" s="570"/>
      <c r="R97" s="571"/>
      <c r="T97" s="18">
        <f t="shared" si="1"/>
        <v>0</v>
      </c>
      <c r="U97" s="337">
        <f>SUM(T100,T101,IF(T104+T105+T106&gt;10,10,T104+T105+T106),T108,T109)</f>
        <v>0</v>
      </c>
      <c r="V97" s="343">
        <f>U97/100</f>
        <v>0</v>
      </c>
      <c r="W97" s="474">
        <v>0.2</v>
      </c>
      <c r="X97" s="343">
        <f>IF((V97*M97+V110*M110+V140*M140+V145*M145)/(M97+M110+M140+M145)&gt;1,1,(V97*M97+V110*M110+V140*M140+V145*M145)/(M97+M110+M140+M145))</f>
        <v>0</v>
      </c>
      <c r="Y97" s="475"/>
    </row>
    <row r="98" spans="2:25" x14ac:dyDescent="0.25">
      <c r="B98" s="375"/>
      <c r="C98" s="351" t="s">
        <v>54</v>
      </c>
      <c r="D98" s="354" t="s">
        <v>165</v>
      </c>
      <c r="E98" s="354"/>
      <c r="F98" s="576"/>
      <c r="G98" s="356"/>
      <c r="H98" s="576"/>
      <c r="I98" s="356"/>
      <c r="J98" s="576"/>
      <c r="K98" s="356"/>
      <c r="L98" s="21">
        <v>10</v>
      </c>
      <c r="M98" s="364"/>
      <c r="N98" s="80"/>
      <c r="O98" s="106"/>
      <c r="P98" s="570"/>
      <c r="Q98" s="570"/>
      <c r="R98" s="571"/>
      <c r="T98" s="18">
        <f t="shared" si="1"/>
        <v>0</v>
      </c>
      <c r="U98" s="338"/>
      <c r="V98" s="344"/>
      <c r="W98" s="474"/>
      <c r="X98" s="344"/>
      <c r="Y98" s="475"/>
    </row>
    <row r="99" spans="2:25" ht="26.4" x14ac:dyDescent="0.25">
      <c r="B99" s="375"/>
      <c r="C99" s="351"/>
      <c r="D99" s="361" t="s">
        <v>58</v>
      </c>
      <c r="E99" s="87" t="s">
        <v>166</v>
      </c>
      <c r="F99" s="576"/>
      <c r="G99" s="356"/>
      <c r="H99" s="576"/>
      <c r="I99" s="356"/>
      <c r="J99" s="576"/>
      <c r="K99" s="356"/>
      <c r="L99" s="21">
        <v>10</v>
      </c>
      <c r="M99" s="364"/>
      <c r="N99" s="80"/>
      <c r="O99" s="106"/>
      <c r="P99" s="570"/>
      <c r="Q99" s="570"/>
      <c r="R99" s="571"/>
      <c r="T99" s="18">
        <f t="shared" si="1"/>
        <v>0</v>
      </c>
      <c r="U99" s="338"/>
      <c r="V99" s="344"/>
      <c r="W99" s="474"/>
      <c r="X99" s="344"/>
      <c r="Y99" s="475"/>
    </row>
    <row r="100" spans="2:25" ht="79.2" x14ac:dyDescent="0.25">
      <c r="B100" s="375"/>
      <c r="C100" s="351"/>
      <c r="D100" s="361"/>
      <c r="E100" s="77" t="s">
        <v>167</v>
      </c>
      <c r="F100" s="576"/>
      <c r="G100" s="82">
        <f>'SQ_Auditoreingaben '!G90</f>
        <v>0</v>
      </c>
      <c r="H100" s="576"/>
      <c r="I100" s="104">
        <f>'1. Prüfung'!I100</f>
        <v>0</v>
      </c>
      <c r="J100" s="576"/>
      <c r="K100" s="69"/>
      <c r="L100" s="18">
        <v>5</v>
      </c>
      <c r="M100" s="364"/>
      <c r="N100" s="80"/>
      <c r="O100" s="106"/>
      <c r="P100" s="570"/>
      <c r="Q100" s="570"/>
      <c r="R100" s="571"/>
      <c r="T100" s="18">
        <f t="shared" si="1"/>
        <v>0</v>
      </c>
      <c r="U100" s="338"/>
      <c r="V100" s="344"/>
      <c r="W100" s="474"/>
      <c r="X100" s="344"/>
      <c r="Y100" s="475"/>
    </row>
    <row r="101" spans="2:25" ht="92.4" x14ac:dyDescent="0.25">
      <c r="B101" s="375"/>
      <c r="C101" s="351"/>
      <c r="D101" s="361"/>
      <c r="E101" s="77" t="s">
        <v>168</v>
      </c>
      <c r="F101" s="576"/>
      <c r="G101" s="82">
        <f>'SQ_Auditoreingaben '!G91</f>
        <v>0</v>
      </c>
      <c r="H101" s="576"/>
      <c r="I101" s="104">
        <f>'1. Prüfung'!I101</f>
        <v>0</v>
      </c>
      <c r="J101" s="576"/>
      <c r="K101" s="69"/>
      <c r="L101" s="18">
        <v>5</v>
      </c>
      <c r="M101" s="364"/>
      <c r="N101" s="80"/>
      <c r="O101" s="106"/>
      <c r="P101" s="570"/>
      <c r="Q101" s="570"/>
      <c r="R101" s="571"/>
      <c r="T101" s="18">
        <f t="shared" si="1"/>
        <v>0</v>
      </c>
      <c r="U101" s="338"/>
      <c r="V101" s="344"/>
      <c r="W101" s="474"/>
      <c r="X101" s="344"/>
      <c r="Y101" s="475"/>
    </row>
    <row r="102" spans="2:25" x14ac:dyDescent="0.25">
      <c r="B102" s="375"/>
      <c r="C102" s="351" t="s">
        <v>61</v>
      </c>
      <c r="D102" s="354" t="s">
        <v>169</v>
      </c>
      <c r="E102" s="354"/>
      <c r="F102" s="576"/>
      <c r="G102" s="356"/>
      <c r="H102" s="576"/>
      <c r="I102" s="356"/>
      <c r="J102" s="576"/>
      <c r="K102" s="356"/>
      <c r="L102" s="21">
        <v>10</v>
      </c>
      <c r="M102" s="364"/>
      <c r="N102" s="80"/>
      <c r="O102" s="106"/>
      <c r="P102" s="570"/>
      <c r="Q102" s="570"/>
      <c r="R102" s="571"/>
      <c r="T102" s="18">
        <f t="shared" si="1"/>
        <v>0</v>
      </c>
      <c r="U102" s="338"/>
      <c r="V102" s="344"/>
      <c r="W102" s="474"/>
      <c r="X102" s="344"/>
      <c r="Y102" s="475"/>
    </row>
    <row r="103" spans="2:25" x14ac:dyDescent="0.25">
      <c r="B103" s="375"/>
      <c r="C103" s="351"/>
      <c r="D103" s="361" t="s">
        <v>63</v>
      </c>
      <c r="E103" s="90" t="s">
        <v>170</v>
      </c>
      <c r="F103" s="576"/>
      <c r="G103" s="356"/>
      <c r="H103" s="576"/>
      <c r="I103" s="356"/>
      <c r="J103" s="576"/>
      <c r="K103" s="356"/>
      <c r="L103" s="21">
        <v>10</v>
      </c>
      <c r="M103" s="364"/>
      <c r="N103" s="80"/>
      <c r="O103" s="106"/>
      <c r="P103" s="570"/>
      <c r="Q103" s="570"/>
      <c r="R103" s="571"/>
      <c r="T103" s="18">
        <f t="shared" si="1"/>
        <v>0</v>
      </c>
      <c r="U103" s="338"/>
      <c r="V103" s="344"/>
      <c r="W103" s="474"/>
      <c r="X103" s="344"/>
      <c r="Y103" s="475"/>
    </row>
    <row r="104" spans="2:25" ht="66" x14ac:dyDescent="0.25">
      <c r="B104" s="375"/>
      <c r="C104" s="351"/>
      <c r="D104" s="361"/>
      <c r="E104" s="77" t="s">
        <v>171</v>
      </c>
      <c r="F104" s="576"/>
      <c r="G104" s="82">
        <f>'SQ_Auditoreingaben '!G94</f>
        <v>5</v>
      </c>
      <c r="H104" s="576"/>
      <c r="I104" s="104">
        <f>'1. Prüfung'!I104</f>
        <v>0</v>
      </c>
      <c r="J104" s="576"/>
      <c r="K104" s="69"/>
      <c r="L104" s="18">
        <v>7</v>
      </c>
      <c r="M104" s="364"/>
      <c r="N104" s="80"/>
      <c r="O104" s="106"/>
      <c r="P104" s="570"/>
      <c r="Q104" s="570"/>
      <c r="R104" s="571"/>
      <c r="T104" s="18">
        <f t="shared" si="1"/>
        <v>0</v>
      </c>
      <c r="U104" s="338"/>
      <c r="V104" s="344"/>
      <c r="W104" s="474"/>
      <c r="X104" s="344"/>
      <c r="Y104" s="475"/>
    </row>
    <row r="105" spans="2:25" ht="66" x14ac:dyDescent="0.25">
      <c r="B105" s="375"/>
      <c r="C105" s="351"/>
      <c r="D105" s="361"/>
      <c r="E105" s="77" t="s">
        <v>172</v>
      </c>
      <c r="F105" s="576"/>
      <c r="G105" s="82">
        <f>'SQ_Auditoreingaben '!G95</f>
        <v>0</v>
      </c>
      <c r="H105" s="576"/>
      <c r="I105" s="104">
        <f>'1. Prüfung'!I105</f>
        <v>0</v>
      </c>
      <c r="J105" s="576"/>
      <c r="K105" s="69"/>
      <c r="L105" s="18">
        <v>3</v>
      </c>
      <c r="M105" s="364"/>
      <c r="N105" s="80"/>
      <c r="O105" s="106"/>
      <c r="P105" s="570"/>
      <c r="Q105" s="570"/>
      <c r="R105" s="571"/>
      <c r="T105" s="18">
        <f t="shared" si="1"/>
        <v>0</v>
      </c>
      <c r="U105" s="338"/>
      <c r="V105" s="344"/>
      <c r="W105" s="474"/>
      <c r="X105" s="344"/>
      <c r="Y105" s="475"/>
    </row>
    <row r="106" spans="2:25" ht="66" x14ac:dyDescent="0.25">
      <c r="B106" s="375"/>
      <c r="C106" s="351"/>
      <c r="D106" s="57" t="s">
        <v>173</v>
      </c>
      <c r="E106" s="77" t="s">
        <v>174</v>
      </c>
      <c r="F106" s="576"/>
      <c r="G106" s="82">
        <f>'SQ_Auditoreingaben '!G96</f>
        <v>0</v>
      </c>
      <c r="H106" s="576"/>
      <c r="I106" s="104">
        <f>'1. Prüfung'!I106</f>
        <v>0</v>
      </c>
      <c r="J106" s="576"/>
      <c r="K106" s="69"/>
      <c r="L106" s="18">
        <v>10</v>
      </c>
      <c r="M106" s="364"/>
      <c r="N106" s="80"/>
      <c r="O106" s="106"/>
      <c r="P106" s="570"/>
      <c r="Q106" s="570"/>
      <c r="R106" s="571"/>
      <c r="T106" s="18">
        <f t="shared" si="1"/>
        <v>0</v>
      </c>
      <c r="U106" s="338"/>
      <c r="V106" s="344"/>
      <c r="W106" s="474"/>
      <c r="X106" s="344"/>
      <c r="Y106" s="475"/>
    </row>
    <row r="107" spans="2:25" x14ac:dyDescent="0.25">
      <c r="B107" s="375"/>
      <c r="C107" s="351" t="s">
        <v>67</v>
      </c>
      <c r="D107" s="354" t="s">
        <v>175</v>
      </c>
      <c r="E107" s="354"/>
      <c r="F107" s="576"/>
      <c r="G107" s="113"/>
      <c r="H107" s="576"/>
      <c r="I107" s="113"/>
      <c r="J107" s="576"/>
      <c r="K107" s="113"/>
      <c r="L107" s="21">
        <v>80</v>
      </c>
      <c r="M107" s="364"/>
      <c r="N107" s="80"/>
      <c r="O107" s="106"/>
      <c r="P107" s="570"/>
      <c r="Q107" s="570"/>
      <c r="R107" s="571"/>
      <c r="T107" s="18">
        <f t="shared" si="1"/>
        <v>0</v>
      </c>
      <c r="U107" s="338"/>
      <c r="V107" s="344"/>
      <c r="W107" s="474"/>
      <c r="X107" s="344"/>
      <c r="Y107" s="475"/>
    </row>
    <row r="108" spans="2:25" ht="26.4" x14ac:dyDescent="0.25">
      <c r="B108" s="375"/>
      <c r="C108" s="351"/>
      <c r="D108" s="71" t="s">
        <v>69</v>
      </c>
      <c r="E108" s="77" t="s">
        <v>176</v>
      </c>
      <c r="F108" s="576"/>
      <c r="G108" s="82">
        <f>'SQ_Auditoreingaben '!G98</f>
        <v>40</v>
      </c>
      <c r="H108" s="576"/>
      <c r="I108" s="104">
        <f>'1. Prüfung'!I108</f>
        <v>0</v>
      </c>
      <c r="J108" s="576"/>
      <c r="K108" s="69"/>
      <c r="L108" s="18">
        <v>48</v>
      </c>
      <c r="M108" s="364"/>
      <c r="N108" s="80"/>
      <c r="O108" s="106"/>
      <c r="P108" s="570"/>
      <c r="Q108" s="570"/>
      <c r="R108" s="571"/>
      <c r="T108" s="18">
        <f t="shared" si="1"/>
        <v>0</v>
      </c>
      <c r="U108" s="338"/>
      <c r="V108" s="344"/>
      <c r="W108" s="474"/>
      <c r="X108" s="344"/>
      <c r="Y108" s="475"/>
    </row>
    <row r="109" spans="2:25" ht="26.4" x14ac:dyDescent="0.25">
      <c r="B109" s="375"/>
      <c r="C109" s="351"/>
      <c r="D109" s="71" t="s">
        <v>78</v>
      </c>
      <c r="E109" s="77" t="s">
        <v>177</v>
      </c>
      <c r="F109" s="576"/>
      <c r="G109" s="82">
        <f>'SQ_Auditoreingaben '!G99</f>
        <v>28</v>
      </c>
      <c r="H109" s="576"/>
      <c r="I109" s="104">
        <f>'1. Prüfung'!I109</f>
        <v>0</v>
      </c>
      <c r="J109" s="576"/>
      <c r="K109" s="69"/>
      <c r="L109" s="18">
        <v>32</v>
      </c>
      <c r="M109" s="364"/>
      <c r="N109" s="80"/>
      <c r="O109" s="106"/>
      <c r="P109" s="570"/>
      <c r="Q109" s="570"/>
      <c r="R109" s="571"/>
      <c r="T109" s="18">
        <f t="shared" si="1"/>
        <v>0</v>
      </c>
      <c r="U109" s="339"/>
      <c r="V109" s="365"/>
      <c r="W109" s="474"/>
      <c r="X109" s="344"/>
      <c r="Y109" s="475"/>
    </row>
    <row r="110" spans="2:25" x14ac:dyDescent="0.25">
      <c r="B110" s="55" t="s">
        <v>178</v>
      </c>
      <c r="C110" s="354" t="s">
        <v>179</v>
      </c>
      <c r="D110" s="354"/>
      <c r="E110" s="354"/>
      <c r="F110" s="78">
        <f>'SQ_Auditoreingaben '!F100</f>
        <v>101.67750000000001</v>
      </c>
      <c r="G110" s="364"/>
      <c r="H110" s="105">
        <f>'1. Prüfung'!H110</f>
        <v>0</v>
      </c>
      <c r="I110" s="364"/>
      <c r="J110" s="79">
        <f>U110</f>
        <v>0</v>
      </c>
      <c r="K110" s="364"/>
      <c r="L110" s="21">
        <v>110</v>
      </c>
      <c r="M110" s="88">
        <v>3</v>
      </c>
      <c r="N110" s="80"/>
      <c r="O110" s="106"/>
      <c r="P110" s="570"/>
      <c r="Q110" s="570"/>
      <c r="R110" s="571"/>
      <c r="T110" s="18">
        <f t="shared" si="1"/>
        <v>0</v>
      </c>
      <c r="U110" s="337">
        <f>SUM(T113:T139)</f>
        <v>0</v>
      </c>
      <c r="V110" s="343">
        <f>U110/100</f>
        <v>0</v>
      </c>
      <c r="W110" s="474"/>
      <c r="X110" s="344"/>
      <c r="Y110" s="475"/>
    </row>
    <row r="111" spans="2:25" x14ac:dyDescent="0.25">
      <c r="B111" s="375"/>
      <c r="C111" s="351" t="s">
        <v>54</v>
      </c>
      <c r="D111" s="354" t="s">
        <v>180</v>
      </c>
      <c r="E111" s="354"/>
      <c r="F111" s="576"/>
      <c r="G111" s="364"/>
      <c r="H111" s="576"/>
      <c r="I111" s="364"/>
      <c r="J111" s="576"/>
      <c r="K111" s="364"/>
      <c r="L111" s="21">
        <v>25</v>
      </c>
      <c r="M111" s="364"/>
      <c r="N111" s="80"/>
      <c r="O111" s="106"/>
      <c r="P111" s="570"/>
      <c r="Q111" s="570"/>
      <c r="R111" s="571"/>
      <c r="T111" s="18">
        <f t="shared" si="1"/>
        <v>0</v>
      </c>
      <c r="U111" s="338"/>
      <c r="V111" s="344"/>
      <c r="W111" s="474"/>
      <c r="X111" s="344"/>
      <c r="Y111" s="475"/>
    </row>
    <row r="112" spans="2:25" x14ac:dyDescent="0.25">
      <c r="B112" s="375"/>
      <c r="C112" s="351"/>
      <c r="D112" s="361" t="s">
        <v>58</v>
      </c>
      <c r="E112" s="90" t="s">
        <v>180</v>
      </c>
      <c r="F112" s="576"/>
      <c r="G112" s="364"/>
      <c r="H112" s="576"/>
      <c r="I112" s="364"/>
      <c r="J112" s="576"/>
      <c r="K112" s="364"/>
      <c r="L112" s="21">
        <v>19.5</v>
      </c>
      <c r="M112" s="364"/>
      <c r="N112" s="80"/>
      <c r="O112" s="106"/>
      <c r="P112" s="570"/>
      <c r="Q112" s="570"/>
      <c r="R112" s="571"/>
      <c r="T112" s="18">
        <f t="shared" si="1"/>
        <v>0</v>
      </c>
      <c r="U112" s="338"/>
      <c r="V112" s="344"/>
      <c r="W112" s="474"/>
      <c r="X112" s="344"/>
      <c r="Y112" s="475"/>
    </row>
    <row r="113" spans="2:25" ht="26.4" x14ac:dyDescent="0.25">
      <c r="B113" s="375"/>
      <c r="C113" s="351"/>
      <c r="D113" s="361"/>
      <c r="E113" s="77" t="s">
        <v>182</v>
      </c>
      <c r="F113" s="576"/>
      <c r="G113" s="82">
        <f>'SQ_Auditoreingaben '!G103</f>
        <v>5.3624999999999998</v>
      </c>
      <c r="H113" s="576"/>
      <c r="I113" s="104">
        <f>'1. Prüfung'!I113</f>
        <v>0</v>
      </c>
      <c r="J113" s="576"/>
      <c r="K113" s="69"/>
      <c r="L113" s="18">
        <v>6.5</v>
      </c>
      <c r="M113" s="364"/>
      <c r="N113" s="80"/>
      <c r="O113" s="106"/>
      <c r="P113" s="570"/>
      <c r="Q113" s="570"/>
      <c r="R113" s="571"/>
      <c r="T113" s="18">
        <f t="shared" si="1"/>
        <v>0</v>
      </c>
      <c r="U113" s="338"/>
      <c r="V113" s="344"/>
      <c r="W113" s="474"/>
      <c r="X113" s="344"/>
      <c r="Y113" s="475"/>
    </row>
    <row r="114" spans="2:25" ht="26.4" x14ac:dyDescent="0.25">
      <c r="B114" s="375"/>
      <c r="C114" s="351"/>
      <c r="D114" s="361"/>
      <c r="E114" s="77" t="s">
        <v>183</v>
      </c>
      <c r="F114" s="576"/>
      <c r="G114" s="82">
        <f>'SQ_Auditoreingaben '!G104</f>
        <v>4.2250000000000005</v>
      </c>
      <c r="H114" s="576"/>
      <c r="I114" s="104">
        <f>'1. Prüfung'!I114</f>
        <v>0</v>
      </c>
      <c r="J114" s="576"/>
      <c r="K114" s="69"/>
      <c r="L114" s="18">
        <v>6.5</v>
      </c>
      <c r="M114" s="364"/>
      <c r="N114" s="80"/>
      <c r="O114" s="106"/>
      <c r="P114" s="570"/>
      <c r="Q114" s="570"/>
      <c r="R114" s="571"/>
      <c r="T114" s="18">
        <f t="shared" si="1"/>
        <v>0</v>
      </c>
      <c r="U114" s="338"/>
      <c r="V114" s="344"/>
      <c r="W114" s="474"/>
      <c r="X114" s="344"/>
      <c r="Y114" s="475"/>
    </row>
    <row r="115" spans="2:25" ht="26.4" x14ac:dyDescent="0.25">
      <c r="B115" s="375"/>
      <c r="C115" s="351"/>
      <c r="D115" s="361"/>
      <c r="E115" s="77" t="s">
        <v>184</v>
      </c>
      <c r="F115" s="576"/>
      <c r="G115" s="82">
        <f>'SQ_Auditoreingaben '!G105</f>
        <v>5.59</v>
      </c>
      <c r="H115" s="576"/>
      <c r="I115" s="104">
        <f>'1. Prüfung'!I115</f>
        <v>0</v>
      </c>
      <c r="J115" s="576"/>
      <c r="K115" s="69"/>
      <c r="L115" s="18">
        <v>6.5</v>
      </c>
      <c r="M115" s="364"/>
      <c r="N115" s="80"/>
      <c r="O115" s="106"/>
      <c r="P115" s="570"/>
      <c r="Q115" s="570"/>
      <c r="R115" s="571"/>
      <c r="T115" s="18">
        <f t="shared" si="1"/>
        <v>0</v>
      </c>
      <c r="U115" s="338"/>
      <c r="V115" s="344"/>
      <c r="W115" s="474"/>
      <c r="X115" s="344"/>
      <c r="Y115" s="475"/>
    </row>
    <row r="116" spans="2:25" ht="39.6" x14ac:dyDescent="0.25">
      <c r="B116" s="375"/>
      <c r="C116" s="351"/>
      <c r="D116" s="71" t="s">
        <v>181</v>
      </c>
      <c r="E116" s="77" t="s">
        <v>233</v>
      </c>
      <c r="F116" s="576"/>
      <c r="G116" s="82">
        <f>'SQ_Auditoreingaben '!G106</f>
        <v>5.5</v>
      </c>
      <c r="H116" s="576"/>
      <c r="I116" s="104">
        <f>'1. Prüfung'!I116</f>
        <v>0</v>
      </c>
      <c r="J116" s="576"/>
      <c r="K116" s="69"/>
      <c r="L116" s="18">
        <v>5.5</v>
      </c>
      <c r="M116" s="364"/>
      <c r="N116" s="80"/>
      <c r="O116" s="106"/>
      <c r="P116" s="570"/>
      <c r="Q116" s="570"/>
      <c r="R116" s="571"/>
      <c r="T116" s="18">
        <f t="shared" si="1"/>
        <v>0</v>
      </c>
      <c r="U116" s="338"/>
      <c r="V116" s="344"/>
      <c r="W116" s="474"/>
      <c r="X116" s="344"/>
      <c r="Y116" s="475"/>
    </row>
    <row r="117" spans="2:25" x14ac:dyDescent="0.25">
      <c r="B117" s="375"/>
      <c r="C117" s="351" t="s">
        <v>61</v>
      </c>
      <c r="D117" s="354" t="s">
        <v>185</v>
      </c>
      <c r="E117" s="354"/>
      <c r="F117" s="576"/>
      <c r="G117" s="113"/>
      <c r="H117" s="576"/>
      <c r="I117" s="113"/>
      <c r="J117" s="576"/>
      <c r="K117" s="113"/>
      <c r="L117" s="21">
        <v>10</v>
      </c>
      <c r="M117" s="364"/>
      <c r="N117" s="80"/>
      <c r="O117" s="106"/>
      <c r="P117" s="570"/>
      <c r="Q117" s="570"/>
      <c r="R117" s="571"/>
      <c r="T117" s="18">
        <f t="shared" si="1"/>
        <v>0</v>
      </c>
      <c r="U117" s="338"/>
      <c r="V117" s="344"/>
      <c r="W117" s="474"/>
      <c r="X117" s="344"/>
      <c r="Y117" s="475"/>
    </row>
    <row r="118" spans="2:25" ht="52.8" x14ac:dyDescent="0.25">
      <c r="B118" s="375"/>
      <c r="C118" s="351"/>
      <c r="D118" s="71" t="s">
        <v>63</v>
      </c>
      <c r="E118" s="77" t="s">
        <v>232</v>
      </c>
      <c r="F118" s="576"/>
      <c r="G118" s="82">
        <f>'SQ_Auditoreingaben '!G108</f>
        <v>5</v>
      </c>
      <c r="H118" s="576"/>
      <c r="I118" s="104">
        <f>'1. Prüfung'!I118</f>
        <v>0</v>
      </c>
      <c r="J118" s="576"/>
      <c r="K118" s="69"/>
      <c r="L118" s="18">
        <v>5</v>
      </c>
      <c r="M118" s="364"/>
      <c r="N118" s="80"/>
      <c r="O118" s="106"/>
      <c r="P118" s="570"/>
      <c r="Q118" s="570"/>
      <c r="R118" s="571"/>
      <c r="T118" s="18">
        <f t="shared" si="1"/>
        <v>0</v>
      </c>
      <c r="U118" s="338"/>
      <c r="V118" s="344"/>
      <c r="W118" s="474"/>
      <c r="X118" s="344"/>
      <c r="Y118" s="475"/>
    </row>
    <row r="119" spans="2:25" ht="52.8" x14ac:dyDescent="0.25">
      <c r="B119" s="375"/>
      <c r="C119" s="351"/>
      <c r="D119" s="71" t="s">
        <v>186</v>
      </c>
      <c r="E119" s="77" t="s">
        <v>231</v>
      </c>
      <c r="F119" s="576"/>
      <c r="G119" s="82">
        <f>'SQ_Auditoreingaben '!G109</f>
        <v>5</v>
      </c>
      <c r="H119" s="576"/>
      <c r="I119" s="104">
        <f>'1. Prüfung'!I119</f>
        <v>0</v>
      </c>
      <c r="J119" s="576"/>
      <c r="K119" s="69"/>
      <c r="L119" s="18">
        <v>5</v>
      </c>
      <c r="M119" s="364"/>
      <c r="N119" s="80"/>
      <c r="O119" s="106"/>
      <c r="P119" s="570"/>
      <c r="Q119" s="570"/>
      <c r="R119" s="571"/>
      <c r="T119" s="18">
        <f t="shared" si="1"/>
        <v>0</v>
      </c>
      <c r="U119" s="338"/>
      <c r="V119" s="344"/>
      <c r="W119" s="474"/>
      <c r="X119" s="344"/>
      <c r="Y119" s="475"/>
    </row>
    <row r="120" spans="2:25" x14ac:dyDescent="0.25">
      <c r="B120" s="375"/>
      <c r="C120" s="351" t="s">
        <v>64</v>
      </c>
      <c r="D120" s="354" t="s">
        <v>187</v>
      </c>
      <c r="E120" s="354"/>
      <c r="F120" s="576"/>
      <c r="G120" s="113"/>
      <c r="H120" s="576"/>
      <c r="I120" s="113"/>
      <c r="J120" s="576"/>
      <c r="K120" s="113"/>
      <c r="L120" s="21">
        <v>57</v>
      </c>
      <c r="M120" s="364"/>
      <c r="N120" s="80"/>
      <c r="O120" s="106"/>
      <c r="P120" s="570"/>
      <c r="Q120" s="570"/>
      <c r="R120" s="571"/>
      <c r="T120" s="18">
        <f t="shared" si="1"/>
        <v>0</v>
      </c>
      <c r="U120" s="338"/>
      <c r="V120" s="344"/>
      <c r="W120" s="474"/>
      <c r="X120" s="344"/>
      <c r="Y120" s="475"/>
    </row>
    <row r="121" spans="2:25" ht="26.4" x14ac:dyDescent="0.25">
      <c r="B121" s="375"/>
      <c r="C121" s="351"/>
      <c r="D121" s="71" t="s">
        <v>66</v>
      </c>
      <c r="E121" s="77" t="s">
        <v>230</v>
      </c>
      <c r="F121" s="576"/>
      <c r="G121" s="82">
        <f>'SQ_Auditoreingaben '!G111</f>
        <v>10</v>
      </c>
      <c r="H121" s="576"/>
      <c r="I121" s="104">
        <f>'1. Prüfung'!I121</f>
        <v>0</v>
      </c>
      <c r="J121" s="576"/>
      <c r="K121" s="69"/>
      <c r="L121" s="18">
        <v>10</v>
      </c>
      <c r="M121" s="364"/>
      <c r="N121" s="80"/>
      <c r="O121" s="106"/>
      <c r="P121" s="570"/>
      <c r="Q121" s="570"/>
      <c r="R121" s="571"/>
      <c r="T121" s="18">
        <f t="shared" si="1"/>
        <v>0</v>
      </c>
      <c r="U121" s="338"/>
      <c r="V121" s="344"/>
      <c r="W121" s="474"/>
      <c r="X121" s="344"/>
      <c r="Y121" s="475"/>
    </row>
    <row r="122" spans="2:25" ht="105.6" x14ac:dyDescent="0.25">
      <c r="B122" s="375"/>
      <c r="C122" s="351"/>
      <c r="D122" s="71" t="s">
        <v>188</v>
      </c>
      <c r="E122" s="77" t="s">
        <v>229</v>
      </c>
      <c r="F122" s="576"/>
      <c r="G122" s="82">
        <f>'SQ_Auditoreingaben '!G112</f>
        <v>5</v>
      </c>
      <c r="H122" s="576"/>
      <c r="I122" s="104">
        <f>'1. Prüfung'!I122</f>
        <v>0</v>
      </c>
      <c r="J122" s="576"/>
      <c r="K122" s="69"/>
      <c r="L122" s="18">
        <v>5</v>
      </c>
      <c r="M122" s="364"/>
      <c r="N122" s="80"/>
      <c r="O122" s="106"/>
      <c r="P122" s="570"/>
      <c r="Q122" s="570"/>
      <c r="R122" s="571"/>
      <c r="T122" s="18">
        <f t="shared" si="1"/>
        <v>0</v>
      </c>
      <c r="U122" s="338"/>
      <c r="V122" s="344"/>
      <c r="W122" s="474"/>
      <c r="X122" s="344"/>
      <c r="Y122" s="475"/>
    </row>
    <row r="123" spans="2:25" ht="52.8" x14ac:dyDescent="0.25">
      <c r="B123" s="375"/>
      <c r="C123" s="351"/>
      <c r="D123" s="71" t="s">
        <v>150</v>
      </c>
      <c r="E123" s="77" t="s">
        <v>228</v>
      </c>
      <c r="F123" s="576"/>
      <c r="G123" s="82">
        <f>'SQ_Auditoreingaben '!G113</f>
        <v>15</v>
      </c>
      <c r="H123" s="576"/>
      <c r="I123" s="104">
        <f>'1. Prüfung'!I123</f>
        <v>0</v>
      </c>
      <c r="J123" s="576"/>
      <c r="K123" s="69"/>
      <c r="L123" s="18">
        <v>10</v>
      </c>
      <c r="M123" s="364"/>
      <c r="N123" s="80"/>
      <c r="O123" s="106"/>
      <c r="P123" s="570"/>
      <c r="Q123" s="570"/>
      <c r="R123" s="571"/>
      <c r="T123" s="18">
        <f t="shared" si="1"/>
        <v>0</v>
      </c>
      <c r="U123" s="338"/>
      <c r="V123" s="344"/>
      <c r="W123" s="474"/>
      <c r="X123" s="344"/>
      <c r="Y123" s="475"/>
    </row>
    <row r="124" spans="2:25" x14ac:dyDescent="0.25">
      <c r="B124" s="375"/>
      <c r="C124" s="351"/>
      <c r="D124" s="361" t="s">
        <v>377</v>
      </c>
      <c r="E124" s="87" t="s">
        <v>707</v>
      </c>
      <c r="F124" s="576"/>
      <c r="G124" s="113"/>
      <c r="H124" s="576"/>
      <c r="I124" s="113"/>
      <c r="J124" s="576"/>
      <c r="K124" s="113"/>
      <c r="L124" s="21">
        <v>10</v>
      </c>
      <c r="M124" s="364"/>
      <c r="N124" s="80"/>
      <c r="O124" s="106"/>
      <c r="P124" s="570"/>
      <c r="Q124" s="570"/>
      <c r="R124" s="571"/>
      <c r="T124" s="18">
        <f t="shared" si="1"/>
        <v>0</v>
      </c>
      <c r="U124" s="338"/>
      <c r="V124" s="344"/>
      <c r="W124" s="474"/>
      <c r="X124" s="344"/>
      <c r="Y124" s="475"/>
    </row>
    <row r="125" spans="2:25" ht="39.6" x14ac:dyDescent="0.25">
      <c r="B125" s="375"/>
      <c r="C125" s="351"/>
      <c r="D125" s="361"/>
      <c r="E125" s="77" t="s">
        <v>708</v>
      </c>
      <c r="F125" s="576"/>
      <c r="G125" s="82">
        <f>'SQ_Auditoreingaben '!G115</f>
        <v>2</v>
      </c>
      <c r="H125" s="576"/>
      <c r="I125" s="104">
        <f>'1. Prüfung'!I125</f>
        <v>0</v>
      </c>
      <c r="J125" s="576"/>
      <c r="K125" s="69"/>
      <c r="L125" s="18">
        <v>2</v>
      </c>
      <c r="M125" s="364"/>
      <c r="N125" s="80"/>
      <c r="O125" s="106"/>
      <c r="P125" s="570"/>
      <c r="Q125" s="570"/>
      <c r="R125" s="571"/>
      <c r="T125" s="18">
        <f t="shared" si="1"/>
        <v>0</v>
      </c>
      <c r="U125" s="338"/>
      <c r="V125" s="344"/>
      <c r="W125" s="474"/>
      <c r="X125" s="344"/>
      <c r="Y125" s="475"/>
    </row>
    <row r="126" spans="2:25" ht="39.6" x14ac:dyDescent="0.25">
      <c r="B126" s="375"/>
      <c r="C126" s="351"/>
      <c r="D126" s="361"/>
      <c r="E126" s="77" t="s">
        <v>709</v>
      </c>
      <c r="F126" s="576"/>
      <c r="G126" s="82">
        <f>'SQ_Auditoreingaben '!G116</f>
        <v>4</v>
      </c>
      <c r="H126" s="576"/>
      <c r="I126" s="104">
        <f>'1. Prüfung'!I126</f>
        <v>0</v>
      </c>
      <c r="J126" s="576"/>
      <c r="K126" s="69"/>
      <c r="L126" s="18">
        <v>4</v>
      </c>
      <c r="M126" s="364"/>
      <c r="N126" s="80"/>
      <c r="O126" s="106"/>
      <c r="P126" s="570"/>
      <c r="Q126" s="570"/>
      <c r="R126" s="571"/>
      <c r="T126" s="18">
        <f t="shared" si="1"/>
        <v>0</v>
      </c>
      <c r="U126" s="338"/>
      <c r="V126" s="344"/>
      <c r="W126" s="474"/>
      <c r="X126" s="344"/>
      <c r="Y126" s="475"/>
    </row>
    <row r="127" spans="2:25" ht="52.8" x14ac:dyDescent="0.25">
      <c r="B127" s="375"/>
      <c r="C127" s="351"/>
      <c r="D127" s="361"/>
      <c r="E127" s="77" t="s">
        <v>710</v>
      </c>
      <c r="F127" s="576"/>
      <c r="G127" s="82">
        <f>'SQ_Auditoreingaben '!G117</f>
        <v>0</v>
      </c>
      <c r="H127" s="576"/>
      <c r="I127" s="104">
        <f>'1. Prüfung'!I127</f>
        <v>0</v>
      </c>
      <c r="J127" s="576"/>
      <c r="K127" s="69"/>
      <c r="L127" s="18">
        <v>4</v>
      </c>
      <c r="M127" s="364"/>
      <c r="N127" s="80"/>
      <c r="O127" s="106"/>
      <c r="P127" s="570"/>
      <c r="Q127" s="570"/>
      <c r="R127" s="571"/>
      <c r="T127" s="18">
        <f t="shared" si="1"/>
        <v>0</v>
      </c>
      <c r="U127" s="338"/>
      <c r="V127" s="344"/>
      <c r="W127" s="474"/>
      <c r="X127" s="344"/>
      <c r="Y127" s="475"/>
    </row>
    <row r="128" spans="2:25" ht="118.8" x14ac:dyDescent="0.25">
      <c r="B128" s="375"/>
      <c r="C128" s="351"/>
      <c r="D128" s="71" t="s">
        <v>189</v>
      </c>
      <c r="E128" s="77" t="s">
        <v>227</v>
      </c>
      <c r="F128" s="576"/>
      <c r="G128" s="82">
        <f>'SQ_Auditoreingaben '!G118</f>
        <v>12</v>
      </c>
      <c r="H128" s="576"/>
      <c r="I128" s="104">
        <f>'1. Prüfung'!I128</f>
        <v>0</v>
      </c>
      <c r="J128" s="576"/>
      <c r="K128" s="69"/>
      <c r="L128" s="18">
        <v>12</v>
      </c>
      <c r="M128" s="364"/>
      <c r="N128" s="80"/>
      <c r="O128" s="106"/>
      <c r="P128" s="570"/>
      <c r="Q128" s="570"/>
      <c r="R128" s="571"/>
      <c r="T128" s="18">
        <f t="shared" si="1"/>
        <v>0</v>
      </c>
      <c r="U128" s="338"/>
      <c r="V128" s="344"/>
      <c r="W128" s="474"/>
      <c r="X128" s="344"/>
      <c r="Y128" s="475"/>
    </row>
    <row r="129" spans="2:25" x14ac:dyDescent="0.25">
      <c r="B129" s="375"/>
      <c r="C129" s="351"/>
      <c r="D129" s="361" t="s">
        <v>190</v>
      </c>
      <c r="E129" s="87" t="s">
        <v>191</v>
      </c>
      <c r="F129" s="576"/>
      <c r="G129" s="113"/>
      <c r="H129" s="576"/>
      <c r="I129" s="113"/>
      <c r="J129" s="576"/>
      <c r="K129" s="113"/>
      <c r="L129" s="21">
        <v>10</v>
      </c>
      <c r="M129" s="364"/>
      <c r="N129" s="80"/>
      <c r="O129" s="106"/>
      <c r="P129" s="570"/>
      <c r="Q129" s="570"/>
      <c r="R129" s="571"/>
      <c r="T129" s="18">
        <f t="shared" si="1"/>
        <v>0</v>
      </c>
      <c r="U129" s="338"/>
      <c r="V129" s="344"/>
      <c r="W129" s="474"/>
      <c r="X129" s="344"/>
      <c r="Y129" s="475"/>
    </row>
    <row r="130" spans="2:25" ht="26.4" x14ac:dyDescent="0.25">
      <c r="B130" s="375"/>
      <c r="C130" s="351"/>
      <c r="D130" s="361"/>
      <c r="E130" s="77" t="s">
        <v>192</v>
      </c>
      <c r="F130" s="576"/>
      <c r="G130" s="82">
        <f>'SQ_Auditoreingaben '!G120</f>
        <v>5</v>
      </c>
      <c r="H130" s="576"/>
      <c r="I130" s="104">
        <f>'1. Prüfung'!I130</f>
        <v>0</v>
      </c>
      <c r="J130" s="576"/>
      <c r="K130" s="69"/>
      <c r="L130" s="18">
        <v>4</v>
      </c>
      <c r="M130" s="364"/>
      <c r="N130" s="80"/>
      <c r="O130" s="106"/>
      <c r="P130" s="570"/>
      <c r="Q130" s="570"/>
      <c r="R130" s="571"/>
      <c r="T130" s="18">
        <f t="shared" si="1"/>
        <v>0</v>
      </c>
      <c r="U130" s="338"/>
      <c r="V130" s="344"/>
      <c r="W130" s="474"/>
      <c r="X130" s="344"/>
      <c r="Y130" s="475"/>
    </row>
    <row r="131" spans="2:25" ht="26.4" x14ac:dyDescent="0.25">
      <c r="B131" s="375"/>
      <c r="C131" s="351"/>
      <c r="D131" s="361"/>
      <c r="E131" s="77" t="s">
        <v>193</v>
      </c>
      <c r="F131" s="576"/>
      <c r="G131" s="82" t="e">
        <f>'SQ_Auditoreingaben '!#REF!</f>
        <v>#REF!</v>
      </c>
      <c r="H131" s="576"/>
      <c r="I131" s="104">
        <f>'1. Prüfung'!I131</f>
        <v>0</v>
      </c>
      <c r="J131" s="576"/>
      <c r="K131" s="69"/>
      <c r="L131" s="18">
        <v>2</v>
      </c>
      <c r="M131" s="364"/>
      <c r="N131" s="80"/>
      <c r="O131" s="106"/>
      <c r="P131" s="570"/>
      <c r="Q131" s="570"/>
      <c r="R131" s="571"/>
      <c r="T131" s="18">
        <f t="shared" si="1"/>
        <v>0</v>
      </c>
      <c r="U131" s="338"/>
      <c r="V131" s="344"/>
      <c r="W131" s="474"/>
      <c r="X131" s="344"/>
      <c r="Y131" s="475"/>
    </row>
    <row r="132" spans="2:25" ht="39.6" x14ac:dyDescent="0.25">
      <c r="B132" s="375"/>
      <c r="C132" s="351"/>
      <c r="D132" s="361"/>
      <c r="E132" s="77" t="s">
        <v>194</v>
      </c>
      <c r="F132" s="576"/>
      <c r="G132" s="82" t="e">
        <f>'SQ_Auditoreingaben '!#REF!</f>
        <v>#REF!</v>
      </c>
      <c r="H132" s="576"/>
      <c r="I132" s="104">
        <f>'1. Prüfung'!I132</f>
        <v>0</v>
      </c>
      <c r="J132" s="576"/>
      <c r="K132" s="69"/>
      <c r="L132" s="18">
        <v>2</v>
      </c>
      <c r="M132" s="364"/>
      <c r="N132" s="80"/>
      <c r="O132" s="106"/>
      <c r="P132" s="570"/>
      <c r="Q132" s="570"/>
      <c r="R132" s="571"/>
      <c r="T132" s="18">
        <f t="shared" si="1"/>
        <v>0</v>
      </c>
      <c r="U132" s="338"/>
      <c r="V132" s="344"/>
      <c r="W132" s="474"/>
      <c r="X132" s="344"/>
      <c r="Y132" s="475"/>
    </row>
    <row r="133" spans="2:25" ht="26.4" x14ac:dyDescent="0.25">
      <c r="B133" s="375"/>
      <c r="C133" s="351"/>
      <c r="D133" s="361"/>
      <c r="E133" s="77" t="s">
        <v>195</v>
      </c>
      <c r="F133" s="576"/>
      <c r="G133" s="82" t="e">
        <f>'SQ_Auditoreingaben '!#REF!</f>
        <v>#REF!</v>
      </c>
      <c r="H133" s="576"/>
      <c r="I133" s="104">
        <f>'1. Prüfung'!I133</f>
        <v>0</v>
      </c>
      <c r="J133" s="576"/>
      <c r="K133" s="69"/>
      <c r="L133" s="18">
        <v>2</v>
      </c>
      <c r="M133" s="364"/>
      <c r="N133" s="80"/>
      <c r="O133" s="106"/>
      <c r="P133" s="570"/>
      <c r="Q133" s="570"/>
      <c r="R133" s="571"/>
      <c r="T133" s="18">
        <f t="shared" si="1"/>
        <v>0</v>
      </c>
      <c r="U133" s="338"/>
      <c r="V133" s="344"/>
      <c r="W133" s="474"/>
      <c r="X133" s="344"/>
      <c r="Y133" s="475"/>
    </row>
    <row r="134" spans="2:25" x14ac:dyDescent="0.25">
      <c r="B134" s="375"/>
      <c r="C134" s="351" t="s">
        <v>67</v>
      </c>
      <c r="D134" s="354" t="s">
        <v>196</v>
      </c>
      <c r="E134" s="354"/>
      <c r="F134" s="576"/>
      <c r="G134" s="356"/>
      <c r="H134" s="576"/>
      <c r="I134" s="356"/>
      <c r="J134" s="576"/>
      <c r="K134" s="356"/>
      <c r="L134" s="21">
        <v>18</v>
      </c>
      <c r="M134" s="364"/>
      <c r="N134" s="80"/>
      <c r="O134" s="106"/>
      <c r="P134" s="570"/>
      <c r="Q134" s="570"/>
      <c r="R134" s="571"/>
      <c r="T134" s="18">
        <f t="shared" si="1"/>
        <v>0</v>
      </c>
      <c r="U134" s="338"/>
      <c r="V134" s="344"/>
      <c r="W134" s="474"/>
      <c r="X134" s="344"/>
      <c r="Y134" s="475"/>
    </row>
    <row r="135" spans="2:25" x14ac:dyDescent="0.25">
      <c r="B135" s="375"/>
      <c r="C135" s="351"/>
      <c r="D135" s="361" t="s">
        <v>69</v>
      </c>
      <c r="E135" s="87" t="s">
        <v>197</v>
      </c>
      <c r="F135" s="576"/>
      <c r="G135" s="356"/>
      <c r="H135" s="576"/>
      <c r="I135" s="356"/>
      <c r="J135" s="576"/>
      <c r="K135" s="356"/>
      <c r="L135" s="21">
        <v>8</v>
      </c>
      <c r="M135" s="364"/>
      <c r="N135" s="80"/>
      <c r="O135" s="106"/>
      <c r="P135" s="570"/>
      <c r="Q135" s="570"/>
      <c r="R135" s="571"/>
      <c r="T135" s="18">
        <f t="shared" si="1"/>
        <v>0</v>
      </c>
      <c r="U135" s="338"/>
      <c r="V135" s="344"/>
      <c r="W135" s="474"/>
      <c r="X135" s="344"/>
      <c r="Y135" s="475"/>
    </row>
    <row r="136" spans="2:25" ht="79.2" x14ac:dyDescent="0.25">
      <c r="B136" s="375"/>
      <c r="C136" s="351"/>
      <c r="D136" s="361"/>
      <c r="E136" s="77" t="s">
        <v>198</v>
      </c>
      <c r="F136" s="576"/>
      <c r="G136" s="82">
        <f>'SQ_Auditoreingaben '!G123</f>
        <v>4</v>
      </c>
      <c r="H136" s="576"/>
      <c r="I136" s="104">
        <f>'1. Prüfung'!I136</f>
        <v>0</v>
      </c>
      <c r="J136" s="576"/>
      <c r="K136" s="69"/>
      <c r="L136" s="18">
        <v>4</v>
      </c>
      <c r="M136" s="364"/>
      <c r="N136" s="80"/>
      <c r="O136" s="106"/>
      <c r="P136" s="570"/>
      <c r="Q136" s="570"/>
      <c r="R136" s="571"/>
      <c r="T136" s="18">
        <f t="shared" si="1"/>
        <v>0</v>
      </c>
      <c r="U136" s="338"/>
      <c r="V136" s="344"/>
      <c r="W136" s="474"/>
      <c r="X136" s="344"/>
      <c r="Y136" s="475"/>
    </row>
    <row r="137" spans="2:25" ht="52.8" x14ac:dyDescent="0.25">
      <c r="B137" s="375"/>
      <c r="C137" s="351"/>
      <c r="D137" s="361"/>
      <c r="E137" s="77" t="s">
        <v>199</v>
      </c>
      <c r="F137" s="576"/>
      <c r="G137" s="82">
        <f>'SQ_Auditoreingaben '!G124</f>
        <v>2</v>
      </c>
      <c r="H137" s="576"/>
      <c r="I137" s="104">
        <f>'1. Prüfung'!I137</f>
        <v>0</v>
      </c>
      <c r="J137" s="576"/>
      <c r="K137" s="69"/>
      <c r="L137" s="18">
        <v>2</v>
      </c>
      <c r="M137" s="364"/>
      <c r="N137" s="80"/>
      <c r="O137" s="106"/>
      <c r="P137" s="570"/>
      <c r="Q137" s="570"/>
      <c r="R137" s="571"/>
      <c r="T137" s="18">
        <f t="shared" si="1"/>
        <v>0</v>
      </c>
      <c r="U137" s="338"/>
      <c r="V137" s="344"/>
      <c r="W137" s="474"/>
      <c r="X137" s="344"/>
      <c r="Y137" s="475"/>
    </row>
    <row r="138" spans="2:25" ht="39.6" x14ac:dyDescent="0.25">
      <c r="B138" s="375"/>
      <c r="C138" s="351"/>
      <c r="D138" s="361"/>
      <c r="E138" s="77" t="s">
        <v>200</v>
      </c>
      <c r="F138" s="576"/>
      <c r="G138" s="82">
        <f>'SQ_Auditoreingaben '!G125</f>
        <v>2</v>
      </c>
      <c r="H138" s="576"/>
      <c r="I138" s="104">
        <f>'1. Prüfung'!I138</f>
        <v>0</v>
      </c>
      <c r="J138" s="576"/>
      <c r="K138" s="69"/>
      <c r="L138" s="18">
        <v>2</v>
      </c>
      <c r="M138" s="364"/>
      <c r="N138" s="80"/>
      <c r="O138" s="106"/>
      <c r="P138" s="570"/>
      <c r="Q138" s="570"/>
      <c r="R138" s="571"/>
      <c r="T138" s="18">
        <f t="shared" si="1"/>
        <v>0</v>
      </c>
      <c r="U138" s="338"/>
      <c r="V138" s="344"/>
      <c r="W138" s="474"/>
      <c r="X138" s="344"/>
      <c r="Y138" s="475"/>
    </row>
    <row r="139" spans="2:25" ht="92.4" x14ac:dyDescent="0.25">
      <c r="B139" s="375"/>
      <c r="C139" s="351"/>
      <c r="D139" s="71" t="s">
        <v>78</v>
      </c>
      <c r="E139" s="77" t="s">
        <v>658</v>
      </c>
      <c r="F139" s="576"/>
      <c r="G139" s="82">
        <f>'SQ_Auditoreingaben '!G126</f>
        <v>10</v>
      </c>
      <c r="H139" s="576"/>
      <c r="I139" s="104">
        <f>'1. Prüfung'!I139</f>
        <v>0</v>
      </c>
      <c r="J139" s="576"/>
      <c r="K139" s="69"/>
      <c r="L139" s="18">
        <v>10</v>
      </c>
      <c r="M139" s="364"/>
      <c r="N139" s="80"/>
      <c r="O139" s="106"/>
      <c r="P139" s="570"/>
      <c r="Q139" s="570"/>
      <c r="R139" s="571"/>
      <c r="T139" s="18">
        <f t="shared" si="1"/>
        <v>0</v>
      </c>
      <c r="U139" s="339"/>
      <c r="V139" s="365"/>
      <c r="W139" s="474"/>
      <c r="X139" s="344"/>
      <c r="Y139" s="475"/>
    </row>
    <row r="140" spans="2:25" x14ac:dyDescent="0.25">
      <c r="B140" s="55" t="s">
        <v>201</v>
      </c>
      <c r="C140" s="354" t="s">
        <v>202</v>
      </c>
      <c r="D140" s="354"/>
      <c r="E140" s="354"/>
      <c r="F140" s="78">
        <f>'SQ_Auditoreingaben '!F127</f>
        <v>80</v>
      </c>
      <c r="G140" s="364"/>
      <c r="H140" s="105">
        <f>'1. Prüfung'!H140</f>
        <v>0</v>
      </c>
      <c r="I140" s="364"/>
      <c r="J140" s="79">
        <f>U140</f>
        <v>0</v>
      </c>
      <c r="K140" s="364"/>
      <c r="L140" s="21">
        <v>100</v>
      </c>
      <c r="M140" s="88">
        <v>3</v>
      </c>
      <c r="N140" s="80"/>
      <c r="O140" s="106"/>
      <c r="P140" s="570"/>
      <c r="Q140" s="570"/>
      <c r="R140" s="571"/>
      <c r="T140" s="18">
        <f t="shared" si="1"/>
        <v>0</v>
      </c>
      <c r="U140" s="337">
        <f>T142+T144</f>
        <v>0</v>
      </c>
      <c r="V140" s="343">
        <f>U140/100</f>
        <v>0</v>
      </c>
      <c r="W140" s="474"/>
      <c r="X140" s="344"/>
      <c r="Y140" s="475"/>
    </row>
    <row r="141" spans="2:25" x14ac:dyDescent="0.25">
      <c r="B141" s="375"/>
      <c r="C141" s="351" t="s">
        <v>54</v>
      </c>
      <c r="D141" s="354" t="s">
        <v>203</v>
      </c>
      <c r="E141" s="354"/>
      <c r="F141" s="576"/>
      <c r="G141" s="364"/>
      <c r="H141" s="576"/>
      <c r="I141" s="364"/>
      <c r="J141" s="576"/>
      <c r="K141" s="364"/>
      <c r="L141" s="21">
        <v>40</v>
      </c>
      <c r="M141" s="364"/>
      <c r="N141" s="80"/>
      <c r="O141" s="106"/>
      <c r="P141" s="570"/>
      <c r="Q141" s="570"/>
      <c r="R141" s="571"/>
      <c r="T141" s="18">
        <f t="shared" si="1"/>
        <v>0</v>
      </c>
      <c r="U141" s="338"/>
      <c r="V141" s="344"/>
      <c r="W141" s="474"/>
      <c r="X141" s="344"/>
      <c r="Y141" s="475"/>
    </row>
    <row r="142" spans="2:25" ht="26.4" x14ac:dyDescent="0.25">
      <c r="B142" s="375"/>
      <c r="C142" s="351"/>
      <c r="D142" s="60" t="s">
        <v>181</v>
      </c>
      <c r="E142" s="77" t="s">
        <v>205</v>
      </c>
      <c r="F142" s="576"/>
      <c r="G142" s="82">
        <f>'SQ_Auditoreingaben '!G129</f>
        <v>30</v>
      </c>
      <c r="H142" s="576"/>
      <c r="I142" s="104">
        <f>'1. Prüfung'!I142</f>
        <v>0</v>
      </c>
      <c r="J142" s="576"/>
      <c r="K142" s="69"/>
      <c r="L142" s="18">
        <v>40</v>
      </c>
      <c r="M142" s="364"/>
      <c r="N142" s="80"/>
      <c r="O142" s="106"/>
      <c r="P142" s="570"/>
      <c r="Q142" s="570"/>
      <c r="R142" s="571"/>
      <c r="T142" s="18">
        <f t="shared" si="1"/>
        <v>0</v>
      </c>
      <c r="U142" s="338"/>
      <c r="V142" s="344"/>
      <c r="W142" s="474"/>
      <c r="X142" s="344"/>
      <c r="Y142" s="475"/>
    </row>
    <row r="143" spans="2:25" x14ac:dyDescent="0.25">
      <c r="B143" s="375"/>
      <c r="C143" s="351" t="s">
        <v>61</v>
      </c>
      <c r="D143" s="354" t="s">
        <v>204</v>
      </c>
      <c r="E143" s="354"/>
      <c r="F143" s="576"/>
      <c r="G143" s="113"/>
      <c r="H143" s="576"/>
      <c r="I143" s="113"/>
      <c r="J143" s="576"/>
      <c r="K143" s="113"/>
      <c r="L143" s="21">
        <v>60</v>
      </c>
      <c r="M143" s="364"/>
      <c r="N143" s="80"/>
      <c r="O143" s="106"/>
      <c r="P143" s="570"/>
      <c r="Q143" s="570"/>
      <c r="R143" s="571"/>
      <c r="T143" s="18">
        <f t="shared" ref="T143:T217" si="2">IF(K143&gt;L143,L143,K143)</f>
        <v>0</v>
      </c>
      <c r="U143" s="338"/>
      <c r="V143" s="344"/>
      <c r="W143" s="474"/>
      <c r="X143" s="344"/>
      <c r="Y143" s="475"/>
    </row>
    <row r="144" spans="2:25" ht="26.4" x14ac:dyDescent="0.25">
      <c r="B144" s="375"/>
      <c r="C144" s="351"/>
      <c r="D144" s="60" t="s">
        <v>63</v>
      </c>
      <c r="E144" s="77" t="s">
        <v>206</v>
      </c>
      <c r="F144" s="576"/>
      <c r="G144" s="82">
        <f>'SQ_Auditoreingaben '!G131</f>
        <v>50</v>
      </c>
      <c r="H144" s="576"/>
      <c r="I144" s="104">
        <f>'1. Prüfung'!I144</f>
        <v>0</v>
      </c>
      <c r="J144" s="576"/>
      <c r="K144" s="69"/>
      <c r="L144" s="18">
        <v>60</v>
      </c>
      <c r="M144" s="364"/>
      <c r="N144" s="80"/>
      <c r="O144" s="106"/>
      <c r="P144" s="570"/>
      <c r="Q144" s="570"/>
      <c r="R144" s="571"/>
      <c r="T144" s="18">
        <f t="shared" si="2"/>
        <v>0</v>
      </c>
      <c r="U144" s="339"/>
      <c r="V144" s="365"/>
      <c r="W144" s="474"/>
      <c r="X144" s="344"/>
      <c r="Y144" s="475"/>
    </row>
    <row r="145" spans="2:25" x14ac:dyDescent="0.25">
      <c r="B145" s="55" t="s">
        <v>207</v>
      </c>
      <c r="C145" s="354" t="s">
        <v>208</v>
      </c>
      <c r="D145" s="354"/>
      <c r="E145" s="354"/>
      <c r="F145" s="78">
        <f>'SQ_Auditoreingaben '!F132</f>
        <v>70</v>
      </c>
      <c r="G145" s="364"/>
      <c r="H145" s="105">
        <f>'1. Prüfung'!H145</f>
        <v>0</v>
      </c>
      <c r="I145" s="364"/>
      <c r="J145" s="79">
        <f>U145</f>
        <v>0</v>
      </c>
      <c r="K145" s="364"/>
      <c r="L145" s="21">
        <v>100</v>
      </c>
      <c r="M145" s="88">
        <v>2</v>
      </c>
      <c r="N145" s="80"/>
      <c r="O145" s="106"/>
      <c r="P145" s="570"/>
      <c r="Q145" s="570"/>
      <c r="R145" s="571"/>
      <c r="T145" s="18">
        <f t="shared" si="2"/>
        <v>0</v>
      </c>
      <c r="U145" s="337">
        <f>SUM(T147:T165)</f>
        <v>0</v>
      </c>
      <c r="V145" s="343">
        <f>U145/100</f>
        <v>0</v>
      </c>
      <c r="W145" s="474"/>
      <c r="X145" s="344"/>
      <c r="Y145" s="475"/>
    </row>
    <row r="146" spans="2:25" x14ac:dyDescent="0.25">
      <c r="B146" s="375"/>
      <c r="C146" s="574" t="s">
        <v>54</v>
      </c>
      <c r="D146" s="354" t="s">
        <v>209</v>
      </c>
      <c r="E146" s="354"/>
      <c r="F146" s="576"/>
      <c r="G146" s="364"/>
      <c r="H146" s="576"/>
      <c r="I146" s="364"/>
      <c r="J146" s="576"/>
      <c r="K146" s="364"/>
      <c r="L146" s="21">
        <v>30</v>
      </c>
      <c r="M146" s="364"/>
      <c r="N146" s="80"/>
      <c r="O146" s="106"/>
      <c r="P146" s="570"/>
      <c r="Q146" s="570"/>
      <c r="R146" s="571"/>
      <c r="T146" s="18">
        <f t="shared" si="2"/>
        <v>0</v>
      </c>
      <c r="U146" s="338"/>
      <c r="V146" s="344"/>
      <c r="W146" s="474"/>
      <c r="X146" s="344"/>
      <c r="Y146" s="475"/>
    </row>
    <row r="147" spans="2:25" ht="26.4" x14ac:dyDescent="0.25">
      <c r="B147" s="375"/>
      <c r="C147" s="574"/>
      <c r="D147" s="71" t="s">
        <v>58</v>
      </c>
      <c r="E147" s="77" t="s">
        <v>210</v>
      </c>
      <c r="F147" s="576"/>
      <c r="G147" s="82">
        <f>'SQ_Auditoreingaben '!G134</f>
        <v>15</v>
      </c>
      <c r="H147" s="576"/>
      <c r="I147" s="104">
        <f>'1. Prüfung'!I147</f>
        <v>0</v>
      </c>
      <c r="J147" s="576"/>
      <c r="K147" s="69"/>
      <c r="L147" s="18">
        <v>30</v>
      </c>
      <c r="M147" s="364"/>
      <c r="N147" s="80"/>
      <c r="O147" s="106"/>
      <c r="P147" s="570"/>
      <c r="Q147" s="570"/>
      <c r="R147" s="571"/>
      <c r="T147" s="18">
        <f t="shared" si="2"/>
        <v>0</v>
      </c>
      <c r="U147" s="338"/>
      <c r="V147" s="344"/>
      <c r="W147" s="474"/>
      <c r="X147" s="344"/>
      <c r="Y147" s="475"/>
    </row>
    <row r="148" spans="2:25" x14ac:dyDescent="0.25">
      <c r="B148" s="375"/>
      <c r="C148" s="351" t="s">
        <v>61</v>
      </c>
      <c r="D148" s="354" t="s">
        <v>211</v>
      </c>
      <c r="E148" s="354"/>
      <c r="F148" s="576"/>
      <c r="G148" s="113"/>
      <c r="H148" s="576"/>
      <c r="I148" s="113"/>
      <c r="J148" s="576"/>
      <c r="K148" s="113"/>
      <c r="L148" s="21">
        <v>10</v>
      </c>
      <c r="M148" s="364"/>
      <c r="N148" s="80"/>
      <c r="O148" s="106"/>
      <c r="P148" s="570"/>
      <c r="Q148" s="570"/>
      <c r="R148" s="571"/>
      <c r="T148" s="18">
        <f t="shared" si="2"/>
        <v>0</v>
      </c>
      <c r="U148" s="338"/>
      <c r="V148" s="344"/>
      <c r="W148" s="474"/>
      <c r="X148" s="344"/>
      <c r="Y148" s="475"/>
    </row>
    <row r="149" spans="2:25" ht="26.4" x14ac:dyDescent="0.25">
      <c r="B149" s="375"/>
      <c r="C149" s="351"/>
      <c r="D149" s="71" t="s">
        <v>63</v>
      </c>
      <c r="E149" s="77" t="s">
        <v>212</v>
      </c>
      <c r="F149" s="576"/>
      <c r="G149" s="82">
        <f>'SQ_Auditoreingaben '!G136</f>
        <v>0</v>
      </c>
      <c r="H149" s="576"/>
      <c r="I149" s="104">
        <f>'1. Prüfung'!I149</f>
        <v>0</v>
      </c>
      <c r="J149" s="576"/>
      <c r="K149" s="69"/>
      <c r="L149" s="18">
        <v>10</v>
      </c>
      <c r="M149" s="364"/>
      <c r="N149" s="80"/>
      <c r="O149" s="106"/>
      <c r="P149" s="570"/>
      <c r="Q149" s="570"/>
      <c r="R149" s="571"/>
      <c r="T149" s="18">
        <f t="shared" si="2"/>
        <v>0</v>
      </c>
      <c r="U149" s="338"/>
      <c r="V149" s="344"/>
      <c r="W149" s="474"/>
      <c r="X149" s="344"/>
      <c r="Y149" s="475"/>
    </row>
    <row r="150" spans="2:25" x14ac:dyDescent="0.25">
      <c r="B150" s="375"/>
      <c r="C150" s="392" t="s">
        <v>64</v>
      </c>
      <c r="D150" s="569" t="s">
        <v>711</v>
      </c>
      <c r="E150" s="569"/>
      <c r="F150" s="576"/>
      <c r="G150" s="113"/>
      <c r="H150" s="576"/>
      <c r="I150" s="113"/>
      <c r="J150" s="576"/>
      <c r="K150" s="113"/>
      <c r="L150" s="21">
        <v>10</v>
      </c>
      <c r="M150" s="364"/>
      <c r="N150" s="80"/>
      <c r="O150" s="106"/>
      <c r="P150" s="570"/>
      <c r="Q150" s="570"/>
      <c r="R150" s="571"/>
      <c r="T150" s="18">
        <f t="shared" si="2"/>
        <v>0</v>
      </c>
      <c r="U150" s="338"/>
      <c r="V150" s="344"/>
      <c r="W150" s="474"/>
      <c r="X150" s="344"/>
      <c r="Y150" s="475"/>
    </row>
    <row r="151" spans="2:25" ht="145.19999999999999" x14ac:dyDescent="0.25">
      <c r="B151" s="375"/>
      <c r="C151" s="351"/>
      <c r="D151" s="71" t="s">
        <v>66</v>
      </c>
      <c r="E151" s="77" t="s">
        <v>712</v>
      </c>
      <c r="F151" s="576"/>
      <c r="G151" s="82">
        <f>'SQ_Auditoreingaben '!G138</f>
        <v>10</v>
      </c>
      <c r="H151" s="576"/>
      <c r="I151" s="104">
        <f>'1. Prüfung'!I151</f>
        <v>0</v>
      </c>
      <c r="J151" s="576"/>
      <c r="K151" s="69"/>
      <c r="L151" s="18">
        <v>10</v>
      </c>
      <c r="M151" s="364"/>
      <c r="N151" s="80"/>
      <c r="O151" s="106"/>
      <c r="P151" s="570"/>
      <c r="Q151" s="570"/>
      <c r="R151" s="571"/>
      <c r="T151" s="18">
        <f t="shared" si="2"/>
        <v>0</v>
      </c>
      <c r="U151" s="338"/>
      <c r="V151" s="344"/>
      <c r="W151" s="474"/>
      <c r="X151" s="344"/>
      <c r="Y151" s="475"/>
    </row>
    <row r="152" spans="2:25" x14ac:dyDescent="0.25">
      <c r="B152" s="375"/>
      <c r="C152" s="351" t="s">
        <v>67</v>
      </c>
      <c r="D152" s="354" t="s">
        <v>213</v>
      </c>
      <c r="E152" s="354"/>
      <c r="F152" s="576"/>
      <c r="G152" s="113"/>
      <c r="H152" s="576"/>
      <c r="I152" s="113"/>
      <c r="J152" s="576"/>
      <c r="K152" s="113"/>
      <c r="L152" s="21">
        <v>25</v>
      </c>
      <c r="M152" s="364"/>
      <c r="N152" s="80"/>
      <c r="O152" s="106"/>
      <c r="P152" s="570"/>
      <c r="Q152" s="570"/>
      <c r="R152" s="571"/>
      <c r="T152" s="18">
        <f t="shared" si="2"/>
        <v>0</v>
      </c>
      <c r="U152" s="338"/>
      <c r="V152" s="344"/>
      <c r="W152" s="474"/>
      <c r="X152" s="344"/>
      <c r="Y152" s="475"/>
    </row>
    <row r="153" spans="2:25" ht="132" x14ac:dyDescent="0.25">
      <c r="B153" s="375"/>
      <c r="C153" s="351"/>
      <c r="D153" s="71" t="s">
        <v>69</v>
      </c>
      <c r="E153" s="77" t="s">
        <v>659</v>
      </c>
      <c r="F153" s="576"/>
      <c r="G153" s="82">
        <f>'SQ_Auditoreingaben '!G140</f>
        <v>10</v>
      </c>
      <c r="H153" s="576"/>
      <c r="I153" s="104">
        <f>'1. Prüfung'!I153</f>
        <v>0</v>
      </c>
      <c r="J153" s="576"/>
      <c r="K153" s="69"/>
      <c r="L153" s="18">
        <v>10</v>
      </c>
      <c r="M153" s="364"/>
      <c r="N153" s="80"/>
      <c r="O153" s="106"/>
      <c r="P153" s="570"/>
      <c r="Q153" s="570"/>
      <c r="R153" s="571"/>
      <c r="T153" s="18">
        <f t="shared" si="2"/>
        <v>0</v>
      </c>
      <c r="U153" s="338"/>
      <c r="V153" s="344"/>
      <c r="W153" s="474"/>
      <c r="X153" s="344"/>
      <c r="Y153" s="475"/>
    </row>
    <row r="154" spans="2:25" ht="105.6" x14ac:dyDescent="0.25">
      <c r="B154" s="375"/>
      <c r="C154" s="351"/>
      <c r="D154" s="71" t="s">
        <v>78</v>
      </c>
      <c r="E154" s="77" t="s">
        <v>660</v>
      </c>
      <c r="F154" s="576"/>
      <c r="G154" s="82">
        <f>'SQ_Auditoreingaben '!G141</f>
        <v>5</v>
      </c>
      <c r="H154" s="576"/>
      <c r="I154" s="104">
        <f>'1. Prüfung'!I154</f>
        <v>0</v>
      </c>
      <c r="J154" s="576"/>
      <c r="K154" s="69"/>
      <c r="L154" s="18">
        <v>5</v>
      </c>
      <c r="M154" s="364"/>
      <c r="N154" s="80"/>
      <c r="O154" s="106"/>
      <c r="P154" s="570"/>
      <c r="Q154" s="570"/>
      <c r="R154" s="571"/>
      <c r="T154" s="18">
        <f t="shared" si="2"/>
        <v>0</v>
      </c>
      <c r="U154" s="338"/>
      <c r="V154" s="344"/>
      <c r="W154" s="474"/>
      <c r="X154" s="344"/>
      <c r="Y154" s="475"/>
    </row>
    <row r="155" spans="2:25" ht="145.19999999999999" x14ac:dyDescent="0.25">
      <c r="B155" s="375"/>
      <c r="C155" s="351"/>
      <c r="D155" s="71" t="s">
        <v>214</v>
      </c>
      <c r="E155" s="77" t="s">
        <v>661</v>
      </c>
      <c r="F155" s="576"/>
      <c r="G155" s="82">
        <f>'SQ_Auditoreingaben '!G142</f>
        <v>5</v>
      </c>
      <c r="H155" s="576"/>
      <c r="I155" s="104">
        <f>'1. Prüfung'!I155</f>
        <v>0</v>
      </c>
      <c r="J155" s="576"/>
      <c r="K155" s="69"/>
      <c r="L155" s="18">
        <v>5</v>
      </c>
      <c r="M155" s="364"/>
      <c r="N155" s="80"/>
      <c r="O155" s="106"/>
      <c r="P155" s="570"/>
      <c r="Q155" s="570"/>
      <c r="R155" s="571"/>
      <c r="T155" s="18">
        <f t="shared" si="2"/>
        <v>0</v>
      </c>
      <c r="U155" s="338"/>
      <c r="V155" s="344"/>
      <c r="W155" s="474"/>
      <c r="X155" s="344"/>
      <c r="Y155" s="475"/>
    </row>
    <row r="156" spans="2:25" ht="92.4" x14ac:dyDescent="0.25">
      <c r="B156" s="375"/>
      <c r="C156" s="351"/>
      <c r="D156" s="71" t="s">
        <v>215</v>
      </c>
      <c r="E156" s="77" t="s">
        <v>662</v>
      </c>
      <c r="F156" s="576"/>
      <c r="G156" s="82">
        <f>'SQ_Auditoreingaben '!G143</f>
        <v>5</v>
      </c>
      <c r="H156" s="576"/>
      <c r="I156" s="104">
        <f>'1. Prüfung'!I156</f>
        <v>0</v>
      </c>
      <c r="J156" s="576"/>
      <c r="K156" s="69"/>
      <c r="L156" s="18">
        <v>5</v>
      </c>
      <c r="M156" s="364"/>
      <c r="N156" s="80"/>
      <c r="O156" s="106"/>
      <c r="P156" s="570"/>
      <c r="Q156" s="570"/>
      <c r="R156" s="571"/>
      <c r="T156" s="18">
        <f t="shared" si="2"/>
        <v>0</v>
      </c>
      <c r="U156" s="338"/>
      <c r="V156" s="344"/>
      <c r="W156" s="474"/>
      <c r="X156" s="344"/>
      <c r="Y156" s="475"/>
    </row>
    <row r="157" spans="2:25" x14ac:dyDescent="0.25">
      <c r="B157" s="375"/>
      <c r="C157" s="351" t="s">
        <v>154</v>
      </c>
      <c r="D157" s="354" t="s">
        <v>216</v>
      </c>
      <c r="E157" s="354"/>
      <c r="F157" s="576"/>
      <c r="G157" s="113"/>
      <c r="H157" s="576"/>
      <c r="I157" s="104">
        <f>'1. Prüfung'!I157</f>
        <v>0</v>
      </c>
      <c r="J157" s="576"/>
      <c r="K157" s="113"/>
      <c r="L157" s="21">
        <v>10</v>
      </c>
      <c r="M157" s="364"/>
      <c r="N157" s="80"/>
      <c r="O157" s="106"/>
      <c r="P157" s="570"/>
      <c r="Q157" s="570"/>
      <c r="R157" s="571"/>
      <c r="T157" s="18">
        <f t="shared" si="2"/>
        <v>0</v>
      </c>
      <c r="U157" s="338"/>
      <c r="V157" s="344"/>
      <c r="W157" s="474"/>
      <c r="X157" s="344"/>
      <c r="Y157" s="475"/>
    </row>
    <row r="158" spans="2:25" ht="66" x14ac:dyDescent="0.25">
      <c r="B158" s="375"/>
      <c r="C158" s="351"/>
      <c r="D158" s="71" t="s">
        <v>156</v>
      </c>
      <c r="E158" s="77" t="s">
        <v>217</v>
      </c>
      <c r="F158" s="576"/>
      <c r="G158" s="82">
        <f>'SQ_Auditoreingaben '!G145</f>
        <v>2</v>
      </c>
      <c r="H158" s="576"/>
      <c r="I158" s="104">
        <f>'1. Prüfung'!I158</f>
        <v>0</v>
      </c>
      <c r="J158" s="576"/>
      <c r="K158" s="69"/>
      <c r="L158" s="18">
        <v>2</v>
      </c>
      <c r="M158" s="364"/>
      <c r="N158" s="80"/>
      <c r="O158" s="106"/>
      <c r="P158" s="570"/>
      <c r="Q158" s="570"/>
      <c r="R158" s="571"/>
      <c r="T158" s="18">
        <f t="shared" si="2"/>
        <v>0</v>
      </c>
      <c r="U158" s="338"/>
      <c r="V158" s="344"/>
      <c r="W158" s="474"/>
      <c r="X158" s="344"/>
      <c r="Y158" s="475"/>
    </row>
    <row r="159" spans="2:25" ht="105.6" x14ac:dyDescent="0.25">
      <c r="B159" s="375"/>
      <c r="C159" s="351"/>
      <c r="D159" s="71" t="s">
        <v>218</v>
      </c>
      <c r="E159" s="77" t="s">
        <v>222</v>
      </c>
      <c r="F159" s="576"/>
      <c r="G159" s="82">
        <f>'SQ_Auditoreingaben '!G146</f>
        <v>2</v>
      </c>
      <c r="H159" s="576"/>
      <c r="I159" s="104">
        <f>'1. Prüfung'!I159</f>
        <v>0</v>
      </c>
      <c r="J159" s="576"/>
      <c r="K159" s="69"/>
      <c r="L159" s="18">
        <v>2</v>
      </c>
      <c r="M159" s="364"/>
      <c r="N159" s="80"/>
      <c r="O159" s="106"/>
      <c r="P159" s="570"/>
      <c r="Q159" s="570"/>
      <c r="R159" s="571"/>
      <c r="T159" s="18">
        <f t="shared" si="2"/>
        <v>0</v>
      </c>
      <c r="U159" s="338"/>
      <c r="V159" s="344"/>
      <c r="W159" s="474"/>
      <c r="X159" s="344"/>
      <c r="Y159" s="475"/>
    </row>
    <row r="160" spans="2:25" ht="79.2" x14ac:dyDescent="0.25">
      <c r="B160" s="375"/>
      <c r="C160" s="351"/>
      <c r="D160" s="71" t="s">
        <v>219</v>
      </c>
      <c r="E160" s="77" t="s">
        <v>223</v>
      </c>
      <c r="F160" s="576"/>
      <c r="G160" s="82">
        <f>'SQ_Auditoreingaben '!G147</f>
        <v>2</v>
      </c>
      <c r="H160" s="576"/>
      <c r="I160" s="104">
        <f>'1. Prüfung'!I160</f>
        <v>0</v>
      </c>
      <c r="J160" s="576"/>
      <c r="K160" s="69"/>
      <c r="L160" s="18">
        <v>2</v>
      </c>
      <c r="M160" s="364"/>
      <c r="N160" s="80"/>
      <c r="O160" s="106"/>
      <c r="P160" s="570"/>
      <c r="Q160" s="570"/>
      <c r="R160" s="571"/>
      <c r="T160" s="18">
        <f t="shared" si="2"/>
        <v>0</v>
      </c>
      <c r="U160" s="338"/>
      <c r="V160" s="344"/>
      <c r="W160" s="474"/>
      <c r="X160" s="344"/>
      <c r="Y160" s="475"/>
    </row>
    <row r="161" spans="2:25" ht="52.8" x14ac:dyDescent="0.25">
      <c r="B161" s="375"/>
      <c r="C161" s="351"/>
      <c r="D161" s="71" t="s">
        <v>220</v>
      </c>
      <c r="E161" s="77" t="s">
        <v>224</v>
      </c>
      <c r="F161" s="576"/>
      <c r="G161" s="82">
        <f>'SQ_Auditoreingaben '!G148</f>
        <v>2</v>
      </c>
      <c r="H161" s="576"/>
      <c r="I161" s="104">
        <f>'1. Prüfung'!I161</f>
        <v>0</v>
      </c>
      <c r="J161" s="576"/>
      <c r="K161" s="69"/>
      <c r="L161" s="18">
        <v>2</v>
      </c>
      <c r="M161" s="364"/>
      <c r="N161" s="80"/>
      <c r="O161" s="106"/>
      <c r="P161" s="570"/>
      <c r="Q161" s="570"/>
      <c r="R161" s="571"/>
      <c r="T161" s="18">
        <f t="shared" si="2"/>
        <v>0</v>
      </c>
      <c r="U161" s="338"/>
      <c r="V161" s="344"/>
      <c r="W161" s="474"/>
      <c r="X161" s="344"/>
      <c r="Y161" s="475"/>
    </row>
    <row r="162" spans="2:25" ht="66" x14ac:dyDescent="0.25">
      <c r="B162" s="375"/>
      <c r="C162" s="351"/>
      <c r="D162" s="71" t="s">
        <v>221</v>
      </c>
      <c r="E162" s="77" t="s">
        <v>225</v>
      </c>
      <c r="F162" s="576"/>
      <c r="G162" s="82">
        <f>'SQ_Auditoreingaben '!G149</f>
        <v>2</v>
      </c>
      <c r="H162" s="576"/>
      <c r="I162" s="104">
        <f>'1. Prüfung'!I162</f>
        <v>0</v>
      </c>
      <c r="J162" s="576"/>
      <c r="K162" s="69"/>
      <c r="L162" s="18">
        <v>2</v>
      </c>
      <c r="M162" s="364"/>
      <c r="N162" s="80"/>
      <c r="O162" s="106"/>
      <c r="P162" s="570"/>
      <c r="Q162" s="570"/>
      <c r="R162" s="571"/>
      <c r="T162" s="18">
        <f t="shared" si="2"/>
        <v>0</v>
      </c>
      <c r="U162" s="338"/>
      <c r="V162" s="344"/>
      <c r="W162" s="474"/>
      <c r="X162" s="344"/>
      <c r="Y162" s="475"/>
    </row>
    <row r="163" spans="2:25" x14ac:dyDescent="0.25">
      <c r="B163" s="375"/>
      <c r="C163" s="351" t="s">
        <v>157</v>
      </c>
      <c r="D163" s="354" t="s">
        <v>226</v>
      </c>
      <c r="E163" s="354"/>
      <c r="F163" s="576"/>
      <c r="G163" s="113"/>
      <c r="H163" s="576"/>
      <c r="I163" s="113"/>
      <c r="J163" s="576"/>
      <c r="K163" s="113"/>
      <c r="L163" s="21">
        <v>15</v>
      </c>
      <c r="M163" s="364"/>
      <c r="N163" s="80"/>
      <c r="O163" s="106"/>
      <c r="P163" s="570"/>
      <c r="Q163" s="570"/>
      <c r="R163" s="571"/>
      <c r="T163" s="18">
        <f t="shared" si="2"/>
        <v>0</v>
      </c>
      <c r="U163" s="338"/>
      <c r="V163" s="344"/>
      <c r="W163" s="474"/>
      <c r="X163" s="344"/>
      <c r="Y163" s="475"/>
    </row>
    <row r="164" spans="2:25" ht="52.8" x14ac:dyDescent="0.25">
      <c r="B164" s="375"/>
      <c r="C164" s="351"/>
      <c r="D164" s="71" t="s">
        <v>159</v>
      </c>
      <c r="E164" s="77" t="s">
        <v>713</v>
      </c>
      <c r="F164" s="576"/>
      <c r="G164" s="82">
        <f>'SQ_Auditoreingaben '!G151</f>
        <v>0</v>
      </c>
      <c r="H164" s="576"/>
      <c r="I164" s="104">
        <f>'1. Prüfung'!I164</f>
        <v>0</v>
      </c>
      <c r="J164" s="576"/>
      <c r="K164" s="69"/>
      <c r="L164" s="18">
        <v>5</v>
      </c>
      <c r="M164" s="364"/>
      <c r="N164" s="80"/>
      <c r="O164" s="106"/>
      <c r="P164" s="570"/>
      <c r="Q164" s="570"/>
      <c r="R164" s="571"/>
      <c r="T164" s="18">
        <f t="shared" si="2"/>
        <v>0</v>
      </c>
      <c r="U164" s="338"/>
      <c r="V164" s="344"/>
      <c r="W164" s="474"/>
      <c r="X164" s="344"/>
      <c r="Y164" s="475"/>
    </row>
    <row r="165" spans="2:25" ht="105.6" x14ac:dyDescent="0.25">
      <c r="B165" s="375"/>
      <c r="C165" s="351"/>
      <c r="D165" s="71" t="s">
        <v>160</v>
      </c>
      <c r="E165" s="77" t="s">
        <v>236</v>
      </c>
      <c r="F165" s="576"/>
      <c r="G165" s="82">
        <f>'SQ_Auditoreingaben '!G152</f>
        <v>10</v>
      </c>
      <c r="H165" s="576"/>
      <c r="I165" s="104">
        <f>'1. Prüfung'!I165</f>
        <v>0</v>
      </c>
      <c r="J165" s="576"/>
      <c r="K165" s="69"/>
      <c r="L165" s="18">
        <v>10</v>
      </c>
      <c r="M165" s="364"/>
      <c r="N165" s="80"/>
      <c r="O165" s="106"/>
      <c r="P165" s="570"/>
      <c r="Q165" s="570"/>
      <c r="R165" s="571"/>
      <c r="T165" s="18">
        <f t="shared" si="2"/>
        <v>0</v>
      </c>
      <c r="U165" s="339"/>
      <c r="V165" s="365"/>
      <c r="W165" s="474"/>
      <c r="X165" s="365"/>
      <c r="Y165" s="475"/>
    </row>
    <row r="166" spans="2:25" x14ac:dyDescent="0.25">
      <c r="B166" s="96" t="s">
        <v>628</v>
      </c>
      <c r="C166" s="354" t="s">
        <v>639</v>
      </c>
      <c r="D166" s="354"/>
      <c r="E166" s="354"/>
      <c r="F166" s="78">
        <f>'SQ_Auditoreingaben '!F159</f>
        <v>50</v>
      </c>
      <c r="G166" s="356"/>
      <c r="H166" s="105">
        <f>'1. Prüfung'!H166</f>
        <v>0</v>
      </c>
      <c r="I166" s="356"/>
      <c r="J166" s="91">
        <f>U166</f>
        <v>0</v>
      </c>
      <c r="K166" s="356"/>
      <c r="L166" s="21">
        <v>100</v>
      </c>
      <c r="M166" s="92">
        <v>2</v>
      </c>
      <c r="N166" s="80"/>
      <c r="O166" s="106"/>
      <c r="P166" s="570"/>
      <c r="Q166" s="570"/>
      <c r="R166" s="571"/>
      <c r="T166" s="18">
        <f t="shared" si="2"/>
        <v>0</v>
      </c>
      <c r="U166" s="337">
        <f>SUM(T168:T176)</f>
        <v>0</v>
      </c>
      <c r="V166" s="343">
        <f>U166/100</f>
        <v>0</v>
      </c>
      <c r="W166" s="343">
        <v>0.2</v>
      </c>
      <c r="X166" s="343">
        <f>IF((V166*M166+V177*M177+V206*M206+V226*M226+V278*M278+V299*M299+V316*M316)/(M166+M177+M206+M226+M278+M299+M316)&gt;1,1,(V166*M166+V177*M177+V206*M206+V226*M226+V278*M278+V299*M299+V316*M316)/(M166+M177+M206+M226+M278+M299+M316))</f>
        <v>0</v>
      </c>
      <c r="Y166" s="475"/>
    </row>
    <row r="167" spans="2:25" x14ac:dyDescent="0.25">
      <c r="B167" s="375"/>
      <c r="C167" s="351" t="s">
        <v>54</v>
      </c>
      <c r="D167" s="569" t="s">
        <v>640</v>
      </c>
      <c r="E167" s="569"/>
      <c r="F167" s="575"/>
      <c r="G167" s="356"/>
      <c r="H167" s="575"/>
      <c r="I167" s="356"/>
      <c r="J167" s="575"/>
      <c r="K167" s="356"/>
      <c r="L167" s="21">
        <v>70</v>
      </c>
      <c r="M167" s="364"/>
      <c r="N167" s="80"/>
      <c r="O167" s="106"/>
      <c r="P167" s="570"/>
      <c r="Q167" s="570"/>
      <c r="R167" s="571"/>
      <c r="T167" s="18">
        <f t="shared" si="2"/>
        <v>0</v>
      </c>
      <c r="U167" s="338"/>
      <c r="V167" s="344"/>
      <c r="W167" s="344"/>
      <c r="X167" s="344"/>
      <c r="Y167" s="475"/>
    </row>
    <row r="168" spans="2:25" ht="52.8" x14ac:dyDescent="0.25">
      <c r="B168" s="375"/>
      <c r="C168" s="351"/>
      <c r="D168" s="71" t="s">
        <v>58</v>
      </c>
      <c r="E168" s="77" t="s">
        <v>643</v>
      </c>
      <c r="F168" s="575"/>
      <c r="G168" s="82">
        <f>'SQ_Auditoreingaben '!G161</f>
        <v>10</v>
      </c>
      <c r="H168" s="575"/>
      <c r="I168" s="104">
        <f>'1. Prüfung'!I168</f>
        <v>0</v>
      </c>
      <c r="J168" s="575"/>
      <c r="K168" s="69"/>
      <c r="L168" s="18">
        <v>10</v>
      </c>
      <c r="M168" s="364"/>
      <c r="N168" s="80"/>
      <c r="O168" s="106"/>
      <c r="P168" s="570"/>
      <c r="Q168" s="570"/>
      <c r="R168" s="571"/>
      <c r="T168" s="18">
        <f t="shared" si="2"/>
        <v>0</v>
      </c>
      <c r="U168" s="338"/>
      <c r="V168" s="344"/>
      <c r="W168" s="344"/>
      <c r="X168" s="344"/>
      <c r="Y168" s="475"/>
    </row>
    <row r="169" spans="2:25" ht="92.4" x14ac:dyDescent="0.25">
      <c r="B169" s="375"/>
      <c r="C169" s="351"/>
      <c r="D169" s="71" t="s">
        <v>181</v>
      </c>
      <c r="E169" s="77" t="s">
        <v>644</v>
      </c>
      <c r="F169" s="575"/>
      <c r="G169" s="82">
        <f>'SQ_Auditoreingaben '!G162</f>
        <v>5</v>
      </c>
      <c r="H169" s="575"/>
      <c r="I169" s="104">
        <f>'1. Prüfung'!I169</f>
        <v>0</v>
      </c>
      <c r="J169" s="575"/>
      <c r="K169" s="69"/>
      <c r="L169" s="18">
        <v>10</v>
      </c>
      <c r="M169" s="364"/>
      <c r="N169" s="80"/>
      <c r="O169" s="106"/>
      <c r="P169" s="570"/>
      <c r="Q169" s="570"/>
      <c r="R169" s="571"/>
      <c r="T169" s="18">
        <f t="shared" si="2"/>
        <v>0</v>
      </c>
      <c r="U169" s="338"/>
      <c r="V169" s="344"/>
      <c r="W169" s="344"/>
      <c r="X169" s="344"/>
      <c r="Y169" s="475"/>
    </row>
    <row r="170" spans="2:25" ht="118.8" x14ac:dyDescent="0.25">
      <c r="B170" s="375"/>
      <c r="C170" s="351"/>
      <c r="D170" s="71" t="s">
        <v>246</v>
      </c>
      <c r="E170" s="77" t="s">
        <v>645</v>
      </c>
      <c r="F170" s="575"/>
      <c r="G170" s="82">
        <f>'SQ_Auditoreingaben '!G163</f>
        <v>10</v>
      </c>
      <c r="H170" s="575"/>
      <c r="I170" s="104">
        <f>'1. Prüfung'!I170</f>
        <v>0</v>
      </c>
      <c r="J170" s="575"/>
      <c r="K170" s="69"/>
      <c r="L170" s="18">
        <v>10</v>
      </c>
      <c r="M170" s="364"/>
      <c r="N170" s="80"/>
      <c r="O170" s="106"/>
      <c r="P170" s="570"/>
      <c r="Q170" s="570"/>
      <c r="R170" s="571"/>
      <c r="T170" s="18">
        <f t="shared" si="2"/>
        <v>0</v>
      </c>
      <c r="U170" s="338"/>
      <c r="V170" s="344"/>
      <c r="W170" s="344"/>
      <c r="X170" s="344"/>
      <c r="Y170" s="475"/>
    </row>
    <row r="171" spans="2:25" ht="92.4" x14ac:dyDescent="0.25">
      <c r="B171" s="375"/>
      <c r="C171" s="351"/>
      <c r="D171" s="71" t="s">
        <v>250</v>
      </c>
      <c r="E171" s="77" t="s">
        <v>646</v>
      </c>
      <c r="F171" s="575"/>
      <c r="G171" s="82">
        <f>'SQ_Auditoreingaben '!G164</f>
        <v>10</v>
      </c>
      <c r="H171" s="575"/>
      <c r="I171" s="104">
        <f>'1. Prüfung'!I171</f>
        <v>0</v>
      </c>
      <c r="J171" s="575"/>
      <c r="K171" s="69"/>
      <c r="L171" s="18">
        <v>10</v>
      </c>
      <c r="M171" s="364"/>
      <c r="N171" s="80"/>
      <c r="O171" s="106"/>
      <c r="P171" s="570"/>
      <c r="Q171" s="570"/>
      <c r="R171" s="571"/>
      <c r="T171" s="18">
        <f t="shared" si="2"/>
        <v>0</v>
      </c>
      <c r="U171" s="338"/>
      <c r="V171" s="344"/>
      <c r="W171" s="344"/>
      <c r="X171" s="344"/>
      <c r="Y171" s="475"/>
    </row>
    <row r="172" spans="2:25" ht="79.2" x14ac:dyDescent="0.25">
      <c r="B172" s="375"/>
      <c r="C172" s="351"/>
      <c r="D172" s="71" t="s">
        <v>121</v>
      </c>
      <c r="E172" s="77" t="s">
        <v>647</v>
      </c>
      <c r="F172" s="575"/>
      <c r="G172" s="82">
        <f>'SQ_Auditoreingaben '!G165</f>
        <v>15</v>
      </c>
      <c r="H172" s="575"/>
      <c r="I172" s="104">
        <f>'1. Prüfung'!I172</f>
        <v>0</v>
      </c>
      <c r="J172" s="575"/>
      <c r="K172" s="69"/>
      <c r="L172" s="18">
        <v>30</v>
      </c>
      <c r="M172" s="364"/>
      <c r="N172" s="80"/>
      <c r="O172" s="106"/>
      <c r="P172" s="570"/>
      <c r="Q172" s="570"/>
      <c r="R172" s="571"/>
      <c r="T172" s="18">
        <f t="shared" si="2"/>
        <v>0</v>
      </c>
      <c r="U172" s="338"/>
      <c r="V172" s="344"/>
      <c r="W172" s="344"/>
      <c r="X172" s="344"/>
      <c r="Y172" s="475"/>
    </row>
    <row r="173" spans="2:25" x14ac:dyDescent="0.25">
      <c r="B173" s="375"/>
      <c r="C173" s="351" t="s">
        <v>61</v>
      </c>
      <c r="D173" s="569" t="s">
        <v>641</v>
      </c>
      <c r="E173" s="569"/>
      <c r="F173" s="575"/>
      <c r="G173" s="113"/>
      <c r="H173" s="575"/>
      <c r="I173" s="113"/>
      <c r="J173" s="575"/>
      <c r="K173" s="113"/>
      <c r="L173" s="21">
        <v>10</v>
      </c>
      <c r="M173" s="364"/>
      <c r="N173" s="80"/>
      <c r="O173" s="106"/>
      <c r="P173" s="570"/>
      <c r="Q173" s="570"/>
      <c r="R173" s="571"/>
      <c r="T173" s="18">
        <f t="shared" si="2"/>
        <v>0</v>
      </c>
      <c r="U173" s="338"/>
      <c r="V173" s="344"/>
      <c r="W173" s="344"/>
      <c r="X173" s="344"/>
      <c r="Y173" s="475"/>
    </row>
    <row r="174" spans="2:25" ht="171.6" x14ac:dyDescent="0.25">
      <c r="B174" s="375"/>
      <c r="C174" s="351"/>
      <c r="D174" s="71" t="s">
        <v>63</v>
      </c>
      <c r="E174" s="77" t="s">
        <v>648</v>
      </c>
      <c r="F174" s="575"/>
      <c r="G174" s="82">
        <f>'SQ_Auditoreingaben '!G167</f>
        <v>0</v>
      </c>
      <c r="H174" s="575"/>
      <c r="I174" s="104">
        <f>'1. Prüfung'!I174</f>
        <v>0</v>
      </c>
      <c r="J174" s="575"/>
      <c r="K174" s="69"/>
      <c r="L174" s="18">
        <v>10</v>
      </c>
      <c r="M174" s="364"/>
      <c r="N174" s="80"/>
      <c r="O174" s="106"/>
      <c r="P174" s="570"/>
      <c r="Q174" s="570"/>
      <c r="R174" s="571"/>
      <c r="T174" s="18">
        <f t="shared" si="2"/>
        <v>0</v>
      </c>
      <c r="U174" s="338"/>
      <c r="V174" s="344"/>
      <c r="W174" s="344"/>
      <c r="X174" s="344"/>
      <c r="Y174" s="475"/>
    </row>
    <row r="175" spans="2:25" x14ac:dyDescent="0.25">
      <c r="B175" s="375"/>
      <c r="C175" s="351" t="s">
        <v>64</v>
      </c>
      <c r="D175" s="569" t="s">
        <v>642</v>
      </c>
      <c r="E175" s="569"/>
      <c r="F175" s="575"/>
      <c r="G175" s="113"/>
      <c r="H175" s="575"/>
      <c r="I175" s="113"/>
      <c r="J175" s="575"/>
      <c r="K175" s="113"/>
      <c r="L175" s="21">
        <v>20</v>
      </c>
      <c r="M175" s="364"/>
      <c r="N175" s="80"/>
      <c r="O175" s="106"/>
      <c r="P175" s="570"/>
      <c r="Q175" s="570"/>
      <c r="R175" s="571"/>
      <c r="T175" s="18">
        <f t="shared" si="2"/>
        <v>0</v>
      </c>
      <c r="U175" s="338"/>
      <c r="V175" s="344"/>
      <c r="W175" s="344"/>
      <c r="X175" s="344"/>
      <c r="Y175" s="475"/>
    </row>
    <row r="176" spans="2:25" ht="145.19999999999999" x14ac:dyDescent="0.25">
      <c r="B176" s="375"/>
      <c r="C176" s="351"/>
      <c r="D176" s="71" t="s">
        <v>66</v>
      </c>
      <c r="E176" s="77" t="s">
        <v>649</v>
      </c>
      <c r="F176" s="575"/>
      <c r="G176" s="82">
        <f>'SQ_Auditoreingaben '!G169</f>
        <v>0</v>
      </c>
      <c r="H176" s="575"/>
      <c r="I176" s="104">
        <f>'1. Prüfung'!I176</f>
        <v>0</v>
      </c>
      <c r="J176" s="575"/>
      <c r="K176" s="69"/>
      <c r="L176" s="18">
        <v>20</v>
      </c>
      <c r="M176" s="364"/>
      <c r="N176" s="80"/>
      <c r="O176" s="106"/>
      <c r="P176" s="570"/>
      <c r="Q176" s="570"/>
      <c r="R176" s="571"/>
      <c r="T176" s="18">
        <f t="shared" si="2"/>
        <v>0</v>
      </c>
      <c r="U176" s="339"/>
      <c r="V176" s="365"/>
      <c r="W176" s="344"/>
      <c r="X176" s="344"/>
      <c r="Y176" s="475"/>
    </row>
    <row r="177" spans="2:25" x14ac:dyDescent="0.25">
      <c r="B177" s="55" t="s">
        <v>237</v>
      </c>
      <c r="C177" s="354" t="s">
        <v>238</v>
      </c>
      <c r="D177" s="354"/>
      <c r="E177" s="354"/>
      <c r="F177" s="78">
        <f>'SQ_Auditoreingaben '!F170</f>
        <v>95</v>
      </c>
      <c r="G177" s="364"/>
      <c r="H177" s="105">
        <f>'1. Prüfung'!H177</f>
        <v>0</v>
      </c>
      <c r="I177" s="364"/>
      <c r="J177" s="79">
        <f>U177</f>
        <v>0</v>
      </c>
      <c r="K177" s="364"/>
      <c r="L177" s="21">
        <v>100</v>
      </c>
      <c r="M177" s="88">
        <v>4</v>
      </c>
      <c r="N177" s="80"/>
      <c r="O177" s="106"/>
      <c r="P177" s="570"/>
      <c r="Q177" s="570"/>
      <c r="R177" s="571"/>
      <c r="T177" s="18">
        <f t="shared" si="2"/>
        <v>0</v>
      </c>
      <c r="U177" s="337">
        <f>SUM(T180:T205)</f>
        <v>0</v>
      </c>
      <c r="V177" s="343">
        <f>U177/100</f>
        <v>0</v>
      </c>
      <c r="W177" s="344"/>
      <c r="X177" s="344"/>
      <c r="Y177" s="475"/>
    </row>
    <row r="178" spans="2:25" x14ac:dyDescent="0.25">
      <c r="B178" s="375"/>
      <c r="C178" s="351" t="s">
        <v>54</v>
      </c>
      <c r="D178" s="354" t="s">
        <v>239</v>
      </c>
      <c r="E178" s="354"/>
      <c r="F178" s="576"/>
      <c r="G178" s="364"/>
      <c r="H178" s="576"/>
      <c r="I178" s="364"/>
      <c r="J178" s="576"/>
      <c r="K178" s="364"/>
      <c r="L178" s="21">
        <v>20</v>
      </c>
      <c r="M178" s="364"/>
      <c r="N178" s="80"/>
      <c r="O178" s="106"/>
      <c r="P178" s="570"/>
      <c r="Q178" s="570"/>
      <c r="R178" s="571"/>
      <c r="T178" s="18">
        <f t="shared" si="2"/>
        <v>0</v>
      </c>
      <c r="U178" s="338"/>
      <c r="V178" s="344"/>
      <c r="W178" s="344"/>
      <c r="X178" s="344"/>
      <c r="Y178" s="475"/>
    </row>
    <row r="179" spans="2:25" x14ac:dyDescent="0.25">
      <c r="B179" s="375"/>
      <c r="C179" s="351"/>
      <c r="D179" s="361" t="s">
        <v>58</v>
      </c>
      <c r="E179" s="90" t="s">
        <v>240</v>
      </c>
      <c r="F179" s="576"/>
      <c r="G179" s="364"/>
      <c r="H179" s="576"/>
      <c r="I179" s="364"/>
      <c r="J179" s="576"/>
      <c r="K179" s="364"/>
      <c r="L179" s="21">
        <v>5</v>
      </c>
      <c r="M179" s="364"/>
      <c r="N179" s="80"/>
      <c r="O179" s="106"/>
      <c r="P179" s="570"/>
      <c r="Q179" s="570"/>
      <c r="R179" s="571"/>
      <c r="T179" s="18">
        <f t="shared" si="2"/>
        <v>0</v>
      </c>
      <c r="U179" s="338"/>
      <c r="V179" s="344"/>
      <c r="W179" s="344"/>
      <c r="X179" s="344"/>
      <c r="Y179" s="475"/>
    </row>
    <row r="180" spans="2:25" ht="39.6" x14ac:dyDescent="0.25">
      <c r="B180" s="375"/>
      <c r="C180" s="351"/>
      <c r="D180" s="361"/>
      <c r="E180" s="77" t="s">
        <v>241</v>
      </c>
      <c r="F180" s="576"/>
      <c r="G180" s="82">
        <f>'SQ_Auditoreingaben '!G173</f>
        <v>3</v>
      </c>
      <c r="H180" s="576"/>
      <c r="I180" s="104">
        <f>'1. Prüfung'!I180</f>
        <v>0</v>
      </c>
      <c r="J180" s="576"/>
      <c r="K180" s="69"/>
      <c r="L180" s="18">
        <v>3</v>
      </c>
      <c r="M180" s="364"/>
      <c r="N180" s="80"/>
      <c r="O180" s="106"/>
      <c r="P180" s="570"/>
      <c r="Q180" s="570"/>
      <c r="R180" s="571"/>
      <c r="T180" s="18">
        <f t="shared" si="2"/>
        <v>0</v>
      </c>
      <c r="U180" s="338"/>
      <c r="V180" s="344"/>
      <c r="W180" s="344"/>
      <c r="X180" s="344"/>
      <c r="Y180" s="475"/>
    </row>
    <row r="181" spans="2:25" ht="52.8" x14ac:dyDescent="0.25">
      <c r="B181" s="375"/>
      <c r="C181" s="351"/>
      <c r="D181" s="361"/>
      <c r="E181" s="77" t="s">
        <v>242</v>
      </c>
      <c r="F181" s="576"/>
      <c r="G181" s="82">
        <f>'SQ_Auditoreingaben '!G174</f>
        <v>2</v>
      </c>
      <c r="H181" s="576"/>
      <c r="I181" s="104">
        <f>'1. Prüfung'!I181</f>
        <v>0</v>
      </c>
      <c r="J181" s="576"/>
      <c r="K181" s="69"/>
      <c r="L181" s="18">
        <v>2</v>
      </c>
      <c r="M181" s="364"/>
      <c r="N181" s="80"/>
      <c r="O181" s="106"/>
      <c r="P181" s="570"/>
      <c r="Q181" s="570"/>
      <c r="R181" s="571"/>
      <c r="T181" s="18">
        <f t="shared" si="2"/>
        <v>0</v>
      </c>
      <c r="U181" s="338"/>
      <c r="V181" s="344"/>
      <c r="W181" s="344"/>
      <c r="X181" s="344"/>
      <c r="Y181" s="475"/>
    </row>
    <row r="182" spans="2:25" x14ac:dyDescent="0.25">
      <c r="B182" s="375"/>
      <c r="C182" s="351"/>
      <c r="D182" s="361" t="s">
        <v>88</v>
      </c>
      <c r="E182" s="90" t="s">
        <v>243</v>
      </c>
      <c r="F182" s="576"/>
      <c r="G182" s="113"/>
      <c r="H182" s="576"/>
      <c r="I182" s="113"/>
      <c r="J182" s="576"/>
      <c r="K182" s="113"/>
      <c r="L182" s="21">
        <v>5</v>
      </c>
      <c r="M182" s="364"/>
      <c r="N182" s="80"/>
      <c r="O182" s="106"/>
      <c r="P182" s="570"/>
      <c r="Q182" s="570"/>
      <c r="R182" s="571"/>
      <c r="T182" s="18">
        <f t="shared" si="2"/>
        <v>0</v>
      </c>
      <c r="U182" s="338"/>
      <c r="V182" s="344"/>
      <c r="W182" s="344"/>
      <c r="X182" s="344"/>
      <c r="Y182" s="475"/>
    </row>
    <row r="183" spans="2:25" ht="39.6" x14ac:dyDescent="0.25">
      <c r="B183" s="375"/>
      <c r="C183" s="351"/>
      <c r="D183" s="361"/>
      <c r="E183" s="77" t="s">
        <v>244</v>
      </c>
      <c r="F183" s="576"/>
      <c r="G183" s="82">
        <f>'SQ_Auditoreingaben '!G176</f>
        <v>3</v>
      </c>
      <c r="H183" s="576"/>
      <c r="I183" s="104">
        <f>'1. Prüfung'!I183</f>
        <v>0</v>
      </c>
      <c r="J183" s="576"/>
      <c r="K183" s="69"/>
      <c r="L183" s="18">
        <v>3</v>
      </c>
      <c r="M183" s="364"/>
      <c r="N183" s="80"/>
      <c r="O183" s="106"/>
      <c r="P183" s="570"/>
      <c r="Q183" s="570"/>
      <c r="R183" s="571"/>
      <c r="T183" s="18">
        <f t="shared" si="2"/>
        <v>0</v>
      </c>
      <c r="U183" s="338"/>
      <c r="V183" s="344"/>
      <c r="W183" s="344"/>
      <c r="X183" s="344"/>
      <c r="Y183" s="475"/>
    </row>
    <row r="184" spans="2:25" ht="52.8" x14ac:dyDescent="0.25">
      <c r="B184" s="375"/>
      <c r="C184" s="351"/>
      <c r="D184" s="361"/>
      <c r="E184" s="77" t="s">
        <v>245</v>
      </c>
      <c r="F184" s="576"/>
      <c r="G184" s="82">
        <f>'SQ_Auditoreingaben '!G177</f>
        <v>2</v>
      </c>
      <c r="H184" s="576"/>
      <c r="I184" s="104">
        <f>'1. Prüfung'!I184</f>
        <v>0</v>
      </c>
      <c r="J184" s="576"/>
      <c r="K184" s="69"/>
      <c r="L184" s="18">
        <v>2</v>
      </c>
      <c r="M184" s="364"/>
      <c r="N184" s="80"/>
      <c r="O184" s="106"/>
      <c r="P184" s="570"/>
      <c r="Q184" s="570"/>
      <c r="R184" s="571"/>
      <c r="T184" s="18">
        <f t="shared" si="2"/>
        <v>0</v>
      </c>
      <c r="U184" s="338"/>
      <c r="V184" s="344"/>
      <c r="W184" s="344"/>
      <c r="X184" s="344"/>
      <c r="Y184" s="475"/>
    </row>
    <row r="185" spans="2:25" x14ac:dyDescent="0.25">
      <c r="B185" s="375"/>
      <c r="C185" s="351"/>
      <c r="D185" s="361" t="s">
        <v>246</v>
      </c>
      <c r="E185" s="87" t="s">
        <v>247</v>
      </c>
      <c r="F185" s="576"/>
      <c r="G185" s="113"/>
      <c r="H185" s="576"/>
      <c r="I185" s="113"/>
      <c r="J185" s="576"/>
      <c r="K185" s="113"/>
      <c r="L185" s="21">
        <v>5</v>
      </c>
      <c r="M185" s="364"/>
      <c r="N185" s="80"/>
      <c r="O185" s="106"/>
      <c r="P185" s="570"/>
      <c r="Q185" s="570"/>
      <c r="R185" s="571"/>
      <c r="T185" s="18">
        <f t="shared" si="2"/>
        <v>0</v>
      </c>
      <c r="U185" s="338"/>
      <c r="V185" s="344"/>
      <c r="W185" s="344"/>
      <c r="X185" s="344"/>
      <c r="Y185" s="475"/>
    </row>
    <row r="186" spans="2:25" ht="39.6" x14ac:dyDescent="0.25">
      <c r="B186" s="375"/>
      <c r="C186" s="351"/>
      <c r="D186" s="361"/>
      <c r="E186" s="77" t="s">
        <v>248</v>
      </c>
      <c r="F186" s="576"/>
      <c r="G186" s="82">
        <f>'SQ_Auditoreingaben '!G179</f>
        <v>3</v>
      </c>
      <c r="H186" s="576"/>
      <c r="I186" s="104">
        <f>'1. Prüfung'!I186</f>
        <v>0</v>
      </c>
      <c r="J186" s="576"/>
      <c r="K186" s="69"/>
      <c r="L186" s="18">
        <v>3</v>
      </c>
      <c r="M186" s="364"/>
      <c r="N186" s="80"/>
      <c r="O186" s="106"/>
      <c r="P186" s="570"/>
      <c r="Q186" s="570"/>
      <c r="R186" s="571"/>
      <c r="T186" s="18">
        <f t="shared" si="2"/>
        <v>0</v>
      </c>
      <c r="U186" s="338"/>
      <c r="V186" s="344"/>
      <c r="W186" s="344"/>
      <c r="X186" s="344"/>
      <c r="Y186" s="475"/>
    </row>
    <row r="187" spans="2:25" ht="52.8" x14ac:dyDescent="0.25">
      <c r="B187" s="375"/>
      <c r="C187" s="351"/>
      <c r="D187" s="361"/>
      <c r="E187" s="77" t="s">
        <v>249</v>
      </c>
      <c r="F187" s="576"/>
      <c r="G187" s="82">
        <f>'SQ_Auditoreingaben '!G180</f>
        <v>2</v>
      </c>
      <c r="H187" s="576"/>
      <c r="I187" s="104">
        <f>'1. Prüfung'!I187</f>
        <v>0</v>
      </c>
      <c r="J187" s="576"/>
      <c r="K187" s="69"/>
      <c r="L187" s="18">
        <v>2</v>
      </c>
      <c r="M187" s="364"/>
      <c r="N187" s="80"/>
      <c r="O187" s="106"/>
      <c r="P187" s="570"/>
      <c r="Q187" s="570"/>
      <c r="R187" s="571"/>
      <c r="T187" s="18">
        <f t="shared" si="2"/>
        <v>0</v>
      </c>
      <c r="U187" s="338"/>
      <c r="V187" s="344"/>
      <c r="W187" s="344"/>
      <c r="X187" s="344"/>
      <c r="Y187" s="475"/>
    </row>
    <row r="188" spans="2:25" ht="26.4" x14ac:dyDescent="0.25">
      <c r="B188" s="375"/>
      <c r="C188" s="351"/>
      <c r="D188" s="361" t="s">
        <v>250</v>
      </c>
      <c r="E188" s="87" t="s">
        <v>251</v>
      </c>
      <c r="F188" s="576"/>
      <c r="G188" s="113"/>
      <c r="H188" s="576"/>
      <c r="I188" s="113"/>
      <c r="J188" s="576"/>
      <c r="K188" s="113"/>
      <c r="L188" s="21">
        <v>5</v>
      </c>
      <c r="M188" s="364"/>
      <c r="N188" s="80"/>
      <c r="O188" s="106"/>
      <c r="P188" s="570"/>
      <c r="Q188" s="570"/>
      <c r="R188" s="571"/>
      <c r="T188" s="18">
        <f t="shared" si="2"/>
        <v>0</v>
      </c>
      <c r="U188" s="338"/>
      <c r="V188" s="344"/>
      <c r="W188" s="344"/>
      <c r="X188" s="344"/>
      <c r="Y188" s="475"/>
    </row>
    <row r="189" spans="2:25" ht="39.6" x14ac:dyDescent="0.25">
      <c r="B189" s="375"/>
      <c r="C189" s="351"/>
      <c r="D189" s="361"/>
      <c r="E189" s="77" t="s">
        <v>252</v>
      </c>
      <c r="F189" s="576"/>
      <c r="G189" s="82">
        <f>'SQ_Auditoreingaben '!G182</f>
        <v>3</v>
      </c>
      <c r="H189" s="576"/>
      <c r="I189" s="104">
        <f>'1. Prüfung'!I189</f>
        <v>0</v>
      </c>
      <c r="J189" s="576"/>
      <c r="K189" s="69"/>
      <c r="L189" s="18">
        <v>3</v>
      </c>
      <c r="M189" s="364"/>
      <c r="N189" s="80"/>
      <c r="O189" s="106"/>
      <c r="P189" s="570"/>
      <c r="Q189" s="570"/>
      <c r="R189" s="571"/>
      <c r="T189" s="18">
        <f t="shared" si="2"/>
        <v>0</v>
      </c>
      <c r="U189" s="338"/>
      <c r="V189" s="344"/>
      <c r="W189" s="344"/>
      <c r="X189" s="344"/>
      <c r="Y189" s="475"/>
    </row>
    <row r="190" spans="2:25" ht="66" x14ac:dyDescent="0.25">
      <c r="B190" s="375"/>
      <c r="C190" s="351"/>
      <c r="D190" s="361"/>
      <c r="E190" s="77" t="s">
        <v>253</v>
      </c>
      <c r="F190" s="576"/>
      <c r="G190" s="82">
        <f>'SQ_Auditoreingaben '!G183</f>
        <v>2</v>
      </c>
      <c r="H190" s="576"/>
      <c r="I190" s="104">
        <f>'1. Prüfung'!I190</f>
        <v>0</v>
      </c>
      <c r="J190" s="576"/>
      <c r="K190" s="69"/>
      <c r="L190" s="18">
        <v>2</v>
      </c>
      <c r="M190" s="364"/>
      <c r="N190" s="80"/>
      <c r="O190" s="106"/>
      <c r="P190" s="570"/>
      <c r="Q190" s="570"/>
      <c r="R190" s="571"/>
      <c r="T190" s="18">
        <f t="shared" si="2"/>
        <v>0</v>
      </c>
      <c r="U190" s="338"/>
      <c r="V190" s="344"/>
      <c r="W190" s="344"/>
      <c r="X190" s="344"/>
      <c r="Y190" s="475"/>
    </row>
    <row r="191" spans="2:25" x14ac:dyDescent="0.25">
      <c r="B191" s="375"/>
      <c r="C191" s="351" t="s">
        <v>61</v>
      </c>
      <c r="D191" s="354" t="s">
        <v>254</v>
      </c>
      <c r="E191" s="354"/>
      <c r="F191" s="576"/>
      <c r="G191" s="113"/>
      <c r="H191" s="576"/>
      <c r="I191" s="113"/>
      <c r="J191" s="576"/>
      <c r="K191" s="113"/>
      <c r="L191" s="21">
        <v>50</v>
      </c>
      <c r="M191" s="364"/>
      <c r="N191" s="80"/>
      <c r="O191" s="106"/>
      <c r="P191" s="570"/>
      <c r="Q191" s="570"/>
      <c r="R191" s="571"/>
      <c r="T191" s="18">
        <f t="shared" si="2"/>
        <v>0</v>
      </c>
      <c r="U191" s="338"/>
      <c r="V191" s="344"/>
      <c r="W191" s="344"/>
      <c r="X191" s="344"/>
      <c r="Y191" s="475"/>
    </row>
    <row r="192" spans="2:25" ht="52.8" x14ac:dyDescent="0.25">
      <c r="B192" s="375"/>
      <c r="C192" s="351"/>
      <c r="D192" s="71" t="s">
        <v>63</v>
      </c>
      <c r="E192" s="77" t="s">
        <v>261</v>
      </c>
      <c r="F192" s="576"/>
      <c r="G192" s="82">
        <f>'SQ_Auditoreingaben '!G185</f>
        <v>10</v>
      </c>
      <c r="H192" s="576"/>
      <c r="I192" s="104">
        <f>'1. Prüfung'!I192</f>
        <v>0</v>
      </c>
      <c r="J192" s="576"/>
      <c r="K192" s="69"/>
      <c r="L192" s="18">
        <v>10</v>
      </c>
      <c r="M192" s="364"/>
      <c r="N192" s="80"/>
      <c r="O192" s="106"/>
      <c r="P192" s="570"/>
      <c r="Q192" s="570"/>
      <c r="R192" s="571"/>
      <c r="T192" s="18">
        <f t="shared" si="2"/>
        <v>0</v>
      </c>
      <c r="U192" s="338"/>
      <c r="V192" s="344"/>
      <c r="W192" s="344"/>
      <c r="X192" s="344"/>
      <c r="Y192" s="475"/>
    </row>
    <row r="193" spans="2:25" ht="52.8" x14ac:dyDescent="0.25">
      <c r="B193" s="375"/>
      <c r="C193" s="351"/>
      <c r="D193" s="71" t="s">
        <v>186</v>
      </c>
      <c r="E193" s="77" t="s">
        <v>262</v>
      </c>
      <c r="F193" s="576"/>
      <c r="G193" s="82">
        <f>'SQ_Auditoreingaben '!G186</f>
        <v>5</v>
      </c>
      <c r="H193" s="576"/>
      <c r="I193" s="104">
        <f>'1. Prüfung'!I193</f>
        <v>0</v>
      </c>
      <c r="J193" s="576"/>
      <c r="K193" s="69"/>
      <c r="L193" s="18">
        <v>5</v>
      </c>
      <c r="M193" s="364"/>
      <c r="N193" s="80"/>
      <c r="O193" s="106"/>
      <c r="P193" s="570"/>
      <c r="Q193" s="570"/>
      <c r="R193" s="571"/>
      <c r="T193" s="18">
        <f t="shared" si="2"/>
        <v>0</v>
      </c>
      <c r="U193" s="338"/>
      <c r="V193" s="344"/>
      <c r="W193" s="344"/>
      <c r="X193" s="344"/>
      <c r="Y193" s="475"/>
    </row>
    <row r="194" spans="2:25" ht="52.8" x14ac:dyDescent="0.25">
      <c r="B194" s="375"/>
      <c r="C194" s="351"/>
      <c r="D194" s="71" t="s">
        <v>255</v>
      </c>
      <c r="E194" s="77" t="s">
        <v>263</v>
      </c>
      <c r="F194" s="576"/>
      <c r="G194" s="82">
        <f>'SQ_Auditoreingaben '!G187</f>
        <v>5</v>
      </c>
      <c r="H194" s="576"/>
      <c r="I194" s="104">
        <f>'1. Prüfung'!I194</f>
        <v>0</v>
      </c>
      <c r="J194" s="576"/>
      <c r="K194" s="69"/>
      <c r="L194" s="18">
        <v>5</v>
      </c>
      <c r="M194" s="364"/>
      <c r="N194" s="80"/>
      <c r="O194" s="106"/>
      <c r="P194" s="570"/>
      <c r="Q194" s="570"/>
      <c r="R194" s="571"/>
      <c r="T194" s="18">
        <f t="shared" si="2"/>
        <v>0</v>
      </c>
      <c r="U194" s="338"/>
      <c r="V194" s="344"/>
      <c r="W194" s="344"/>
      <c r="X194" s="344"/>
      <c r="Y194" s="475"/>
    </row>
    <row r="195" spans="2:25" ht="39.6" x14ac:dyDescent="0.25">
      <c r="B195" s="375"/>
      <c r="C195" s="351"/>
      <c r="D195" s="71" t="s">
        <v>256</v>
      </c>
      <c r="E195" s="77" t="s">
        <v>264</v>
      </c>
      <c r="F195" s="576"/>
      <c r="G195" s="82">
        <f>'SQ_Auditoreingaben '!G188</f>
        <v>5</v>
      </c>
      <c r="H195" s="576"/>
      <c r="I195" s="104">
        <f>'1. Prüfung'!I195</f>
        <v>0</v>
      </c>
      <c r="J195" s="576"/>
      <c r="K195" s="69"/>
      <c r="L195" s="18">
        <v>5</v>
      </c>
      <c r="M195" s="364"/>
      <c r="N195" s="80"/>
      <c r="O195" s="106"/>
      <c r="P195" s="570"/>
      <c r="Q195" s="570"/>
      <c r="R195" s="571"/>
      <c r="T195" s="18">
        <f t="shared" si="2"/>
        <v>0</v>
      </c>
      <c r="U195" s="338"/>
      <c r="V195" s="344"/>
      <c r="W195" s="344"/>
      <c r="X195" s="344"/>
      <c r="Y195" s="475"/>
    </row>
    <row r="196" spans="2:25" ht="52.8" x14ac:dyDescent="0.25">
      <c r="B196" s="375"/>
      <c r="C196" s="351"/>
      <c r="D196" s="71" t="s">
        <v>257</v>
      </c>
      <c r="E196" s="77" t="s">
        <v>265</v>
      </c>
      <c r="F196" s="576"/>
      <c r="G196" s="82">
        <f>'SQ_Auditoreingaben '!G189</f>
        <v>5</v>
      </c>
      <c r="H196" s="576"/>
      <c r="I196" s="104">
        <f>'1. Prüfung'!I196</f>
        <v>0</v>
      </c>
      <c r="J196" s="576"/>
      <c r="K196" s="69"/>
      <c r="L196" s="18">
        <v>5</v>
      </c>
      <c r="M196" s="364"/>
      <c r="N196" s="80"/>
      <c r="O196" s="106"/>
      <c r="P196" s="570"/>
      <c r="Q196" s="570"/>
      <c r="R196" s="571"/>
      <c r="T196" s="18">
        <f t="shared" si="2"/>
        <v>0</v>
      </c>
      <c r="U196" s="338"/>
      <c r="V196" s="344"/>
      <c r="W196" s="344"/>
      <c r="X196" s="344"/>
      <c r="Y196" s="475"/>
    </row>
    <row r="197" spans="2:25" ht="52.8" x14ac:dyDescent="0.25">
      <c r="B197" s="375"/>
      <c r="C197" s="351"/>
      <c r="D197" s="71" t="s">
        <v>258</v>
      </c>
      <c r="E197" s="77" t="s">
        <v>266</v>
      </c>
      <c r="F197" s="576"/>
      <c r="G197" s="82">
        <f>'SQ_Auditoreingaben '!G190</f>
        <v>5</v>
      </c>
      <c r="H197" s="576"/>
      <c r="I197" s="104">
        <f>'1. Prüfung'!I197</f>
        <v>0</v>
      </c>
      <c r="J197" s="576"/>
      <c r="K197" s="69"/>
      <c r="L197" s="18">
        <v>5</v>
      </c>
      <c r="M197" s="364"/>
      <c r="N197" s="80"/>
      <c r="O197" s="106"/>
      <c r="P197" s="570"/>
      <c r="Q197" s="570"/>
      <c r="R197" s="571"/>
      <c r="T197" s="18">
        <f t="shared" si="2"/>
        <v>0</v>
      </c>
      <c r="U197" s="338"/>
      <c r="V197" s="344"/>
      <c r="W197" s="344"/>
      <c r="X197" s="344"/>
      <c r="Y197" s="475"/>
    </row>
    <row r="198" spans="2:25" ht="52.8" x14ac:dyDescent="0.25">
      <c r="B198" s="375"/>
      <c r="C198" s="351"/>
      <c r="D198" s="71" t="s">
        <v>259</v>
      </c>
      <c r="E198" s="77" t="s">
        <v>267</v>
      </c>
      <c r="F198" s="576"/>
      <c r="G198" s="82">
        <f>'SQ_Auditoreingaben '!G191</f>
        <v>10</v>
      </c>
      <c r="H198" s="576"/>
      <c r="I198" s="104">
        <f>'1. Prüfung'!I198</f>
        <v>0</v>
      </c>
      <c r="J198" s="576"/>
      <c r="K198" s="69"/>
      <c r="L198" s="18">
        <v>10</v>
      </c>
      <c r="M198" s="364"/>
      <c r="N198" s="80"/>
      <c r="O198" s="106"/>
      <c r="P198" s="570"/>
      <c r="Q198" s="570"/>
      <c r="R198" s="571"/>
      <c r="T198" s="18">
        <f t="shared" si="2"/>
        <v>0</v>
      </c>
      <c r="U198" s="338"/>
      <c r="V198" s="344"/>
      <c r="W198" s="344"/>
      <c r="X198" s="344"/>
      <c r="Y198" s="475"/>
    </row>
    <row r="199" spans="2:25" ht="79.2" x14ac:dyDescent="0.25">
      <c r="B199" s="375"/>
      <c r="C199" s="351"/>
      <c r="D199" s="71" t="s">
        <v>366</v>
      </c>
      <c r="E199" s="77" t="s">
        <v>714</v>
      </c>
      <c r="F199" s="576"/>
      <c r="G199" s="82">
        <f>'SQ_Auditoreingaben '!G192</f>
        <v>5</v>
      </c>
      <c r="H199" s="576"/>
      <c r="I199" s="104">
        <f>'1. Prüfung'!I199</f>
        <v>0</v>
      </c>
      <c r="J199" s="576"/>
      <c r="K199" s="69"/>
      <c r="L199" s="18">
        <v>5</v>
      </c>
      <c r="M199" s="364"/>
      <c r="N199" s="80"/>
      <c r="O199" s="106"/>
      <c r="P199" s="570"/>
      <c r="Q199" s="570"/>
      <c r="R199" s="571"/>
      <c r="T199" s="18">
        <f t="shared" si="2"/>
        <v>0</v>
      </c>
      <c r="U199" s="338"/>
      <c r="V199" s="344"/>
      <c r="W199" s="344"/>
      <c r="X199" s="344"/>
      <c r="Y199" s="475"/>
    </row>
    <row r="200" spans="2:25" ht="27" customHeight="1" x14ac:dyDescent="0.25">
      <c r="B200" s="375"/>
      <c r="C200" s="351" t="s">
        <v>64</v>
      </c>
      <c r="D200" s="578" t="s">
        <v>269</v>
      </c>
      <c r="E200" s="578"/>
      <c r="F200" s="576"/>
      <c r="G200" s="113"/>
      <c r="H200" s="576"/>
      <c r="I200" s="113"/>
      <c r="J200" s="576"/>
      <c r="K200" s="113"/>
      <c r="L200" s="21">
        <v>10</v>
      </c>
      <c r="M200" s="364"/>
      <c r="N200" s="80"/>
      <c r="O200" s="106"/>
      <c r="P200" s="570"/>
      <c r="Q200" s="570"/>
      <c r="R200" s="571"/>
      <c r="T200" s="18">
        <f t="shared" si="2"/>
        <v>0</v>
      </c>
      <c r="U200" s="338"/>
      <c r="V200" s="344"/>
      <c r="W200" s="344"/>
      <c r="X200" s="344"/>
      <c r="Y200" s="475"/>
    </row>
    <row r="201" spans="2:25" ht="26.4" x14ac:dyDescent="0.25">
      <c r="B201" s="375"/>
      <c r="C201" s="351"/>
      <c r="D201" s="71" t="s">
        <v>66</v>
      </c>
      <c r="E201" s="77" t="s">
        <v>268</v>
      </c>
      <c r="F201" s="576"/>
      <c r="G201" s="82">
        <f>'SQ_Auditoreingaben '!G194</f>
        <v>10</v>
      </c>
      <c r="H201" s="576"/>
      <c r="I201" s="104">
        <f>'1. Prüfung'!I201</f>
        <v>0</v>
      </c>
      <c r="J201" s="576"/>
      <c r="K201" s="69"/>
      <c r="L201" s="18">
        <v>10</v>
      </c>
      <c r="M201" s="364"/>
      <c r="N201" s="80"/>
      <c r="O201" s="106"/>
      <c r="P201" s="570"/>
      <c r="Q201" s="570"/>
      <c r="R201" s="571"/>
      <c r="T201" s="18">
        <f t="shared" si="2"/>
        <v>0</v>
      </c>
      <c r="U201" s="338"/>
      <c r="V201" s="344"/>
      <c r="W201" s="344"/>
      <c r="X201" s="344"/>
      <c r="Y201" s="475"/>
    </row>
    <row r="202" spans="2:25" ht="26.1" customHeight="1" x14ac:dyDescent="0.25">
      <c r="B202" s="375"/>
      <c r="C202" s="351" t="s">
        <v>67</v>
      </c>
      <c r="D202" s="579" t="s">
        <v>260</v>
      </c>
      <c r="E202" s="579"/>
      <c r="F202" s="576"/>
      <c r="G202" s="113"/>
      <c r="H202" s="576"/>
      <c r="I202" s="113"/>
      <c r="J202" s="576"/>
      <c r="K202" s="113"/>
      <c r="L202" s="21">
        <v>10</v>
      </c>
      <c r="M202" s="364"/>
      <c r="N202" s="80"/>
      <c r="O202" s="106"/>
      <c r="P202" s="570"/>
      <c r="Q202" s="570"/>
      <c r="R202" s="571"/>
      <c r="T202" s="18">
        <f t="shared" si="2"/>
        <v>0</v>
      </c>
      <c r="U202" s="338"/>
      <c r="V202" s="344"/>
      <c r="W202" s="344"/>
      <c r="X202" s="344"/>
      <c r="Y202" s="475"/>
    </row>
    <row r="203" spans="2:25" ht="26.4" x14ac:dyDescent="0.25">
      <c r="B203" s="375"/>
      <c r="C203" s="351"/>
      <c r="D203" s="71" t="s">
        <v>69</v>
      </c>
      <c r="E203" s="77" t="s">
        <v>268</v>
      </c>
      <c r="F203" s="576"/>
      <c r="G203" s="82">
        <f>'SQ_Auditoreingaben '!G196</f>
        <v>5</v>
      </c>
      <c r="H203" s="576"/>
      <c r="I203" s="104">
        <f>'1. Prüfung'!I203</f>
        <v>0</v>
      </c>
      <c r="J203" s="576"/>
      <c r="K203" s="69"/>
      <c r="L203" s="18">
        <v>10</v>
      </c>
      <c r="M203" s="364"/>
      <c r="N203" s="80"/>
      <c r="O203" s="106"/>
      <c r="P203" s="570"/>
      <c r="Q203" s="570"/>
      <c r="R203" s="571"/>
      <c r="T203" s="18">
        <f t="shared" si="2"/>
        <v>0</v>
      </c>
      <c r="U203" s="338"/>
      <c r="V203" s="344"/>
      <c r="W203" s="344"/>
      <c r="X203" s="344"/>
      <c r="Y203" s="475"/>
    </row>
    <row r="204" spans="2:25" s="72" customFormat="1" ht="12.9" customHeight="1" x14ac:dyDescent="0.25">
      <c r="B204" s="375"/>
      <c r="C204" s="392" t="s">
        <v>157</v>
      </c>
      <c r="D204" s="578" t="s">
        <v>715</v>
      </c>
      <c r="E204" s="578"/>
      <c r="F204" s="576"/>
      <c r="G204" s="113"/>
      <c r="H204" s="576"/>
      <c r="I204" s="113"/>
      <c r="J204" s="576"/>
      <c r="K204" s="113"/>
      <c r="L204" s="21">
        <v>10</v>
      </c>
      <c r="M204" s="364"/>
      <c r="N204" s="80"/>
      <c r="O204" s="106"/>
      <c r="P204" s="570"/>
      <c r="Q204" s="570"/>
      <c r="R204" s="571"/>
      <c r="T204" s="18">
        <f t="shared" si="2"/>
        <v>0</v>
      </c>
      <c r="U204" s="338"/>
      <c r="V204" s="344"/>
      <c r="W204" s="344"/>
      <c r="X204" s="344"/>
      <c r="Y204" s="475"/>
    </row>
    <row r="205" spans="2:25" ht="52.8" x14ac:dyDescent="0.25">
      <c r="B205" s="375"/>
      <c r="C205" s="351"/>
      <c r="D205" s="71" t="s">
        <v>159</v>
      </c>
      <c r="E205" s="77" t="s">
        <v>716</v>
      </c>
      <c r="F205" s="576"/>
      <c r="G205" s="82">
        <f>'SQ_Auditoreingaben '!G200</f>
        <v>5</v>
      </c>
      <c r="H205" s="576"/>
      <c r="I205" s="104">
        <f>'1. Prüfung'!I205</f>
        <v>0</v>
      </c>
      <c r="J205" s="576"/>
      <c r="K205" s="69"/>
      <c r="L205" s="18">
        <v>10</v>
      </c>
      <c r="M205" s="364"/>
      <c r="N205" s="80"/>
      <c r="O205" s="106"/>
      <c r="P205" s="570"/>
      <c r="Q205" s="570"/>
      <c r="R205" s="571"/>
      <c r="T205" s="18">
        <f t="shared" si="2"/>
        <v>0</v>
      </c>
      <c r="U205" s="339"/>
      <c r="V205" s="365"/>
      <c r="W205" s="344"/>
      <c r="X205" s="344"/>
      <c r="Y205" s="475"/>
    </row>
    <row r="206" spans="2:25" x14ac:dyDescent="0.25">
      <c r="B206" s="55" t="s">
        <v>270</v>
      </c>
      <c r="C206" s="354" t="s">
        <v>271</v>
      </c>
      <c r="D206" s="354"/>
      <c r="E206" s="354"/>
      <c r="F206" s="78">
        <f>'SQ_Auditoreingaben '!F201</f>
        <v>75</v>
      </c>
      <c r="G206" s="356"/>
      <c r="H206" s="105">
        <f>'1. Prüfung'!H206</f>
        <v>0</v>
      </c>
      <c r="I206" s="356"/>
      <c r="J206" s="79">
        <f>U206</f>
        <v>0</v>
      </c>
      <c r="K206" s="356"/>
      <c r="L206" s="21">
        <v>100</v>
      </c>
      <c r="M206" s="88">
        <v>4</v>
      </c>
      <c r="N206" s="80"/>
      <c r="O206" s="106"/>
      <c r="P206" s="570"/>
      <c r="Q206" s="570"/>
      <c r="R206" s="571"/>
      <c r="T206" s="18">
        <f t="shared" si="2"/>
        <v>0</v>
      </c>
      <c r="U206" s="337">
        <f>IF(SUM(T209:T217,T222:T225)-T219&gt;100,100,SUM(T209:T217,T222:T225)-T219)</f>
        <v>0</v>
      </c>
      <c r="V206" s="343">
        <f>U206/100</f>
        <v>0</v>
      </c>
      <c r="W206" s="344"/>
      <c r="X206" s="344"/>
      <c r="Y206" s="475"/>
    </row>
    <row r="207" spans="2:25" x14ac:dyDescent="0.25">
      <c r="B207" s="375"/>
      <c r="C207" s="351" t="s">
        <v>54</v>
      </c>
      <c r="D207" s="354" t="s">
        <v>272</v>
      </c>
      <c r="E207" s="354"/>
      <c r="F207" s="364"/>
      <c r="G207" s="356"/>
      <c r="H207" s="364"/>
      <c r="I207" s="356"/>
      <c r="J207" s="364"/>
      <c r="K207" s="356"/>
      <c r="L207" s="21">
        <v>30</v>
      </c>
      <c r="M207" s="364"/>
      <c r="N207" s="80"/>
      <c r="O207" s="106"/>
      <c r="P207" s="570"/>
      <c r="Q207" s="570"/>
      <c r="R207" s="571"/>
      <c r="T207" s="18">
        <f t="shared" si="2"/>
        <v>0</v>
      </c>
      <c r="U207" s="338"/>
      <c r="V207" s="344"/>
      <c r="W207" s="344"/>
      <c r="X207" s="344"/>
      <c r="Y207" s="475"/>
    </row>
    <row r="208" spans="2:25" x14ac:dyDescent="0.25">
      <c r="B208" s="375"/>
      <c r="C208" s="351"/>
      <c r="D208" s="361" t="s">
        <v>58</v>
      </c>
      <c r="E208" s="87" t="s">
        <v>273</v>
      </c>
      <c r="F208" s="364"/>
      <c r="G208" s="356"/>
      <c r="H208" s="364"/>
      <c r="I208" s="356"/>
      <c r="J208" s="364"/>
      <c r="K208" s="356"/>
      <c r="L208" s="21">
        <v>20</v>
      </c>
      <c r="M208" s="364"/>
      <c r="N208" s="80"/>
      <c r="O208" s="106"/>
      <c r="P208" s="570"/>
      <c r="Q208" s="570"/>
      <c r="R208" s="571"/>
      <c r="T208" s="18">
        <f t="shared" si="2"/>
        <v>0</v>
      </c>
      <c r="U208" s="338"/>
      <c r="V208" s="344"/>
      <c r="W208" s="344"/>
      <c r="X208" s="344"/>
      <c r="Y208" s="475"/>
    </row>
    <row r="209" spans="2:25" ht="26.4" x14ac:dyDescent="0.25">
      <c r="B209" s="375"/>
      <c r="C209" s="351"/>
      <c r="D209" s="361"/>
      <c r="E209" s="77" t="s">
        <v>275</v>
      </c>
      <c r="F209" s="364"/>
      <c r="G209" s="82">
        <f>'SQ_Auditoreingaben '!G204</f>
        <v>10</v>
      </c>
      <c r="H209" s="364"/>
      <c r="I209" s="104">
        <f>'1. Prüfung'!I209</f>
        <v>0</v>
      </c>
      <c r="J209" s="364"/>
      <c r="K209" s="69"/>
      <c r="L209" s="18">
        <v>10</v>
      </c>
      <c r="M209" s="364"/>
      <c r="N209" s="80"/>
      <c r="O209" s="106"/>
      <c r="P209" s="570"/>
      <c r="Q209" s="570"/>
      <c r="R209" s="571"/>
      <c r="T209" s="18">
        <f t="shared" si="2"/>
        <v>0</v>
      </c>
      <c r="U209" s="338"/>
      <c r="V209" s="344"/>
      <c r="W209" s="344"/>
      <c r="X209" s="344"/>
      <c r="Y209" s="475"/>
    </row>
    <row r="210" spans="2:25" ht="31.2" x14ac:dyDescent="0.25">
      <c r="B210" s="375"/>
      <c r="C210" s="351"/>
      <c r="D210" s="361"/>
      <c r="E210" s="77" t="s">
        <v>274</v>
      </c>
      <c r="F210" s="364"/>
      <c r="G210" s="82" t="e">
        <f>'SQ_Auditoreingaben '!#REF!</f>
        <v>#REF!</v>
      </c>
      <c r="H210" s="364"/>
      <c r="I210" s="104">
        <f>'1. Prüfung'!I210</f>
        <v>0</v>
      </c>
      <c r="J210" s="364"/>
      <c r="K210" s="69"/>
      <c r="L210" s="18">
        <v>10</v>
      </c>
      <c r="M210" s="364"/>
      <c r="N210" s="80"/>
      <c r="O210" s="106"/>
      <c r="P210" s="570"/>
      <c r="Q210" s="570"/>
      <c r="R210" s="571"/>
      <c r="T210" s="18">
        <f t="shared" si="2"/>
        <v>0</v>
      </c>
      <c r="U210" s="338"/>
      <c r="V210" s="344"/>
      <c r="W210" s="344"/>
      <c r="X210" s="344"/>
      <c r="Y210" s="475"/>
    </row>
    <row r="211" spans="2:25" ht="26.4" x14ac:dyDescent="0.25">
      <c r="B211" s="375"/>
      <c r="C211" s="351"/>
      <c r="D211" s="361" t="s">
        <v>181</v>
      </c>
      <c r="E211" s="87" t="s">
        <v>276</v>
      </c>
      <c r="F211" s="364"/>
      <c r="G211" s="113"/>
      <c r="H211" s="364"/>
      <c r="I211" s="113"/>
      <c r="J211" s="364"/>
      <c r="K211" s="113"/>
      <c r="L211" s="21">
        <v>10</v>
      </c>
      <c r="M211" s="364"/>
      <c r="N211" s="80"/>
      <c r="O211" s="106"/>
      <c r="P211" s="570"/>
      <c r="Q211" s="570"/>
      <c r="R211" s="571"/>
      <c r="T211" s="18">
        <f t="shared" si="2"/>
        <v>0</v>
      </c>
      <c r="U211" s="338"/>
      <c r="V211" s="344"/>
      <c r="W211" s="344"/>
      <c r="X211" s="344"/>
      <c r="Y211" s="475"/>
    </row>
    <row r="212" spans="2:25" ht="26.4" x14ac:dyDescent="0.25">
      <c r="B212" s="375"/>
      <c r="C212" s="351"/>
      <c r="D212" s="361"/>
      <c r="E212" s="77" t="s">
        <v>277</v>
      </c>
      <c r="F212" s="364"/>
      <c r="G212" s="82">
        <f>'SQ_Auditoreingaben '!G206</f>
        <v>0</v>
      </c>
      <c r="H212" s="364"/>
      <c r="I212" s="104">
        <f>'1. Prüfung'!I212</f>
        <v>0</v>
      </c>
      <c r="J212" s="364"/>
      <c r="K212" s="69"/>
      <c r="L212" s="18">
        <v>3</v>
      </c>
      <c r="M212" s="364"/>
      <c r="N212" s="80"/>
      <c r="O212" s="106"/>
      <c r="P212" s="570"/>
      <c r="Q212" s="570"/>
      <c r="R212" s="571"/>
      <c r="T212" s="18">
        <f t="shared" si="2"/>
        <v>0</v>
      </c>
      <c r="U212" s="338"/>
      <c r="V212" s="344"/>
      <c r="W212" s="344"/>
      <c r="X212" s="344"/>
      <c r="Y212" s="475"/>
    </row>
    <row r="213" spans="2:25" ht="66" x14ac:dyDescent="0.25">
      <c r="B213" s="375"/>
      <c r="C213" s="351"/>
      <c r="D213" s="361"/>
      <c r="E213" s="77" t="s">
        <v>717</v>
      </c>
      <c r="F213" s="364"/>
      <c r="G213" s="82">
        <f>'SQ_Auditoreingaben '!G207</f>
        <v>0</v>
      </c>
      <c r="H213" s="364"/>
      <c r="I213" s="104">
        <f>'1. Prüfung'!I213</f>
        <v>0</v>
      </c>
      <c r="J213" s="364"/>
      <c r="K213" s="69"/>
      <c r="L213" s="18">
        <v>7</v>
      </c>
      <c r="M213" s="364"/>
      <c r="N213" s="80"/>
      <c r="O213" s="106"/>
      <c r="P213" s="570"/>
      <c r="Q213" s="570"/>
      <c r="R213" s="571"/>
      <c r="T213" s="18">
        <f t="shared" si="2"/>
        <v>0</v>
      </c>
      <c r="U213" s="338"/>
      <c r="V213" s="344"/>
      <c r="W213" s="344"/>
      <c r="X213" s="344"/>
      <c r="Y213" s="475"/>
    </row>
    <row r="214" spans="2:25" x14ac:dyDescent="0.25">
      <c r="B214" s="375"/>
      <c r="C214" s="351" t="s">
        <v>61</v>
      </c>
      <c r="D214" s="354" t="s">
        <v>278</v>
      </c>
      <c r="E214" s="354"/>
      <c r="F214" s="364"/>
      <c r="G214" s="113"/>
      <c r="H214" s="364"/>
      <c r="I214" s="113"/>
      <c r="J214" s="364"/>
      <c r="K214" s="113"/>
      <c r="L214" s="21">
        <v>30</v>
      </c>
      <c r="M214" s="364"/>
      <c r="N214" s="80"/>
      <c r="O214" s="106"/>
      <c r="P214" s="570"/>
      <c r="Q214" s="570"/>
      <c r="R214" s="571"/>
      <c r="T214" s="18">
        <f t="shared" si="2"/>
        <v>0</v>
      </c>
      <c r="U214" s="338"/>
      <c r="V214" s="344"/>
      <c r="W214" s="344"/>
      <c r="X214" s="344"/>
      <c r="Y214" s="475"/>
    </row>
    <row r="215" spans="2:25" ht="39.6" x14ac:dyDescent="0.25">
      <c r="B215" s="375"/>
      <c r="C215" s="351"/>
      <c r="D215" s="71" t="s">
        <v>63</v>
      </c>
      <c r="E215" s="77" t="s">
        <v>279</v>
      </c>
      <c r="F215" s="364"/>
      <c r="G215" s="82">
        <f>'SQ_Auditoreingaben '!G209</f>
        <v>15</v>
      </c>
      <c r="H215" s="364"/>
      <c r="I215" s="104">
        <f>'1. Prüfung'!I215</f>
        <v>0</v>
      </c>
      <c r="J215" s="364"/>
      <c r="K215" s="69"/>
      <c r="L215" s="18">
        <v>30</v>
      </c>
      <c r="M215" s="364"/>
      <c r="N215" s="80"/>
      <c r="O215" s="106"/>
      <c r="P215" s="570"/>
      <c r="Q215" s="570"/>
      <c r="R215" s="571"/>
      <c r="T215" s="18">
        <f t="shared" si="2"/>
        <v>0</v>
      </c>
      <c r="U215" s="338"/>
      <c r="V215" s="344"/>
      <c r="W215" s="344"/>
      <c r="X215" s="344"/>
      <c r="Y215" s="475"/>
    </row>
    <row r="216" spans="2:25" x14ac:dyDescent="0.25">
      <c r="B216" s="375"/>
      <c r="C216" s="351" t="s">
        <v>64</v>
      </c>
      <c r="D216" s="354" t="s">
        <v>280</v>
      </c>
      <c r="E216" s="354"/>
      <c r="F216" s="364"/>
      <c r="G216" s="113"/>
      <c r="H216" s="364"/>
      <c r="I216" s="113"/>
      <c r="J216" s="364"/>
      <c r="K216" s="113"/>
      <c r="L216" s="21">
        <v>10</v>
      </c>
      <c r="M216" s="364"/>
      <c r="N216" s="80"/>
      <c r="O216" s="106"/>
      <c r="P216" s="570"/>
      <c r="Q216" s="570"/>
      <c r="R216" s="571"/>
      <c r="T216" s="18">
        <f t="shared" si="2"/>
        <v>0</v>
      </c>
      <c r="U216" s="338"/>
      <c r="V216" s="344"/>
      <c r="W216" s="344"/>
      <c r="X216" s="344"/>
      <c r="Y216" s="475"/>
    </row>
    <row r="217" spans="2:25" ht="26.4" x14ac:dyDescent="0.25">
      <c r="B217" s="375"/>
      <c r="C217" s="351"/>
      <c r="D217" s="71" t="s">
        <v>66</v>
      </c>
      <c r="E217" s="77" t="s">
        <v>281</v>
      </c>
      <c r="F217" s="364"/>
      <c r="G217" s="82">
        <f>'SQ_Auditoreingaben '!G211</f>
        <v>10</v>
      </c>
      <c r="H217" s="364"/>
      <c r="I217" s="104">
        <f>'1. Prüfung'!I217</f>
        <v>0</v>
      </c>
      <c r="J217" s="364"/>
      <c r="K217" s="69"/>
      <c r="L217" s="18">
        <v>10</v>
      </c>
      <c r="M217" s="364"/>
      <c r="N217" s="80"/>
      <c r="O217" s="106"/>
      <c r="P217" s="570"/>
      <c r="Q217" s="570"/>
      <c r="R217" s="571"/>
      <c r="T217" s="18">
        <f t="shared" si="2"/>
        <v>0</v>
      </c>
      <c r="U217" s="338"/>
      <c r="V217" s="344"/>
      <c r="W217" s="344"/>
      <c r="X217" s="344"/>
      <c r="Y217" s="475"/>
    </row>
    <row r="218" spans="2:25" ht="26.1" customHeight="1" x14ac:dyDescent="0.25">
      <c r="B218" s="375"/>
      <c r="C218" s="351" t="s">
        <v>282</v>
      </c>
      <c r="D218" s="579" t="s">
        <v>283</v>
      </c>
      <c r="E218" s="579"/>
      <c r="F218" s="364"/>
      <c r="G218" s="113"/>
      <c r="H218" s="364"/>
      <c r="I218" s="113"/>
      <c r="J218" s="364"/>
      <c r="K218" s="113"/>
      <c r="L218" s="21">
        <v>37.5</v>
      </c>
      <c r="M218" s="364"/>
      <c r="N218" s="80"/>
      <c r="O218" s="106"/>
      <c r="P218" s="570"/>
      <c r="Q218" s="570"/>
      <c r="R218" s="571"/>
      <c r="T218" s="18">
        <f t="shared" ref="T218:T281" si="3">IF(K218&gt;L218,L218,K218)</f>
        <v>0</v>
      </c>
      <c r="U218" s="338"/>
      <c r="V218" s="344"/>
      <c r="W218" s="344"/>
      <c r="X218" s="344"/>
      <c r="Y218" s="475"/>
    </row>
    <row r="219" spans="2:25" ht="92.4" x14ac:dyDescent="0.25">
      <c r="B219" s="375"/>
      <c r="C219" s="351"/>
      <c r="D219" s="71" t="s">
        <v>284</v>
      </c>
      <c r="E219" s="77" t="s">
        <v>650</v>
      </c>
      <c r="F219" s="364"/>
      <c r="G219" s="82">
        <f>'SQ_Auditoreingaben '!G215</f>
        <v>0</v>
      </c>
      <c r="H219" s="364"/>
      <c r="I219" s="104">
        <f>'1. Prüfung'!I219</f>
        <v>0</v>
      </c>
      <c r="J219" s="364"/>
      <c r="K219" s="69"/>
      <c r="L219" s="18">
        <v>37.5</v>
      </c>
      <c r="M219" s="364"/>
      <c r="N219" s="80"/>
      <c r="O219" s="106"/>
      <c r="P219" s="570"/>
      <c r="Q219" s="570"/>
      <c r="R219" s="571"/>
      <c r="T219" s="18">
        <f t="shared" si="3"/>
        <v>0</v>
      </c>
      <c r="U219" s="338"/>
      <c r="V219" s="344"/>
      <c r="W219" s="344"/>
      <c r="X219" s="344"/>
      <c r="Y219" s="475"/>
    </row>
    <row r="220" spans="2:25" x14ac:dyDescent="0.25">
      <c r="B220" s="375"/>
      <c r="C220" s="351" t="s">
        <v>285</v>
      </c>
      <c r="D220" s="354" t="s">
        <v>286</v>
      </c>
      <c r="E220" s="354"/>
      <c r="F220" s="364"/>
      <c r="G220" s="356"/>
      <c r="H220" s="364"/>
      <c r="I220" s="356"/>
      <c r="J220" s="364"/>
      <c r="K220" s="356"/>
      <c r="L220" s="21">
        <v>30</v>
      </c>
      <c r="M220" s="364"/>
      <c r="N220" s="80"/>
      <c r="O220" s="106"/>
      <c r="P220" s="570"/>
      <c r="Q220" s="570"/>
      <c r="R220" s="571"/>
      <c r="T220" s="18">
        <f t="shared" si="3"/>
        <v>0</v>
      </c>
      <c r="U220" s="338"/>
      <c r="V220" s="344"/>
      <c r="W220" s="344"/>
      <c r="X220" s="344"/>
      <c r="Y220" s="475"/>
    </row>
    <row r="221" spans="2:25" x14ac:dyDescent="0.25">
      <c r="B221" s="375"/>
      <c r="C221" s="351"/>
      <c r="D221" s="361" t="s">
        <v>287</v>
      </c>
      <c r="E221" s="87" t="s">
        <v>286</v>
      </c>
      <c r="F221" s="364"/>
      <c r="G221" s="356"/>
      <c r="H221" s="364"/>
      <c r="I221" s="356"/>
      <c r="J221" s="364"/>
      <c r="K221" s="356"/>
      <c r="L221" s="21">
        <v>30</v>
      </c>
      <c r="M221" s="364"/>
      <c r="N221" s="80"/>
      <c r="O221" s="106"/>
      <c r="P221" s="570"/>
      <c r="Q221" s="570"/>
      <c r="R221" s="571"/>
      <c r="T221" s="18">
        <f t="shared" si="3"/>
        <v>0</v>
      </c>
      <c r="U221" s="338"/>
      <c r="V221" s="344"/>
      <c r="W221" s="344"/>
      <c r="X221" s="344"/>
      <c r="Y221" s="475"/>
    </row>
    <row r="222" spans="2:25" ht="66" x14ac:dyDescent="0.25">
      <c r="B222" s="375"/>
      <c r="C222" s="351"/>
      <c r="D222" s="361"/>
      <c r="E222" s="77" t="s">
        <v>288</v>
      </c>
      <c r="F222" s="364"/>
      <c r="G222" s="82">
        <f>'SQ_Auditoreingaben '!G218</f>
        <v>8</v>
      </c>
      <c r="H222" s="364"/>
      <c r="I222" s="104">
        <f>'1. Prüfung'!I222</f>
        <v>0</v>
      </c>
      <c r="J222" s="364"/>
      <c r="K222" s="69"/>
      <c r="L222" s="18">
        <v>8</v>
      </c>
      <c r="M222" s="364"/>
      <c r="N222" s="80"/>
      <c r="O222" s="106"/>
      <c r="P222" s="570"/>
      <c r="Q222" s="570"/>
      <c r="R222" s="571"/>
      <c r="T222" s="18">
        <f t="shared" si="3"/>
        <v>0</v>
      </c>
      <c r="U222" s="338"/>
      <c r="V222" s="344"/>
      <c r="W222" s="344"/>
      <c r="X222" s="344"/>
      <c r="Y222" s="475"/>
    </row>
    <row r="223" spans="2:25" ht="39.6" x14ac:dyDescent="0.25">
      <c r="B223" s="375"/>
      <c r="C223" s="351"/>
      <c r="D223" s="361"/>
      <c r="E223" s="77" t="s">
        <v>289</v>
      </c>
      <c r="F223" s="364"/>
      <c r="G223" s="82">
        <f>'SQ_Auditoreingaben '!G219</f>
        <v>8</v>
      </c>
      <c r="H223" s="364"/>
      <c r="I223" s="104">
        <f>'1. Prüfung'!I223</f>
        <v>0</v>
      </c>
      <c r="J223" s="364"/>
      <c r="K223" s="69"/>
      <c r="L223" s="18">
        <v>8</v>
      </c>
      <c r="M223" s="364"/>
      <c r="N223" s="80"/>
      <c r="O223" s="106"/>
      <c r="P223" s="570"/>
      <c r="Q223" s="570"/>
      <c r="R223" s="571"/>
      <c r="T223" s="18">
        <f t="shared" si="3"/>
        <v>0</v>
      </c>
      <c r="U223" s="338"/>
      <c r="V223" s="344"/>
      <c r="W223" s="344"/>
      <c r="X223" s="344"/>
      <c r="Y223" s="475"/>
    </row>
    <row r="224" spans="2:25" ht="39.6" x14ac:dyDescent="0.25">
      <c r="B224" s="375"/>
      <c r="C224" s="351"/>
      <c r="D224" s="361"/>
      <c r="E224" s="77" t="s">
        <v>290</v>
      </c>
      <c r="F224" s="364"/>
      <c r="G224" s="82">
        <f>'SQ_Auditoreingaben '!G220</f>
        <v>8</v>
      </c>
      <c r="H224" s="364"/>
      <c r="I224" s="104">
        <f>'1. Prüfung'!I224</f>
        <v>0</v>
      </c>
      <c r="J224" s="364"/>
      <c r="K224" s="69"/>
      <c r="L224" s="18">
        <v>8</v>
      </c>
      <c r="M224" s="364"/>
      <c r="N224" s="80"/>
      <c r="O224" s="106"/>
      <c r="P224" s="570"/>
      <c r="Q224" s="570"/>
      <c r="R224" s="571"/>
      <c r="T224" s="18">
        <f t="shared" si="3"/>
        <v>0</v>
      </c>
      <c r="U224" s="338"/>
      <c r="V224" s="344"/>
      <c r="W224" s="344"/>
      <c r="X224" s="344"/>
      <c r="Y224" s="475"/>
    </row>
    <row r="225" spans="2:25" ht="26.4" x14ac:dyDescent="0.25">
      <c r="B225" s="375"/>
      <c r="C225" s="351"/>
      <c r="D225" s="361"/>
      <c r="E225" s="77" t="s">
        <v>291</v>
      </c>
      <c r="F225" s="364"/>
      <c r="G225" s="82">
        <f>'SQ_Auditoreingaben '!G221</f>
        <v>6</v>
      </c>
      <c r="H225" s="364"/>
      <c r="I225" s="104">
        <f>'1. Prüfung'!I225</f>
        <v>0</v>
      </c>
      <c r="J225" s="364"/>
      <c r="K225" s="69"/>
      <c r="L225" s="18">
        <v>6</v>
      </c>
      <c r="M225" s="364"/>
      <c r="N225" s="80"/>
      <c r="O225" s="106"/>
      <c r="P225" s="570"/>
      <c r="Q225" s="570"/>
      <c r="R225" s="571"/>
      <c r="T225" s="18">
        <f t="shared" si="3"/>
        <v>0</v>
      </c>
      <c r="U225" s="338"/>
      <c r="V225" s="344"/>
      <c r="W225" s="344"/>
      <c r="X225" s="344"/>
      <c r="Y225" s="475"/>
    </row>
    <row r="226" spans="2:25" x14ac:dyDescent="0.25">
      <c r="B226" s="55" t="s">
        <v>294</v>
      </c>
      <c r="C226" s="354" t="s">
        <v>295</v>
      </c>
      <c r="D226" s="354"/>
      <c r="E226" s="354"/>
      <c r="F226" s="78">
        <f>'SQ_Auditoreingaben '!F222</f>
        <v>82</v>
      </c>
      <c r="G226" s="364"/>
      <c r="H226" s="105">
        <f>'1. Prüfung'!H226</f>
        <v>0</v>
      </c>
      <c r="I226" s="364"/>
      <c r="J226" s="79">
        <f>U226</f>
        <v>0</v>
      </c>
      <c r="K226" s="364"/>
      <c r="L226" s="21">
        <v>100</v>
      </c>
      <c r="M226" s="21">
        <v>2</v>
      </c>
      <c r="N226" s="80"/>
      <c r="O226" s="106"/>
      <c r="P226" s="570"/>
      <c r="Q226" s="570"/>
      <c r="R226" s="571"/>
      <c r="T226" s="18">
        <f t="shared" si="3"/>
        <v>0</v>
      </c>
      <c r="U226" s="337">
        <f>SUM(T228,IF(SUM(T231:T238)&gt;30,30,SUM(T231:T238)),IF(SUM(T241:T251)&gt;15,15,SUM(T241:T251)),IF(SUM(T254:T261)&gt;10,10,SUM(T254:T261)),IF(SUM(T264:T268)&gt;8,8,SUM(T264:T268)),IF(T271+T272+T273&gt;4,4,T271+T272+T273),T276,T277)</f>
        <v>0</v>
      </c>
      <c r="V226" s="343">
        <f>U226/100</f>
        <v>0</v>
      </c>
      <c r="W226" s="344"/>
      <c r="X226" s="344"/>
      <c r="Y226" s="475"/>
    </row>
    <row r="227" spans="2:25" x14ac:dyDescent="0.25">
      <c r="B227" s="375"/>
      <c r="C227" s="574" t="s">
        <v>54</v>
      </c>
      <c r="D227" s="354" t="s">
        <v>296</v>
      </c>
      <c r="E227" s="354"/>
      <c r="F227" s="576"/>
      <c r="G227" s="364"/>
      <c r="H227" s="576"/>
      <c r="I227" s="364"/>
      <c r="J227" s="576"/>
      <c r="K227" s="364"/>
      <c r="L227" s="21">
        <v>30</v>
      </c>
      <c r="M227" s="364"/>
      <c r="N227" s="80"/>
      <c r="O227" s="106"/>
      <c r="P227" s="570"/>
      <c r="Q227" s="570"/>
      <c r="R227" s="571"/>
      <c r="T227" s="18">
        <f t="shared" si="3"/>
        <v>0</v>
      </c>
      <c r="U227" s="338"/>
      <c r="V227" s="344"/>
      <c r="W227" s="344"/>
      <c r="X227" s="344"/>
      <c r="Y227" s="475"/>
    </row>
    <row r="228" spans="2:25" ht="26.4" x14ac:dyDescent="0.25">
      <c r="B228" s="375"/>
      <c r="C228" s="574"/>
      <c r="D228" s="71" t="s">
        <v>58</v>
      </c>
      <c r="E228" s="77" t="s">
        <v>297</v>
      </c>
      <c r="F228" s="576"/>
      <c r="G228" s="82">
        <f>'SQ_Auditoreingaben '!G224</f>
        <v>25</v>
      </c>
      <c r="H228" s="576"/>
      <c r="I228" s="104">
        <f>'1. Prüfung'!I228</f>
        <v>0</v>
      </c>
      <c r="J228" s="576"/>
      <c r="K228" s="69"/>
      <c r="L228" s="18">
        <v>30</v>
      </c>
      <c r="M228" s="364"/>
      <c r="N228" s="80"/>
      <c r="O228" s="106"/>
      <c r="P228" s="570"/>
      <c r="Q228" s="570"/>
      <c r="R228" s="571"/>
      <c r="T228" s="18">
        <f t="shared" si="3"/>
        <v>0</v>
      </c>
      <c r="U228" s="338"/>
      <c r="V228" s="344"/>
      <c r="W228" s="344"/>
      <c r="X228" s="344"/>
      <c r="Y228" s="475"/>
    </row>
    <row r="229" spans="2:25" x14ac:dyDescent="0.25">
      <c r="B229" s="375"/>
      <c r="C229" s="351" t="s">
        <v>61</v>
      </c>
      <c r="D229" s="354" t="s">
        <v>298</v>
      </c>
      <c r="E229" s="354"/>
      <c r="F229" s="576"/>
      <c r="G229" s="356"/>
      <c r="H229" s="576"/>
      <c r="I229" s="356"/>
      <c r="J229" s="576"/>
      <c r="K229" s="356"/>
      <c r="L229" s="21">
        <v>30</v>
      </c>
      <c r="M229" s="364"/>
      <c r="N229" s="80"/>
      <c r="O229" s="106"/>
      <c r="P229" s="570"/>
      <c r="Q229" s="570"/>
      <c r="R229" s="571"/>
      <c r="T229" s="18">
        <f t="shared" si="3"/>
        <v>0</v>
      </c>
      <c r="U229" s="338"/>
      <c r="V229" s="344"/>
      <c r="W229" s="344"/>
      <c r="X229" s="344"/>
      <c r="Y229" s="475"/>
    </row>
    <row r="230" spans="2:25" x14ac:dyDescent="0.25">
      <c r="B230" s="375"/>
      <c r="C230" s="351"/>
      <c r="D230" s="361" t="s">
        <v>63</v>
      </c>
      <c r="E230" s="87" t="s">
        <v>299</v>
      </c>
      <c r="F230" s="576"/>
      <c r="G230" s="356"/>
      <c r="H230" s="576"/>
      <c r="I230" s="356"/>
      <c r="J230" s="576"/>
      <c r="K230" s="356"/>
      <c r="L230" s="21">
        <v>30</v>
      </c>
      <c r="M230" s="364"/>
      <c r="N230" s="80"/>
      <c r="O230" s="106"/>
      <c r="P230" s="570"/>
      <c r="Q230" s="570"/>
      <c r="R230" s="571"/>
      <c r="T230" s="18">
        <f t="shared" si="3"/>
        <v>0</v>
      </c>
      <c r="U230" s="338"/>
      <c r="V230" s="344"/>
      <c r="W230" s="344"/>
      <c r="X230" s="344"/>
      <c r="Y230" s="475"/>
    </row>
    <row r="231" spans="2:25" ht="39.6" x14ac:dyDescent="0.25">
      <c r="B231" s="375"/>
      <c r="C231" s="351"/>
      <c r="D231" s="361"/>
      <c r="E231" s="77" t="s">
        <v>300</v>
      </c>
      <c r="F231" s="576"/>
      <c r="G231" s="82">
        <f>'SQ_Auditoreingaben '!G227</f>
        <v>2.5</v>
      </c>
      <c r="H231" s="576"/>
      <c r="I231" s="104">
        <f>'1. Prüfung'!I231</f>
        <v>0</v>
      </c>
      <c r="J231" s="576"/>
      <c r="K231" s="69"/>
      <c r="L231" s="18">
        <v>5</v>
      </c>
      <c r="M231" s="364"/>
      <c r="N231" s="80"/>
      <c r="O231" s="106"/>
      <c r="P231" s="570"/>
      <c r="Q231" s="570"/>
      <c r="R231" s="571"/>
      <c r="T231" s="18">
        <f t="shared" si="3"/>
        <v>0</v>
      </c>
      <c r="U231" s="338"/>
      <c r="V231" s="344"/>
      <c r="W231" s="344"/>
      <c r="X231" s="344"/>
      <c r="Y231" s="475"/>
    </row>
    <row r="232" spans="2:25" ht="26.4" x14ac:dyDescent="0.25">
      <c r="B232" s="375"/>
      <c r="C232" s="351"/>
      <c r="D232" s="361"/>
      <c r="E232" s="77" t="s">
        <v>301</v>
      </c>
      <c r="F232" s="576"/>
      <c r="G232" s="82">
        <f>'SQ_Auditoreingaben '!G228</f>
        <v>2.5</v>
      </c>
      <c r="H232" s="576"/>
      <c r="I232" s="104">
        <f>'1. Prüfung'!I232</f>
        <v>0</v>
      </c>
      <c r="J232" s="576"/>
      <c r="K232" s="69"/>
      <c r="L232" s="18">
        <v>5</v>
      </c>
      <c r="M232" s="364"/>
      <c r="N232" s="80"/>
      <c r="O232" s="106"/>
      <c r="P232" s="570"/>
      <c r="Q232" s="570"/>
      <c r="R232" s="571"/>
      <c r="T232" s="18">
        <f t="shared" si="3"/>
        <v>0</v>
      </c>
      <c r="U232" s="338"/>
      <c r="V232" s="344"/>
      <c r="W232" s="344"/>
      <c r="X232" s="344"/>
      <c r="Y232" s="475"/>
    </row>
    <row r="233" spans="2:25" ht="39.6" x14ac:dyDescent="0.25">
      <c r="B233" s="375"/>
      <c r="C233" s="351"/>
      <c r="D233" s="361"/>
      <c r="E233" s="77" t="s">
        <v>302</v>
      </c>
      <c r="F233" s="576"/>
      <c r="G233" s="82">
        <f>'SQ_Auditoreingaben '!G229</f>
        <v>4</v>
      </c>
      <c r="H233" s="576"/>
      <c r="I233" s="104">
        <f>'1. Prüfung'!I233</f>
        <v>0</v>
      </c>
      <c r="J233" s="576"/>
      <c r="K233" s="69"/>
      <c r="L233" s="18">
        <v>5</v>
      </c>
      <c r="M233" s="364"/>
      <c r="N233" s="80"/>
      <c r="O233" s="106"/>
      <c r="P233" s="570"/>
      <c r="Q233" s="570"/>
      <c r="R233" s="571"/>
      <c r="T233" s="18">
        <f t="shared" si="3"/>
        <v>0</v>
      </c>
      <c r="U233" s="338"/>
      <c r="V233" s="344"/>
      <c r="W233" s="344"/>
      <c r="X233" s="344"/>
      <c r="Y233" s="475"/>
    </row>
    <row r="234" spans="2:25" ht="39.6" x14ac:dyDescent="0.25">
      <c r="B234" s="375"/>
      <c r="C234" s="351"/>
      <c r="D234" s="361"/>
      <c r="E234" s="77" t="s">
        <v>303</v>
      </c>
      <c r="F234" s="576"/>
      <c r="G234" s="82">
        <f>'SQ_Auditoreingaben '!G230</f>
        <v>3.5</v>
      </c>
      <c r="H234" s="576"/>
      <c r="I234" s="104">
        <f>'1. Prüfung'!I234</f>
        <v>0</v>
      </c>
      <c r="J234" s="576"/>
      <c r="K234" s="69"/>
      <c r="L234" s="18">
        <v>5</v>
      </c>
      <c r="M234" s="364"/>
      <c r="N234" s="80"/>
      <c r="O234" s="106"/>
      <c r="P234" s="570"/>
      <c r="Q234" s="570"/>
      <c r="R234" s="571"/>
      <c r="T234" s="18">
        <f t="shared" si="3"/>
        <v>0</v>
      </c>
      <c r="U234" s="338"/>
      <c r="V234" s="344"/>
      <c r="W234" s="344"/>
      <c r="X234" s="344"/>
      <c r="Y234" s="475"/>
    </row>
    <row r="235" spans="2:25" ht="39.6" x14ac:dyDescent="0.25">
      <c r="B235" s="375"/>
      <c r="C235" s="351"/>
      <c r="D235" s="361"/>
      <c r="E235" s="77" t="s">
        <v>304</v>
      </c>
      <c r="F235" s="576"/>
      <c r="G235" s="82">
        <f>'SQ_Auditoreingaben '!G231</f>
        <v>2.5</v>
      </c>
      <c r="H235" s="576"/>
      <c r="I235" s="104">
        <f>'1. Prüfung'!I235</f>
        <v>0</v>
      </c>
      <c r="J235" s="576"/>
      <c r="K235" s="69"/>
      <c r="L235" s="18">
        <v>5</v>
      </c>
      <c r="M235" s="364"/>
      <c r="N235" s="80"/>
      <c r="O235" s="106"/>
      <c r="P235" s="570"/>
      <c r="Q235" s="570"/>
      <c r="R235" s="571"/>
      <c r="T235" s="18">
        <f t="shared" si="3"/>
        <v>0</v>
      </c>
      <c r="U235" s="338"/>
      <c r="V235" s="344"/>
      <c r="W235" s="344"/>
      <c r="X235" s="344"/>
      <c r="Y235" s="475"/>
    </row>
    <row r="236" spans="2:25" ht="26.4" x14ac:dyDescent="0.25">
      <c r="B236" s="375"/>
      <c r="C236" s="351"/>
      <c r="D236" s="361"/>
      <c r="E236" s="77" t="s">
        <v>305</v>
      </c>
      <c r="F236" s="576"/>
      <c r="G236" s="82">
        <f>'SQ_Auditoreingaben '!G232</f>
        <v>2.5</v>
      </c>
      <c r="H236" s="576"/>
      <c r="I236" s="104">
        <f>'1. Prüfung'!I236</f>
        <v>0</v>
      </c>
      <c r="J236" s="576"/>
      <c r="K236" s="69"/>
      <c r="L236" s="18">
        <v>5</v>
      </c>
      <c r="M236" s="364"/>
      <c r="N236" s="80"/>
      <c r="O236" s="106"/>
      <c r="P236" s="570"/>
      <c r="Q236" s="570"/>
      <c r="R236" s="571"/>
      <c r="T236" s="18">
        <f t="shared" si="3"/>
        <v>0</v>
      </c>
      <c r="U236" s="338"/>
      <c r="V236" s="344"/>
      <c r="W236" s="344"/>
      <c r="X236" s="344"/>
      <c r="Y236" s="475"/>
    </row>
    <row r="237" spans="2:25" ht="26.4" x14ac:dyDescent="0.25">
      <c r="B237" s="375"/>
      <c r="C237" s="351"/>
      <c r="D237" s="361"/>
      <c r="E237" s="77" t="s">
        <v>718</v>
      </c>
      <c r="F237" s="576"/>
      <c r="G237" s="82">
        <f>'SQ_Auditoreingaben '!G233</f>
        <v>2.5</v>
      </c>
      <c r="H237" s="576"/>
      <c r="I237" s="104">
        <f>'1. Prüfung'!I237</f>
        <v>0</v>
      </c>
      <c r="J237" s="576"/>
      <c r="K237" s="69"/>
      <c r="L237" s="18">
        <v>5</v>
      </c>
      <c r="M237" s="364"/>
      <c r="N237" s="80"/>
      <c r="O237" s="106"/>
      <c r="P237" s="570"/>
      <c r="Q237" s="570"/>
      <c r="R237" s="571"/>
      <c r="T237" s="18">
        <f t="shared" si="3"/>
        <v>0</v>
      </c>
      <c r="U237" s="338"/>
      <c r="V237" s="344"/>
      <c r="W237" s="344"/>
      <c r="X237" s="344"/>
      <c r="Y237" s="475"/>
    </row>
    <row r="238" spans="2:25" ht="39.6" x14ac:dyDescent="0.25">
      <c r="B238" s="375"/>
      <c r="C238" s="351"/>
      <c r="D238" s="361"/>
      <c r="E238" s="77" t="s">
        <v>306</v>
      </c>
      <c r="F238" s="576"/>
      <c r="G238" s="82" t="e">
        <f>'SQ_Auditoreingaben '!#REF!</f>
        <v>#REF!</v>
      </c>
      <c r="H238" s="576"/>
      <c r="I238" s="104">
        <f>'1. Prüfung'!I238</f>
        <v>0</v>
      </c>
      <c r="J238" s="576"/>
      <c r="K238" s="69"/>
      <c r="L238" s="18">
        <v>5</v>
      </c>
      <c r="M238" s="364"/>
      <c r="N238" s="80"/>
      <c r="O238" s="106"/>
      <c r="P238" s="570"/>
      <c r="Q238" s="570"/>
      <c r="R238" s="571"/>
      <c r="T238" s="18">
        <f t="shared" si="3"/>
        <v>0</v>
      </c>
      <c r="U238" s="338"/>
      <c r="V238" s="344"/>
      <c r="W238" s="344"/>
      <c r="X238" s="344"/>
      <c r="Y238" s="475"/>
    </row>
    <row r="239" spans="2:25" x14ac:dyDescent="0.25">
      <c r="B239" s="375"/>
      <c r="C239" s="351" t="s">
        <v>64</v>
      </c>
      <c r="D239" s="354" t="s">
        <v>307</v>
      </c>
      <c r="E239" s="354"/>
      <c r="F239" s="576"/>
      <c r="G239" s="356"/>
      <c r="H239" s="576"/>
      <c r="I239" s="356"/>
      <c r="J239" s="576"/>
      <c r="K239" s="356"/>
      <c r="L239" s="21">
        <v>15</v>
      </c>
      <c r="M239" s="364"/>
      <c r="N239" s="80"/>
      <c r="O239" s="106"/>
      <c r="P239" s="570"/>
      <c r="Q239" s="570"/>
      <c r="R239" s="571"/>
      <c r="T239" s="18">
        <f t="shared" si="3"/>
        <v>0</v>
      </c>
      <c r="U239" s="338"/>
      <c r="V239" s="344"/>
      <c r="W239" s="344"/>
      <c r="X239" s="344"/>
      <c r="Y239" s="475"/>
    </row>
    <row r="240" spans="2:25" x14ac:dyDescent="0.25">
      <c r="B240" s="375"/>
      <c r="C240" s="351"/>
      <c r="D240" s="361" t="s">
        <v>66</v>
      </c>
      <c r="E240" s="87" t="s">
        <v>308</v>
      </c>
      <c r="F240" s="576"/>
      <c r="G240" s="356"/>
      <c r="H240" s="576"/>
      <c r="I240" s="356"/>
      <c r="J240" s="576"/>
      <c r="K240" s="356"/>
      <c r="L240" s="21">
        <v>15</v>
      </c>
      <c r="M240" s="364"/>
      <c r="N240" s="80"/>
      <c r="O240" s="106"/>
      <c r="P240" s="570"/>
      <c r="Q240" s="570"/>
      <c r="R240" s="571"/>
      <c r="T240" s="18">
        <f t="shared" si="3"/>
        <v>0</v>
      </c>
      <c r="U240" s="338"/>
      <c r="V240" s="344"/>
      <c r="W240" s="344"/>
      <c r="X240" s="344"/>
      <c r="Y240" s="475"/>
    </row>
    <row r="241" spans="2:25" ht="52.8" x14ac:dyDescent="0.25">
      <c r="B241" s="375"/>
      <c r="C241" s="351"/>
      <c r="D241" s="361"/>
      <c r="E241" s="77" t="s">
        <v>309</v>
      </c>
      <c r="F241" s="576"/>
      <c r="G241" s="82">
        <f>'SQ_Auditoreingaben '!G236</f>
        <v>2</v>
      </c>
      <c r="H241" s="576"/>
      <c r="I241" s="104">
        <f>'1. Prüfung'!I241</f>
        <v>0</v>
      </c>
      <c r="J241" s="576"/>
      <c r="K241" s="69"/>
      <c r="L241" s="18">
        <v>2</v>
      </c>
      <c r="M241" s="364"/>
      <c r="N241" s="80"/>
      <c r="O241" s="106"/>
      <c r="P241" s="570"/>
      <c r="Q241" s="570"/>
      <c r="R241" s="571"/>
      <c r="T241" s="18">
        <f t="shared" si="3"/>
        <v>0</v>
      </c>
      <c r="U241" s="338"/>
      <c r="V241" s="344"/>
      <c r="W241" s="344"/>
      <c r="X241" s="344"/>
      <c r="Y241" s="475"/>
    </row>
    <row r="242" spans="2:25" ht="39.6" x14ac:dyDescent="0.25">
      <c r="B242" s="375"/>
      <c r="C242" s="351"/>
      <c r="D242" s="361"/>
      <c r="E242" s="77" t="s">
        <v>310</v>
      </c>
      <c r="F242" s="576"/>
      <c r="G242" s="82">
        <f>'SQ_Auditoreingaben '!G237</f>
        <v>2</v>
      </c>
      <c r="H242" s="576"/>
      <c r="I242" s="104">
        <f>'1. Prüfung'!I242</f>
        <v>0</v>
      </c>
      <c r="J242" s="576"/>
      <c r="K242" s="69"/>
      <c r="L242" s="18">
        <v>2</v>
      </c>
      <c r="M242" s="364"/>
      <c r="N242" s="80"/>
      <c r="O242" s="106"/>
      <c r="P242" s="570"/>
      <c r="Q242" s="570"/>
      <c r="R242" s="571"/>
      <c r="T242" s="18">
        <f t="shared" si="3"/>
        <v>0</v>
      </c>
      <c r="U242" s="338"/>
      <c r="V242" s="344"/>
      <c r="W242" s="344"/>
      <c r="X242" s="344"/>
      <c r="Y242" s="475"/>
    </row>
    <row r="243" spans="2:25" ht="39.6" x14ac:dyDescent="0.25">
      <c r="B243" s="375"/>
      <c r="C243" s="351"/>
      <c r="D243" s="361"/>
      <c r="E243" s="77" t="s">
        <v>311</v>
      </c>
      <c r="F243" s="576"/>
      <c r="G243" s="82">
        <f>'SQ_Auditoreingaben '!G238</f>
        <v>2</v>
      </c>
      <c r="H243" s="576"/>
      <c r="I243" s="104">
        <f>'1. Prüfung'!I243</f>
        <v>0</v>
      </c>
      <c r="J243" s="576"/>
      <c r="K243" s="69"/>
      <c r="L243" s="18">
        <v>2</v>
      </c>
      <c r="M243" s="364"/>
      <c r="N243" s="80"/>
      <c r="O243" s="106"/>
      <c r="P243" s="570"/>
      <c r="Q243" s="570"/>
      <c r="R243" s="571"/>
      <c r="T243" s="18">
        <f t="shared" si="3"/>
        <v>0</v>
      </c>
      <c r="U243" s="338"/>
      <c r="V243" s="344"/>
      <c r="W243" s="344"/>
      <c r="X243" s="344"/>
      <c r="Y243" s="475"/>
    </row>
    <row r="244" spans="2:25" ht="52.8" x14ac:dyDescent="0.25">
      <c r="B244" s="375"/>
      <c r="C244" s="351"/>
      <c r="D244" s="361"/>
      <c r="E244" s="77" t="s">
        <v>312</v>
      </c>
      <c r="F244" s="576"/>
      <c r="G244" s="82">
        <f>'SQ_Auditoreingaben '!G239</f>
        <v>2</v>
      </c>
      <c r="H244" s="576"/>
      <c r="I244" s="104">
        <f>'1. Prüfung'!I244</f>
        <v>0</v>
      </c>
      <c r="J244" s="576"/>
      <c r="K244" s="69"/>
      <c r="L244" s="18">
        <v>2</v>
      </c>
      <c r="M244" s="364"/>
      <c r="N244" s="80"/>
      <c r="O244" s="106"/>
      <c r="P244" s="570"/>
      <c r="Q244" s="570"/>
      <c r="R244" s="571"/>
      <c r="T244" s="18">
        <f t="shared" si="3"/>
        <v>0</v>
      </c>
      <c r="U244" s="338"/>
      <c r="V244" s="344"/>
      <c r="W244" s="344"/>
      <c r="X244" s="344"/>
      <c r="Y244" s="475"/>
    </row>
    <row r="245" spans="2:25" ht="39.6" x14ac:dyDescent="0.25">
      <c r="B245" s="375"/>
      <c r="C245" s="351"/>
      <c r="D245" s="361"/>
      <c r="E245" s="77" t="s">
        <v>313</v>
      </c>
      <c r="F245" s="576"/>
      <c r="G245" s="82">
        <f>'SQ_Auditoreingaben '!G240</f>
        <v>2</v>
      </c>
      <c r="H245" s="576"/>
      <c r="I245" s="104">
        <f>'1. Prüfung'!I245</f>
        <v>0</v>
      </c>
      <c r="J245" s="576"/>
      <c r="K245" s="69"/>
      <c r="L245" s="18">
        <v>2</v>
      </c>
      <c r="M245" s="364"/>
      <c r="N245" s="80"/>
      <c r="O245" s="106"/>
      <c r="P245" s="570"/>
      <c r="Q245" s="570"/>
      <c r="R245" s="571"/>
      <c r="T245" s="18">
        <f t="shared" si="3"/>
        <v>0</v>
      </c>
      <c r="U245" s="338"/>
      <c r="V245" s="344"/>
      <c r="W245" s="344"/>
      <c r="X245" s="344"/>
      <c r="Y245" s="475"/>
    </row>
    <row r="246" spans="2:25" ht="39.6" x14ac:dyDescent="0.25">
      <c r="B246" s="375"/>
      <c r="C246" s="351"/>
      <c r="D246" s="361"/>
      <c r="E246" s="77" t="s">
        <v>314</v>
      </c>
      <c r="F246" s="576"/>
      <c r="G246" s="82">
        <f>'SQ_Auditoreingaben '!G241</f>
        <v>2</v>
      </c>
      <c r="H246" s="576"/>
      <c r="I246" s="104">
        <f>'1. Prüfung'!I246</f>
        <v>0</v>
      </c>
      <c r="J246" s="576"/>
      <c r="K246" s="69"/>
      <c r="L246" s="18">
        <v>2</v>
      </c>
      <c r="M246" s="364"/>
      <c r="N246" s="80"/>
      <c r="O246" s="106"/>
      <c r="P246" s="570"/>
      <c r="Q246" s="570"/>
      <c r="R246" s="571"/>
      <c r="T246" s="18">
        <f t="shared" si="3"/>
        <v>0</v>
      </c>
      <c r="U246" s="338"/>
      <c r="V246" s="344"/>
      <c r="W246" s="344"/>
      <c r="X246" s="344"/>
      <c r="Y246" s="475"/>
    </row>
    <row r="247" spans="2:25" ht="39.6" x14ac:dyDescent="0.25">
      <c r="B247" s="375"/>
      <c r="C247" s="351"/>
      <c r="D247" s="361"/>
      <c r="E247" s="77" t="s">
        <v>315</v>
      </c>
      <c r="F247" s="576"/>
      <c r="G247" s="82">
        <f>'SQ_Auditoreingaben '!G242</f>
        <v>2</v>
      </c>
      <c r="H247" s="576"/>
      <c r="I247" s="104">
        <f>'1. Prüfung'!I247</f>
        <v>0</v>
      </c>
      <c r="J247" s="576"/>
      <c r="K247" s="69"/>
      <c r="L247" s="18">
        <v>2</v>
      </c>
      <c r="M247" s="364"/>
      <c r="N247" s="80"/>
      <c r="O247" s="106"/>
      <c r="P247" s="570"/>
      <c r="Q247" s="570"/>
      <c r="R247" s="571"/>
      <c r="T247" s="18">
        <f t="shared" si="3"/>
        <v>0</v>
      </c>
      <c r="U247" s="338"/>
      <c r="V247" s="344"/>
      <c r="W247" s="344"/>
      <c r="X247" s="344"/>
      <c r="Y247" s="475"/>
    </row>
    <row r="248" spans="2:25" ht="39.6" x14ac:dyDescent="0.25">
      <c r="B248" s="375"/>
      <c r="C248" s="351"/>
      <c r="D248" s="361"/>
      <c r="E248" s="77" t="s">
        <v>316</v>
      </c>
      <c r="F248" s="576"/>
      <c r="G248" s="82">
        <f>'SQ_Auditoreingaben '!G243</f>
        <v>2</v>
      </c>
      <c r="H248" s="576"/>
      <c r="I248" s="104">
        <f>'1. Prüfung'!I248</f>
        <v>0</v>
      </c>
      <c r="J248" s="576"/>
      <c r="K248" s="69"/>
      <c r="L248" s="18">
        <v>2</v>
      </c>
      <c r="M248" s="364"/>
      <c r="N248" s="80"/>
      <c r="O248" s="106"/>
      <c r="P248" s="570"/>
      <c r="Q248" s="570"/>
      <c r="R248" s="571"/>
      <c r="T248" s="18">
        <f t="shared" si="3"/>
        <v>0</v>
      </c>
      <c r="U248" s="338"/>
      <c r="V248" s="344"/>
      <c r="W248" s="344"/>
      <c r="X248" s="344"/>
      <c r="Y248" s="475"/>
    </row>
    <row r="249" spans="2:25" ht="39.6" x14ac:dyDescent="0.25">
      <c r="B249" s="375"/>
      <c r="C249" s="351"/>
      <c r="D249" s="361"/>
      <c r="E249" s="77" t="s">
        <v>317</v>
      </c>
      <c r="F249" s="576"/>
      <c r="G249" s="82">
        <f>'SQ_Auditoreingaben '!G244</f>
        <v>2</v>
      </c>
      <c r="H249" s="576"/>
      <c r="I249" s="104">
        <f>'1. Prüfung'!I249</f>
        <v>0</v>
      </c>
      <c r="J249" s="576"/>
      <c r="K249" s="69"/>
      <c r="L249" s="18">
        <v>2</v>
      </c>
      <c r="M249" s="364"/>
      <c r="N249" s="80"/>
      <c r="O249" s="106"/>
      <c r="P249" s="570"/>
      <c r="Q249" s="570"/>
      <c r="R249" s="571"/>
      <c r="T249" s="18">
        <f t="shared" si="3"/>
        <v>0</v>
      </c>
      <c r="U249" s="338"/>
      <c r="V249" s="344"/>
      <c r="W249" s="344"/>
      <c r="X249" s="344"/>
      <c r="Y249" s="475"/>
    </row>
    <row r="250" spans="2:25" ht="52.8" x14ac:dyDescent="0.25">
      <c r="B250" s="375"/>
      <c r="C250" s="351"/>
      <c r="D250" s="361"/>
      <c r="E250" s="77" t="s">
        <v>318</v>
      </c>
      <c r="F250" s="576"/>
      <c r="G250" s="82">
        <f>'SQ_Auditoreingaben '!G245</f>
        <v>2</v>
      </c>
      <c r="H250" s="576"/>
      <c r="I250" s="104">
        <f>'1. Prüfung'!I250</f>
        <v>0</v>
      </c>
      <c r="J250" s="576"/>
      <c r="K250" s="69"/>
      <c r="L250" s="18">
        <v>2</v>
      </c>
      <c r="M250" s="364"/>
      <c r="N250" s="80"/>
      <c r="O250" s="106"/>
      <c r="P250" s="570"/>
      <c r="Q250" s="570"/>
      <c r="R250" s="571"/>
      <c r="T250" s="18">
        <f t="shared" si="3"/>
        <v>0</v>
      </c>
      <c r="U250" s="338"/>
      <c r="V250" s="344"/>
      <c r="W250" s="344"/>
      <c r="X250" s="344"/>
      <c r="Y250" s="475"/>
    </row>
    <row r="251" spans="2:25" ht="66" x14ac:dyDescent="0.25">
      <c r="B251" s="375"/>
      <c r="C251" s="351"/>
      <c r="D251" s="361"/>
      <c r="E251" s="77" t="s">
        <v>319</v>
      </c>
      <c r="F251" s="576"/>
      <c r="G251" s="82">
        <f>'SQ_Auditoreingaben '!G246</f>
        <v>2</v>
      </c>
      <c r="H251" s="576"/>
      <c r="I251" s="104">
        <f>'1. Prüfung'!I251</f>
        <v>0</v>
      </c>
      <c r="J251" s="576"/>
      <c r="K251" s="69"/>
      <c r="L251" s="18">
        <v>2</v>
      </c>
      <c r="M251" s="364"/>
      <c r="N251" s="80"/>
      <c r="O251" s="106"/>
      <c r="P251" s="570"/>
      <c r="Q251" s="570"/>
      <c r="R251" s="571"/>
      <c r="T251" s="18">
        <f t="shared" si="3"/>
        <v>0</v>
      </c>
      <c r="U251" s="338"/>
      <c r="V251" s="344"/>
      <c r="W251" s="344"/>
      <c r="X251" s="344"/>
      <c r="Y251" s="475"/>
    </row>
    <row r="252" spans="2:25" x14ac:dyDescent="0.25">
      <c r="B252" s="375"/>
      <c r="C252" s="351" t="s">
        <v>67</v>
      </c>
      <c r="D252" s="354" t="s">
        <v>320</v>
      </c>
      <c r="E252" s="354"/>
      <c r="F252" s="576"/>
      <c r="G252" s="356"/>
      <c r="H252" s="576"/>
      <c r="I252" s="356"/>
      <c r="J252" s="576"/>
      <c r="K252" s="356"/>
      <c r="L252" s="21">
        <v>10</v>
      </c>
      <c r="M252" s="364"/>
      <c r="N252" s="80"/>
      <c r="O252" s="106"/>
      <c r="P252" s="570"/>
      <c r="Q252" s="570"/>
      <c r="R252" s="571"/>
      <c r="T252" s="18">
        <f t="shared" si="3"/>
        <v>0</v>
      </c>
      <c r="U252" s="338"/>
      <c r="V252" s="344"/>
      <c r="W252" s="344"/>
      <c r="X252" s="344"/>
      <c r="Y252" s="475"/>
    </row>
    <row r="253" spans="2:25" x14ac:dyDescent="0.25">
      <c r="B253" s="375"/>
      <c r="C253" s="351"/>
      <c r="D253" s="361" t="s">
        <v>69</v>
      </c>
      <c r="E253" s="87" t="s">
        <v>321</v>
      </c>
      <c r="F253" s="576"/>
      <c r="G253" s="356"/>
      <c r="H253" s="576"/>
      <c r="I253" s="356"/>
      <c r="J253" s="576"/>
      <c r="K253" s="356"/>
      <c r="L253" s="21">
        <v>10</v>
      </c>
      <c r="M253" s="364"/>
      <c r="N253" s="80"/>
      <c r="O253" s="106"/>
      <c r="P253" s="570"/>
      <c r="Q253" s="570"/>
      <c r="R253" s="571"/>
      <c r="T253" s="18">
        <f t="shared" si="3"/>
        <v>0</v>
      </c>
      <c r="U253" s="338"/>
      <c r="V253" s="344"/>
      <c r="W253" s="344"/>
      <c r="X253" s="344"/>
      <c r="Y253" s="475"/>
    </row>
    <row r="254" spans="2:25" ht="52.8" x14ac:dyDescent="0.25">
      <c r="B254" s="375"/>
      <c r="C254" s="351"/>
      <c r="D254" s="361"/>
      <c r="E254" s="77" t="s">
        <v>322</v>
      </c>
      <c r="F254" s="576"/>
      <c r="G254" s="82">
        <f>'SQ_Auditoreingaben '!G249</f>
        <v>2</v>
      </c>
      <c r="H254" s="576"/>
      <c r="I254" s="104">
        <f>'1. Prüfung'!I254</f>
        <v>0</v>
      </c>
      <c r="J254" s="576"/>
      <c r="K254" s="69"/>
      <c r="L254" s="18">
        <v>2</v>
      </c>
      <c r="M254" s="364"/>
      <c r="N254" s="80"/>
      <c r="O254" s="106"/>
      <c r="P254" s="570"/>
      <c r="Q254" s="570"/>
      <c r="R254" s="571"/>
      <c r="T254" s="18">
        <f t="shared" si="3"/>
        <v>0</v>
      </c>
      <c r="U254" s="338"/>
      <c r="V254" s="344"/>
      <c r="W254" s="344"/>
      <c r="X254" s="344"/>
      <c r="Y254" s="475"/>
    </row>
    <row r="255" spans="2:25" ht="52.8" x14ac:dyDescent="0.25">
      <c r="B255" s="375"/>
      <c r="C255" s="351"/>
      <c r="D255" s="361"/>
      <c r="E255" s="77" t="s">
        <v>323</v>
      </c>
      <c r="F255" s="576"/>
      <c r="G255" s="82">
        <f>'SQ_Auditoreingaben '!G250</f>
        <v>2</v>
      </c>
      <c r="H255" s="576"/>
      <c r="I255" s="104">
        <f>'1. Prüfung'!I255</f>
        <v>0</v>
      </c>
      <c r="J255" s="576"/>
      <c r="K255" s="69"/>
      <c r="L255" s="18">
        <v>2</v>
      </c>
      <c r="M255" s="364"/>
      <c r="N255" s="80"/>
      <c r="O255" s="106"/>
      <c r="P255" s="570"/>
      <c r="Q255" s="570"/>
      <c r="R255" s="571"/>
      <c r="T255" s="18">
        <f t="shared" si="3"/>
        <v>0</v>
      </c>
      <c r="U255" s="338"/>
      <c r="V255" s="344"/>
      <c r="W255" s="344"/>
      <c r="X255" s="344"/>
      <c r="Y255" s="475"/>
    </row>
    <row r="256" spans="2:25" ht="26.4" x14ac:dyDescent="0.25">
      <c r="B256" s="375"/>
      <c r="C256" s="351"/>
      <c r="D256" s="361"/>
      <c r="E256" s="77" t="s">
        <v>324</v>
      </c>
      <c r="F256" s="576"/>
      <c r="G256" s="82">
        <f>'SQ_Auditoreingaben '!G251</f>
        <v>2</v>
      </c>
      <c r="H256" s="576"/>
      <c r="I256" s="104">
        <f>'1. Prüfung'!I256</f>
        <v>0</v>
      </c>
      <c r="J256" s="576"/>
      <c r="K256" s="69"/>
      <c r="L256" s="18">
        <v>2</v>
      </c>
      <c r="M256" s="364"/>
      <c r="N256" s="80"/>
      <c r="O256" s="106"/>
      <c r="P256" s="570"/>
      <c r="Q256" s="570"/>
      <c r="R256" s="571"/>
      <c r="T256" s="18">
        <f t="shared" si="3"/>
        <v>0</v>
      </c>
      <c r="U256" s="338"/>
      <c r="V256" s="344"/>
      <c r="W256" s="344"/>
      <c r="X256" s="344"/>
      <c r="Y256" s="475"/>
    </row>
    <row r="257" spans="2:25" ht="39.6" x14ac:dyDescent="0.25">
      <c r="B257" s="375"/>
      <c r="C257" s="351"/>
      <c r="D257" s="361"/>
      <c r="E257" s="77" t="s">
        <v>325</v>
      </c>
      <c r="F257" s="576"/>
      <c r="G257" s="82">
        <f>'SQ_Auditoreingaben '!G252</f>
        <v>2</v>
      </c>
      <c r="H257" s="576"/>
      <c r="I257" s="104">
        <f>'1. Prüfung'!I257</f>
        <v>0</v>
      </c>
      <c r="J257" s="576"/>
      <c r="K257" s="69"/>
      <c r="L257" s="18">
        <v>2</v>
      </c>
      <c r="M257" s="364"/>
      <c r="N257" s="80"/>
      <c r="O257" s="106"/>
      <c r="P257" s="570"/>
      <c r="Q257" s="570"/>
      <c r="R257" s="571"/>
      <c r="T257" s="18">
        <f t="shared" si="3"/>
        <v>0</v>
      </c>
      <c r="U257" s="338"/>
      <c r="V257" s="344"/>
      <c r="W257" s="344"/>
      <c r="X257" s="344"/>
      <c r="Y257" s="475"/>
    </row>
    <row r="258" spans="2:25" ht="26.4" x14ac:dyDescent="0.25">
      <c r="B258" s="375"/>
      <c r="C258" s="351"/>
      <c r="D258" s="361"/>
      <c r="E258" s="77" t="s">
        <v>326</v>
      </c>
      <c r="F258" s="576"/>
      <c r="G258" s="82">
        <f>'SQ_Auditoreingaben '!G253</f>
        <v>2</v>
      </c>
      <c r="H258" s="576"/>
      <c r="I258" s="104">
        <f>'1. Prüfung'!I258</f>
        <v>0</v>
      </c>
      <c r="J258" s="576"/>
      <c r="K258" s="69"/>
      <c r="L258" s="18">
        <v>2</v>
      </c>
      <c r="M258" s="364"/>
      <c r="N258" s="80"/>
      <c r="O258" s="106"/>
      <c r="P258" s="570"/>
      <c r="Q258" s="570"/>
      <c r="R258" s="571"/>
      <c r="T258" s="18">
        <f t="shared" si="3"/>
        <v>0</v>
      </c>
      <c r="U258" s="338"/>
      <c r="V258" s="344"/>
      <c r="W258" s="344"/>
      <c r="X258" s="344"/>
      <c r="Y258" s="475"/>
    </row>
    <row r="259" spans="2:25" ht="39.6" x14ac:dyDescent="0.25">
      <c r="B259" s="375"/>
      <c r="C259" s="351"/>
      <c r="D259" s="361"/>
      <c r="E259" s="77" t="s">
        <v>327</v>
      </c>
      <c r="F259" s="576"/>
      <c r="G259" s="82">
        <f>'SQ_Auditoreingaben '!G254</f>
        <v>2</v>
      </c>
      <c r="H259" s="576"/>
      <c r="I259" s="104">
        <f>'1. Prüfung'!I259</f>
        <v>0</v>
      </c>
      <c r="J259" s="576"/>
      <c r="K259" s="69"/>
      <c r="L259" s="18">
        <v>2</v>
      </c>
      <c r="M259" s="364"/>
      <c r="N259" s="80"/>
      <c r="O259" s="106"/>
      <c r="P259" s="570"/>
      <c r="Q259" s="570"/>
      <c r="R259" s="571"/>
      <c r="T259" s="18">
        <f t="shared" si="3"/>
        <v>0</v>
      </c>
      <c r="U259" s="338"/>
      <c r="V259" s="344"/>
      <c r="W259" s="344"/>
      <c r="X259" s="344"/>
      <c r="Y259" s="475"/>
    </row>
    <row r="260" spans="2:25" ht="39.6" x14ac:dyDescent="0.25">
      <c r="B260" s="375"/>
      <c r="C260" s="351"/>
      <c r="D260" s="361"/>
      <c r="E260" s="77" t="s">
        <v>328</v>
      </c>
      <c r="F260" s="576"/>
      <c r="G260" s="82">
        <f>'SQ_Auditoreingaben '!G255</f>
        <v>2</v>
      </c>
      <c r="H260" s="576"/>
      <c r="I260" s="104">
        <f>'1. Prüfung'!I260</f>
        <v>0</v>
      </c>
      <c r="J260" s="576"/>
      <c r="K260" s="69"/>
      <c r="L260" s="18">
        <v>2</v>
      </c>
      <c r="M260" s="364"/>
      <c r="N260" s="80"/>
      <c r="O260" s="106"/>
      <c r="P260" s="570"/>
      <c r="Q260" s="570"/>
      <c r="R260" s="571"/>
      <c r="T260" s="18">
        <f t="shared" si="3"/>
        <v>0</v>
      </c>
      <c r="U260" s="338"/>
      <c r="V260" s="344"/>
      <c r="W260" s="344"/>
      <c r="X260" s="344"/>
      <c r="Y260" s="475"/>
    </row>
    <row r="261" spans="2:25" ht="39.6" x14ac:dyDescent="0.25">
      <c r="B261" s="375"/>
      <c r="C261" s="351"/>
      <c r="D261" s="361"/>
      <c r="E261" s="77" t="s">
        <v>329</v>
      </c>
      <c r="F261" s="576"/>
      <c r="G261" s="82">
        <f>'SQ_Auditoreingaben '!G256</f>
        <v>2</v>
      </c>
      <c r="H261" s="576"/>
      <c r="I261" s="104">
        <f>'1. Prüfung'!I261</f>
        <v>0</v>
      </c>
      <c r="J261" s="576"/>
      <c r="K261" s="69"/>
      <c r="L261" s="18">
        <v>2</v>
      </c>
      <c r="M261" s="364"/>
      <c r="N261" s="80"/>
      <c r="O261" s="106"/>
      <c r="P261" s="570"/>
      <c r="Q261" s="570"/>
      <c r="R261" s="571"/>
      <c r="T261" s="18">
        <f t="shared" si="3"/>
        <v>0</v>
      </c>
      <c r="U261" s="338"/>
      <c r="V261" s="344"/>
      <c r="W261" s="344"/>
      <c r="X261" s="344"/>
      <c r="Y261" s="475"/>
    </row>
    <row r="262" spans="2:25" x14ac:dyDescent="0.25">
      <c r="B262" s="375"/>
      <c r="C262" s="574" t="s">
        <v>154</v>
      </c>
      <c r="D262" s="354" t="s">
        <v>330</v>
      </c>
      <c r="E262" s="354"/>
      <c r="F262" s="576"/>
      <c r="G262" s="356"/>
      <c r="H262" s="576"/>
      <c r="I262" s="356"/>
      <c r="J262" s="576"/>
      <c r="K262" s="356"/>
      <c r="L262" s="21">
        <v>8</v>
      </c>
      <c r="M262" s="364"/>
      <c r="N262" s="80"/>
      <c r="O262" s="106"/>
      <c r="P262" s="570"/>
      <c r="Q262" s="570"/>
      <c r="R262" s="571"/>
      <c r="T262" s="18">
        <f t="shared" si="3"/>
        <v>0</v>
      </c>
      <c r="U262" s="338"/>
      <c r="V262" s="344"/>
      <c r="W262" s="344"/>
      <c r="X262" s="344"/>
      <c r="Y262" s="475"/>
    </row>
    <row r="263" spans="2:25" x14ac:dyDescent="0.25">
      <c r="B263" s="375"/>
      <c r="C263" s="574"/>
      <c r="D263" s="361" t="s">
        <v>156</v>
      </c>
      <c r="E263" s="87" t="s">
        <v>331</v>
      </c>
      <c r="F263" s="576"/>
      <c r="G263" s="356"/>
      <c r="H263" s="576"/>
      <c r="I263" s="356"/>
      <c r="J263" s="576"/>
      <c r="K263" s="356"/>
      <c r="L263" s="21">
        <v>8</v>
      </c>
      <c r="M263" s="364"/>
      <c r="N263" s="80"/>
      <c r="O263" s="106"/>
      <c r="P263" s="570"/>
      <c r="Q263" s="570"/>
      <c r="R263" s="571"/>
      <c r="T263" s="18">
        <f t="shared" si="3"/>
        <v>0</v>
      </c>
      <c r="U263" s="338"/>
      <c r="V263" s="344"/>
      <c r="W263" s="344"/>
      <c r="X263" s="344"/>
      <c r="Y263" s="475"/>
    </row>
    <row r="264" spans="2:25" ht="39.6" x14ac:dyDescent="0.25">
      <c r="B264" s="375"/>
      <c r="C264" s="574"/>
      <c r="D264" s="361"/>
      <c r="E264" s="77" t="s">
        <v>332</v>
      </c>
      <c r="F264" s="576"/>
      <c r="G264" s="82">
        <f>'SQ_Auditoreingaben '!G259</f>
        <v>2</v>
      </c>
      <c r="H264" s="576"/>
      <c r="I264" s="104">
        <f>'1. Prüfung'!I264</f>
        <v>0</v>
      </c>
      <c r="J264" s="576"/>
      <c r="K264" s="69"/>
      <c r="L264" s="18">
        <v>2</v>
      </c>
      <c r="M264" s="364"/>
      <c r="N264" s="80"/>
      <c r="O264" s="106"/>
      <c r="P264" s="570"/>
      <c r="Q264" s="570"/>
      <c r="R264" s="571"/>
      <c r="T264" s="18">
        <f t="shared" si="3"/>
        <v>0</v>
      </c>
      <c r="U264" s="338"/>
      <c r="V264" s="344"/>
      <c r="W264" s="344"/>
      <c r="X264" s="344"/>
      <c r="Y264" s="475"/>
    </row>
    <row r="265" spans="2:25" ht="26.4" x14ac:dyDescent="0.25">
      <c r="B265" s="375"/>
      <c r="C265" s="574"/>
      <c r="D265" s="361"/>
      <c r="E265" s="77" t="s">
        <v>333</v>
      </c>
      <c r="F265" s="576"/>
      <c r="G265" s="82">
        <f>'SQ_Auditoreingaben '!G260</f>
        <v>2</v>
      </c>
      <c r="H265" s="576"/>
      <c r="I265" s="104">
        <f>'1. Prüfung'!I265</f>
        <v>0</v>
      </c>
      <c r="J265" s="576"/>
      <c r="K265" s="69"/>
      <c r="L265" s="18">
        <v>2</v>
      </c>
      <c r="M265" s="364"/>
      <c r="N265" s="80"/>
      <c r="O265" s="106"/>
      <c r="P265" s="570"/>
      <c r="Q265" s="570"/>
      <c r="R265" s="571"/>
      <c r="T265" s="18">
        <f t="shared" si="3"/>
        <v>0</v>
      </c>
      <c r="U265" s="338"/>
      <c r="V265" s="344"/>
      <c r="W265" s="344"/>
      <c r="X265" s="344"/>
      <c r="Y265" s="475"/>
    </row>
    <row r="266" spans="2:25" ht="26.4" x14ac:dyDescent="0.25">
      <c r="B266" s="375"/>
      <c r="C266" s="574"/>
      <c r="D266" s="361"/>
      <c r="E266" s="77" t="s">
        <v>334</v>
      </c>
      <c r="F266" s="576"/>
      <c r="G266" s="82">
        <f>'SQ_Auditoreingaben '!G261</f>
        <v>2</v>
      </c>
      <c r="H266" s="576"/>
      <c r="I266" s="104">
        <f>'1. Prüfung'!I266</f>
        <v>0</v>
      </c>
      <c r="J266" s="576"/>
      <c r="K266" s="69"/>
      <c r="L266" s="18">
        <v>2</v>
      </c>
      <c r="M266" s="364"/>
      <c r="N266" s="80"/>
      <c r="O266" s="106"/>
      <c r="P266" s="570"/>
      <c r="Q266" s="570"/>
      <c r="R266" s="571"/>
      <c r="T266" s="18">
        <f t="shared" si="3"/>
        <v>0</v>
      </c>
      <c r="U266" s="338"/>
      <c r="V266" s="344"/>
      <c r="W266" s="344"/>
      <c r="X266" s="344"/>
      <c r="Y266" s="475"/>
    </row>
    <row r="267" spans="2:25" ht="26.4" x14ac:dyDescent="0.25">
      <c r="B267" s="375"/>
      <c r="C267" s="574"/>
      <c r="D267" s="361"/>
      <c r="E267" s="77" t="s">
        <v>335</v>
      </c>
      <c r="F267" s="576"/>
      <c r="G267" s="82">
        <f>'SQ_Auditoreingaben '!G262</f>
        <v>2</v>
      </c>
      <c r="H267" s="576"/>
      <c r="I267" s="104">
        <f>'1. Prüfung'!I267</f>
        <v>0</v>
      </c>
      <c r="J267" s="576"/>
      <c r="K267" s="69"/>
      <c r="L267" s="18">
        <v>2</v>
      </c>
      <c r="M267" s="364"/>
      <c r="N267" s="80"/>
      <c r="O267" s="106"/>
      <c r="P267" s="570"/>
      <c r="Q267" s="570"/>
      <c r="R267" s="571"/>
      <c r="T267" s="18">
        <f t="shared" si="3"/>
        <v>0</v>
      </c>
      <c r="U267" s="338"/>
      <c r="V267" s="344"/>
      <c r="W267" s="344"/>
      <c r="X267" s="344"/>
      <c r="Y267" s="475"/>
    </row>
    <row r="268" spans="2:25" ht="26.4" x14ac:dyDescent="0.25">
      <c r="B268" s="375"/>
      <c r="C268" s="574"/>
      <c r="D268" s="361"/>
      <c r="E268" s="77" t="s">
        <v>336</v>
      </c>
      <c r="F268" s="576"/>
      <c r="G268" s="82">
        <f>'SQ_Auditoreingaben '!G263</f>
        <v>2</v>
      </c>
      <c r="H268" s="576"/>
      <c r="I268" s="104">
        <f>'1. Prüfung'!I268</f>
        <v>0</v>
      </c>
      <c r="J268" s="576"/>
      <c r="K268" s="69"/>
      <c r="L268" s="18">
        <v>2</v>
      </c>
      <c r="M268" s="364"/>
      <c r="N268" s="80"/>
      <c r="O268" s="106"/>
      <c r="P268" s="570"/>
      <c r="Q268" s="570"/>
      <c r="R268" s="571"/>
      <c r="T268" s="18">
        <f t="shared" si="3"/>
        <v>0</v>
      </c>
      <c r="U268" s="338"/>
      <c r="V268" s="344"/>
      <c r="W268" s="344"/>
      <c r="X268" s="344"/>
      <c r="Y268" s="475"/>
    </row>
    <row r="269" spans="2:25" x14ac:dyDescent="0.25">
      <c r="B269" s="375"/>
      <c r="C269" s="351" t="s">
        <v>157</v>
      </c>
      <c r="D269" s="354" t="s">
        <v>337</v>
      </c>
      <c r="E269" s="354"/>
      <c r="F269" s="576"/>
      <c r="G269" s="356"/>
      <c r="H269" s="576"/>
      <c r="I269" s="356"/>
      <c r="J269" s="576"/>
      <c r="K269" s="356"/>
      <c r="L269" s="21">
        <v>4</v>
      </c>
      <c r="M269" s="364"/>
      <c r="N269" s="80"/>
      <c r="O269" s="106"/>
      <c r="P269" s="570"/>
      <c r="Q269" s="570"/>
      <c r="R269" s="571"/>
      <c r="T269" s="18">
        <f t="shared" si="3"/>
        <v>0</v>
      </c>
      <c r="U269" s="338"/>
      <c r="V269" s="344"/>
      <c r="W269" s="344"/>
      <c r="X269" s="344"/>
      <c r="Y269" s="475"/>
    </row>
    <row r="270" spans="2:25" x14ac:dyDescent="0.25">
      <c r="B270" s="375"/>
      <c r="C270" s="351"/>
      <c r="D270" s="361" t="s">
        <v>159</v>
      </c>
      <c r="E270" s="87" t="s">
        <v>338</v>
      </c>
      <c r="F270" s="576"/>
      <c r="G270" s="356"/>
      <c r="H270" s="576"/>
      <c r="I270" s="356"/>
      <c r="J270" s="576"/>
      <c r="K270" s="356"/>
      <c r="L270" s="21">
        <v>4</v>
      </c>
      <c r="M270" s="364"/>
      <c r="N270" s="80"/>
      <c r="O270" s="106"/>
      <c r="P270" s="570"/>
      <c r="Q270" s="570"/>
      <c r="R270" s="571"/>
      <c r="T270" s="18">
        <f t="shared" si="3"/>
        <v>0</v>
      </c>
      <c r="U270" s="338"/>
      <c r="V270" s="344"/>
      <c r="W270" s="344"/>
      <c r="X270" s="344"/>
      <c r="Y270" s="475"/>
    </row>
    <row r="271" spans="2:25" ht="39.6" x14ac:dyDescent="0.25">
      <c r="B271" s="375"/>
      <c r="C271" s="351"/>
      <c r="D271" s="361"/>
      <c r="E271" s="77" t="s">
        <v>339</v>
      </c>
      <c r="F271" s="576"/>
      <c r="G271" s="82">
        <f>'SQ_Auditoreingaben '!G266</f>
        <v>2</v>
      </c>
      <c r="H271" s="576"/>
      <c r="I271" s="104">
        <f>'1. Prüfung'!I271</f>
        <v>0</v>
      </c>
      <c r="J271" s="576"/>
      <c r="K271" s="69"/>
      <c r="L271" s="18">
        <v>2</v>
      </c>
      <c r="M271" s="364"/>
      <c r="N271" s="80"/>
      <c r="O271" s="106"/>
      <c r="P271" s="570"/>
      <c r="Q271" s="570"/>
      <c r="R271" s="571"/>
      <c r="T271" s="18">
        <f t="shared" si="3"/>
        <v>0</v>
      </c>
      <c r="U271" s="338"/>
      <c r="V271" s="344"/>
      <c r="W271" s="344"/>
      <c r="X271" s="344"/>
      <c r="Y271" s="475"/>
    </row>
    <row r="272" spans="2:25" ht="26.4" x14ac:dyDescent="0.25">
      <c r="B272" s="375"/>
      <c r="C272" s="351"/>
      <c r="D272" s="361"/>
      <c r="E272" s="77" t="s">
        <v>340</v>
      </c>
      <c r="F272" s="576"/>
      <c r="G272" s="82">
        <f>'SQ_Auditoreingaben '!G267</f>
        <v>2</v>
      </c>
      <c r="H272" s="576"/>
      <c r="I272" s="104">
        <f>'1. Prüfung'!I272</f>
        <v>0</v>
      </c>
      <c r="J272" s="576"/>
      <c r="K272" s="69"/>
      <c r="L272" s="18">
        <v>2</v>
      </c>
      <c r="M272" s="364"/>
      <c r="N272" s="80"/>
      <c r="O272" s="106"/>
      <c r="P272" s="570"/>
      <c r="Q272" s="570"/>
      <c r="R272" s="571"/>
      <c r="T272" s="18">
        <f t="shared" si="3"/>
        <v>0</v>
      </c>
      <c r="U272" s="338"/>
      <c r="V272" s="344"/>
      <c r="W272" s="344"/>
      <c r="X272" s="344"/>
      <c r="Y272" s="475"/>
    </row>
    <row r="273" spans="2:25" ht="26.4" x14ac:dyDescent="0.25">
      <c r="B273" s="375"/>
      <c r="C273" s="351"/>
      <c r="D273" s="361"/>
      <c r="E273" s="77" t="s">
        <v>341</v>
      </c>
      <c r="F273" s="576"/>
      <c r="G273" s="82">
        <f>'SQ_Auditoreingaben '!G268</f>
        <v>2</v>
      </c>
      <c r="H273" s="576"/>
      <c r="I273" s="104">
        <f>'1. Prüfung'!I273</f>
        <v>0</v>
      </c>
      <c r="J273" s="576"/>
      <c r="K273" s="69"/>
      <c r="L273" s="18">
        <v>2</v>
      </c>
      <c r="M273" s="364"/>
      <c r="N273" s="80"/>
      <c r="O273" s="106"/>
      <c r="P273" s="570"/>
      <c r="Q273" s="570"/>
      <c r="R273" s="571"/>
      <c r="T273" s="18">
        <f t="shared" si="3"/>
        <v>0</v>
      </c>
      <c r="U273" s="338"/>
      <c r="V273" s="344"/>
      <c r="W273" s="344"/>
      <c r="X273" s="344"/>
      <c r="Y273" s="475"/>
    </row>
    <row r="274" spans="2:25" x14ac:dyDescent="0.25">
      <c r="B274" s="375"/>
      <c r="C274" s="351" t="s">
        <v>282</v>
      </c>
      <c r="D274" s="354" t="s">
        <v>342</v>
      </c>
      <c r="E274" s="354"/>
      <c r="F274" s="576"/>
      <c r="G274" s="356"/>
      <c r="H274" s="576"/>
      <c r="I274" s="356"/>
      <c r="J274" s="576"/>
      <c r="K274" s="356"/>
      <c r="L274" s="21">
        <v>3</v>
      </c>
      <c r="M274" s="364"/>
      <c r="N274" s="80"/>
      <c r="O274" s="106"/>
      <c r="P274" s="570"/>
      <c r="Q274" s="570"/>
      <c r="R274" s="571"/>
      <c r="T274" s="18">
        <f t="shared" si="3"/>
        <v>0</v>
      </c>
      <c r="U274" s="338"/>
      <c r="V274" s="344"/>
      <c r="W274" s="344"/>
      <c r="X274" s="344"/>
      <c r="Y274" s="475"/>
    </row>
    <row r="275" spans="2:25" x14ac:dyDescent="0.25">
      <c r="B275" s="375"/>
      <c r="C275" s="351"/>
      <c r="D275" s="361" t="s">
        <v>284</v>
      </c>
      <c r="E275" s="87" t="s">
        <v>343</v>
      </c>
      <c r="F275" s="576"/>
      <c r="G275" s="356"/>
      <c r="H275" s="576"/>
      <c r="I275" s="356"/>
      <c r="J275" s="576"/>
      <c r="K275" s="356"/>
      <c r="L275" s="21">
        <v>3</v>
      </c>
      <c r="M275" s="364"/>
      <c r="N275" s="80"/>
      <c r="O275" s="106"/>
      <c r="P275" s="570"/>
      <c r="Q275" s="570"/>
      <c r="R275" s="571"/>
      <c r="T275" s="18">
        <f t="shared" si="3"/>
        <v>0</v>
      </c>
      <c r="U275" s="338"/>
      <c r="V275" s="344"/>
      <c r="W275" s="344"/>
      <c r="X275" s="344"/>
      <c r="Y275" s="475"/>
    </row>
    <row r="276" spans="2:25" ht="52.8" x14ac:dyDescent="0.25">
      <c r="B276" s="375"/>
      <c r="C276" s="351"/>
      <c r="D276" s="361"/>
      <c r="E276" s="77" t="s">
        <v>344</v>
      </c>
      <c r="F276" s="576"/>
      <c r="G276" s="82">
        <f>'SQ_Auditoreingaben '!G271</f>
        <v>0</v>
      </c>
      <c r="H276" s="576"/>
      <c r="I276" s="104">
        <f>'1. Prüfung'!I276</f>
        <v>0</v>
      </c>
      <c r="J276" s="576"/>
      <c r="K276" s="69"/>
      <c r="L276" s="18">
        <v>1</v>
      </c>
      <c r="M276" s="364"/>
      <c r="N276" s="80"/>
      <c r="O276" s="106"/>
      <c r="P276" s="570"/>
      <c r="Q276" s="570"/>
      <c r="R276" s="571"/>
      <c r="T276" s="18">
        <f t="shared" si="3"/>
        <v>0</v>
      </c>
      <c r="U276" s="338"/>
      <c r="V276" s="344"/>
      <c r="W276" s="344"/>
      <c r="X276" s="344"/>
      <c r="Y276" s="475"/>
    </row>
    <row r="277" spans="2:25" ht="39.6" x14ac:dyDescent="0.25">
      <c r="B277" s="375"/>
      <c r="C277" s="351"/>
      <c r="D277" s="361"/>
      <c r="E277" s="77" t="s">
        <v>345</v>
      </c>
      <c r="F277" s="576"/>
      <c r="G277" s="82">
        <f>'SQ_Auditoreingaben '!G272</f>
        <v>0</v>
      </c>
      <c r="H277" s="576"/>
      <c r="I277" s="104">
        <f>'1. Prüfung'!I277</f>
        <v>0</v>
      </c>
      <c r="J277" s="576"/>
      <c r="K277" s="69"/>
      <c r="L277" s="18">
        <v>2</v>
      </c>
      <c r="M277" s="364"/>
      <c r="N277" s="80"/>
      <c r="O277" s="106"/>
      <c r="P277" s="570"/>
      <c r="Q277" s="570"/>
      <c r="R277" s="571"/>
      <c r="T277" s="18">
        <f t="shared" si="3"/>
        <v>0</v>
      </c>
      <c r="U277" s="339"/>
      <c r="V277" s="365"/>
      <c r="W277" s="344"/>
      <c r="X277" s="344"/>
      <c r="Y277" s="475"/>
    </row>
    <row r="278" spans="2:25" x14ac:dyDescent="0.25">
      <c r="B278" s="55" t="s">
        <v>346</v>
      </c>
      <c r="C278" s="354" t="s">
        <v>197</v>
      </c>
      <c r="D278" s="354"/>
      <c r="E278" s="354"/>
      <c r="F278" s="78">
        <f>'SQ_Auditoreingaben '!F273</f>
        <v>100</v>
      </c>
      <c r="G278" s="364"/>
      <c r="H278" s="105">
        <f>'1. Prüfung'!H278</f>
        <v>0</v>
      </c>
      <c r="I278" s="364"/>
      <c r="J278" s="91">
        <f>U278</f>
        <v>0</v>
      </c>
      <c r="K278" s="364"/>
      <c r="L278" s="21">
        <v>100</v>
      </c>
      <c r="M278" s="88">
        <v>3</v>
      </c>
      <c r="N278" s="80"/>
      <c r="O278" s="106"/>
      <c r="P278" s="570"/>
      <c r="Q278" s="570"/>
      <c r="R278" s="571"/>
      <c r="T278" s="18">
        <f t="shared" si="3"/>
        <v>0</v>
      </c>
      <c r="U278" s="337">
        <f>SUM(SUM(T281:T291),IF(SUM(T293:T298)&gt;50,50,SUM(T293:T298)))</f>
        <v>0</v>
      </c>
      <c r="V278" s="343">
        <f>U278/100</f>
        <v>0</v>
      </c>
      <c r="W278" s="344"/>
      <c r="X278" s="344"/>
      <c r="Y278" s="475"/>
    </row>
    <row r="279" spans="2:25" x14ac:dyDescent="0.25">
      <c r="B279" s="375"/>
      <c r="C279" s="351" t="s">
        <v>54</v>
      </c>
      <c r="D279" s="354" t="s">
        <v>347</v>
      </c>
      <c r="E279" s="354"/>
      <c r="F279" s="576"/>
      <c r="G279" s="364"/>
      <c r="H279" s="576"/>
      <c r="I279" s="364"/>
      <c r="J279" s="576"/>
      <c r="K279" s="364"/>
      <c r="L279" s="21">
        <v>50</v>
      </c>
      <c r="M279" s="364"/>
      <c r="N279" s="80"/>
      <c r="O279" s="106"/>
      <c r="P279" s="570"/>
      <c r="Q279" s="570"/>
      <c r="R279" s="571"/>
      <c r="T279" s="18">
        <f t="shared" si="3"/>
        <v>0</v>
      </c>
      <c r="U279" s="338"/>
      <c r="V279" s="344"/>
      <c r="W279" s="344"/>
      <c r="X279" s="344"/>
      <c r="Y279" s="475"/>
    </row>
    <row r="280" spans="2:25" x14ac:dyDescent="0.25">
      <c r="B280" s="375"/>
      <c r="C280" s="351"/>
      <c r="D280" s="361" t="s">
        <v>58</v>
      </c>
      <c r="E280" s="90" t="s">
        <v>348</v>
      </c>
      <c r="F280" s="576"/>
      <c r="G280" s="364"/>
      <c r="H280" s="576"/>
      <c r="I280" s="364"/>
      <c r="J280" s="576"/>
      <c r="K280" s="364"/>
      <c r="L280" s="21">
        <v>20</v>
      </c>
      <c r="M280" s="364"/>
      <c r="N280" s="80"/>
      <c r="O280" s="106"/>
      <c r="P280" s="570"/>
      <c r="Q280" s="570"/>
      <c r="R280" s="571"/>
      <c r="T280" s="18">
        <f t="shared" si="3"/>
        <v>0</v>
      </c>
      <c r="U280" s="338"/>
      <c r="V280" s="344"/>
      <c r="W280" s="344"/>
      <c r="X280" s="344"/>
      <c r="Y280" s="475"/>
    </row>
    <row r="281" spans="2:25" ht="39.6" x14ac:dyDescent="0.25">
      <c r="B281" s="375"/>
      <c r="C281" s="351"/>
      <c r="D281" s="361"/>
      <c r="E281" s="77" t="s">
        <v>349</v>
      </c>
      <c r="F281" s="576"/>
      <c r="G281" s="82">
        <f>'SQ_Auditoreingaben '!G276</f>
        <v>10</v>
      </c>
      <c r="H281" s="576"/>
      <c r="I281" s="104">
        <f>'1. Prüfung'!I281</f>
        <v>0</v>
      </c>
      <c r="J281" s="576"/>
      <c r="K281" s="69"/>
      <c r="L281" s="18">
        <v>10</v>
      </c>
      <c r="M281" s="364"/>
      <c r="N281" s="80"/>
      <c r="O281" s="106"/>
      <c r="P281" s="570"/>
      <c r="Q281" s="570"/>
      <c r="R281" s="571"/>
      <c r="T281" s="18">
        <f t="shared" si="3"/>
        <v>0</v>
      </c>
      <c r="U281" s="338"/>
      <c r="V281" s="344"/>
      <c r="W281" s="344"/>
      <c r="X281" s="344"/>
      <c r="Y281" s="475"/>
    </row>
    <row r="282" spans="2:25" ht="52.8" x14ac:dyDescent="0.25">
      <c r="B282" s="375"/>
      <c r="C282" s="351"/>
      <c r="D282" s="361"/>
      <c r="E282" s="77" t="s">
        <v>350</v>
      </c>
      <c r="F282" s="576"/>
      <c r="G282" s="82">
        <f>'SQ_Auditoreingaben '!G277</f>
        <v>10</v>
      </c>
      <c r="H282" s="576"/>
      <c r="I282" s="104">
        <f>'1. Prüfung'!I282</f>
        <v>0</v>
      </c>
      <c r="J282" s="576"/>
      <c r="K282" s="69"/>
      <c r="L282" s="18">
        <v>10</v>
      </c>
      <c r="M282" s="364"/>
      <c r="N282" s="80"/>
      <c r="O282" s="106"/>
      <c r="P282" s="570"/>
      <c r="Q282" s="570"/>
      <c r="R282" s="571"/>
      <c r="T282" s="18">
        <f t="shared" ref="T282:T345" si="4">IF(K282&gt;L282,L282,K282)</f>
        <v>0</v>
      </c>
      <c r="U282" s="338"/>
      <c r="V282" s="344"/>
      <c r="W282" s="344"/>
      <c r="X282" s="344"/>
      <c r="Y282" s="475"/>
    </row>
    <row r="283" spans="2:25" x14ac:dyDescent="0.25">
      <c r="B283" s="375"/>
      <c r="C283" s="351"/>
      <c r="D283" s="361" t="s">
        <v>181</v>
      </c>
      <c r="E283" s="90" t="s">
        <v>351</v>
      </c>
      <c r="F283" s="576"/>
      <c r="G283" s="113"/>
      <c r="H283" s="576"/>
      <c r="I283" s="113"/>
      <c r="J283" s="576"/>
      <c r="K283" s="113"/>
      <c r="L283" s="21">
        <v>10</v>
      </c>
      <c r="M283" s="364"/>
      <c r="N283" s="80"/>
      <c r="O283" s="106"/>
      <c r="P283" s="570"/>
      <c r="Q283" s="570"/>
      <c r="R283" s="571"/>
      <c r="T283" s="18">
        <f t="shared" si="4"/>
        <v>0</v>
      </c>
      <c r="U283" s="338"/>
      <c r="V283" s="344"/>
      <c r="W283" s="344"/>
      <c r="X283" s="344"/>
      <c r="Y283" s="475"/>
    </row>
    <row r="284" spans="2:25" ht="39.6" x14ac:dyDescent="0.25">
      <c r="B284" s="375"/>
      <c r="C284" s="351"/>
      <c r="D284" s="361"/>
      <c r="E284" s="77" t="s">
        <v>352</v>
      </c>
      <c r="F284" s="576"/>
      <c r="G284" s="82">
        <f>'SQ_Auditoreingaben '!G279</f>
        <v>5</v>
      </c>
      <c r="H284" s="576"/>
      <c r="I284" s="104">
        <f>'1. Prüfung'!I284</f>
        <v>0</v>
      </c>
      <c r="J284" s="576"/>
      <c r="K284" s="69"/>
      <c r="L284" s="18">
        <v>5</v>
      </c>
      <c r="M284" s="364"/>
      <c r="N284" s="80"/>
      <c r="O284" s="106"/>
      <c r="P284" s="570"/>
      <c r="Q284" s="570"/>
      <c r="R284" s="571"/>
      <c r="T284" s="18">
        <f t="shared" si="4"/>
        <v>0</v>
      </c>
      <c r="U284" s="338"/>
      <c r="V284" s="344"/>
      <c r="W284" s="344"/>
      <c r="X284" s="344"/>
      <c r="Y284" s="475"/>
    </row>
    <row r="285" spans="2:25" ht="52.8" x14ac:dyDescent="0.25">
      <c r="B285" s="375"/>
      <c r="C285" s="351"/>
      <c r="D285" s="361"/>
      <c r="E285" s="77" t="s">
        <v>353</v>
      </c>
      <c r="F285" s="576"/>
      <c r="G285" s="82">
        <f>'SQ_Auditoreingaben '!G280</f>
        <v>5</v>
      </c>
      <c r="H285" s="576"/>
      <c r="I285" s="104">
        <f>'1. Prüfung'!I285</f>
        <v>0</v>
      </c>
      <c r="J285" s="576"/>
      <c r="K285" s="69"/>
      <c r="L285" s="18">
        <v>5</v>
      </c>
      <c r="M285" s="364"/>
      <c r="N285" s="80"/>
      <c r="O285" s="106"/>
      <c r="P285" s="570"/>
      <c r="Q285" s="570"/>
      <c r="R285" s="571"/>
      <c r="T285" s="18">
        <f t="shared" si="4"/>
        <v>0</v>
      </c>
      <c r="U285" s="338"/>
      <c r="V285" s="344"/>
      <c r="W285" s="344"/>
      <c r="X285" s="344"/>
      <c r="Y285" s="475"/>
    </row>
    <row r="286" spans="2:25" x14ac:dyDescent="0.25">
      <c r="B286" s="375"/>
      <c r="C286" s="351"/>
      <c r="D286" s="361" t="s">
        <v>246</v>
      </c>
      <c r="E286" s="87" t="s">
        <v>354</v>
      </c>
      <c r="F286" s="576"/>
      <c r="G286" s="113"/>
      <c r="H286" s="576"/>
      <c r="I286" s="113"/>
      <c r="J286" s="576"/>
      <c r="K286" s="113"/>
      <c r="L286" s="21">
        <v>10</v>
      </c>
      <c r="M286" s="364"/>
      <c r="N286" s="80"/>
      <c r="O286" s="106"/>
      <c r="P286" s="570"/>
      <c r="Q286" s="570"/>
      <c r="R286" s="571"/>
      <c r="T286" s="18">
        <f t="shared" si="4"/>
        <v>0</v>
      </c>
      <c r="U286" s="338"/>
      <c r="V286" s="344"/>
      <c r="W286" s="344"/>
      <c r="X286" s="344"/>
      <c r="Y286" s="475"/>
    </row>
    <row r="287" spans="2:25" ht="39.6" x14ac:dyDescent="0.25">
      <c r="B287" s="375"/>
      <c r="C287" s="351"/>
      <c r="D287" s="361"/>
      <c r="E287" s="77" t="s">
        <v>355</v>
      </c>
      <c r="F287" s="576"/>
      <c r="G287" s="82">
        <f>'SQ_Auditoreingaben '!G282</f>
        <v>5</v>
      </c>
      <c r="H287" s="576"/>
      <c r="I287" s="104">
        <f>'1. Prüfung'!I287</f>
        <v>0</v>
      </c>
      <c r="J287" s="576"/>
      <c r="K287" s="69"/>
      <c r="L287" s="18">
        <v>5</v>
      </c>
      <c r="M287" s="364"/>
      <c r="N287" s="80"/>
      <c r="O287" s="106"/>
      <c r="P287" s="570"/>
      <c r="Q287" s="570"/>
      <c r="R287" s="571"/>
      <c r="T287" s="18">
        <f t="shared" si="4"/>
        <v>0</v>
      </c>
      <c r="U287" s="338"/>
      <c r="V287" s="344"/>
      <c r="W287" s="344"/>
      <c r="X287" s="344"/>
      <c r="Y287" s="475"/>
    </row>
    <row r="288" spans="2:25" ht="66" x14ac:dyDescent="0.25">
      <c r="B288" s="375"/>
      <c r="C288" s="351"/>
      <c r="D288" s="361"/>
      <c r="E288" s="77" t="s">
        <v>356</v>
      </c>
      <c r="F288" s="576"/>
      <c r="G288" s="82">
        <f>'SQ_Auditoreingaben '!G283</f>
        <v>5</v>
      </c>
      <c r="H288" s="576"/>
      <c r="I288" s="104">
        <f>'1. Prüfung'!I288</f>
        <v>0</v>
      </c>
      <c r="J288" s="576"/>
      <c r="K288" s="69"/>
      <c r="L288" s="18">
        <v>5</v>
      </c>
      <c r="M288" s="364"/>
      <c r="N288" s="80"/>
      <c r="O288" s="106"/>
      <c r="P288" s="570"/>
      <c r="Q288" s="570"/>
      <c r="R288" s="571"/>
      <c r="T288" s="18">
        <f t="shared" si="4"/>
        <v>0</v>
      </c>
      <c r="U288" s="338"/>
      <c r="V288" s="344"/>
      <c r="W288" s="344"/>
      <c r="X288" s="344"/>
      <c r="Y288" s="475"/>
    </row>
    <row r="289" spans="2:25" x14ac:dyDescent="0.25">
      <c r="B289" s="375"/>
      <c r="C289" s="351"/>
      <c r="D289" s="361" t="s">
        <v>250</v>
      </c>
      <c r="E289" s="87" t="s">
        <v>357</v>
      </c>
      <c r="F289" s="576"/>
      <c r="G289" s="113"/>
      <c r="H289" s="576"/>
      <c r="I289" s="113"/>
      <c r="J289" s="576"/>
      <c r="K289" s="113"/>
      <c r="L289" s="21">
        <v>10</v>
      </c>
      <c r="M289" s="364"/>
      <c r="N289" s="80"/>
      <c r="O289" s="106"/>
      <c r="P289" s="570"/>
      <c r="Q289" s="570"/>
      <c r="R289" s="571"/>
      <c r="T289" s="18">
        <f t="shared" si="4"/>
        <v>0</v>
      </c>
      <c r="U289" s="338"/>
      <c r="V289" s="344"/>
      <c r="W289" s="344"/>
      <c r="X289" s="344"/>
      <c r="Y289" s="475"/>
    </row>
    <row r="290" spans="2:25" ht="39.6" x14ac:dyDescent="0.25">
      <c r="B290" s="375"/>
      <c r="C290" s="351"/>
      <c r="D290" s="361"/>
      <c r="E290" s="77" t="s">
        <v>358</v>
      </c>
      <c r="F290" s="576"/>
      <c r="G290" s="82">
        <f>'SQ_Auditoreingaben '!G285</f>
        <v>5</v>
      </c>
      <c r="H290" s="576"/>
      <c r="I290" s="104">
        <f>'1. Prüfung'!I290</f>
        <v>0</v>
      </c>
      <c r="J290" s="576"/>
      <c r="K290" s="69"/>
      <c r="L290" s="18">
        <v>5</v>
      </c>
      <c r="M290" s="364"/>
      <c r="N290" s="80"/>
      <c r="O290" s="106"/>
      <c r="P290" s="570"/>
      <c r="Q290" s="570"/>
      <c r="R290" s="571"/>
      <c r="T290" s="18">
        <f t="shared" si="4"/>
        <v>0</v>
      </c>
      <c r="U290" s="338"/>
      <c r="V290" s="344"/>
      <c r="W290" s="344"/>
      <c r="X290" s="344"/>
      <c r="Y290" s="475"/>
    </row>
    <row r="291" spans="2:25" ht="52.8" x14ac:dyDescent="0.25">
      <c r="B291" s="375"/>
      <c r="C291" s="351"/>
      <c r="D291" s="361"/>
      <c r="E291" s="77" t="s">
        <v>359</v>
      </c>
      <c r="F291" s="576"/>
      <c r="G291" s="82">
        <f>'SQ_Auditoreingaben '!G286</f>
        <v>5</v>
      </c>
      <c r="H291" s="576"/>
      <c r="I291" s="104">
        <f>'1. Prüfung'!I291</f>
        <v>0</v>
      </c>
      <c r="J291" s="576"/>
      <c r="K291" s="69"/>
      <c r="L291" s="18">
        <v>5</v>
      </c>
      <c r="M291" s="364"/>
      <c r="N291" s="80"/>
      <c r="O291" s="106"/>
      <c r="P291" s="570"/>
      <c r="Q291" s="570"/>
      <c r="R291" s="571"/>
      <c r="T291" s="18">
        <f t="shared" si="4"/>
        <v>0</v>
      </c>
      <c r="U291" s="338"/>
      <c r="V291" s="344"/>
      <c r="W291" s="344"/>
      <c r="X291" s="344"/>
      <c r="Y291" s="475"/>
    </row>
    <row r="292" spans="2:25" x14ac:dyDescent="0.25">
      <c r="B292" s="375"/>
      <c r="C292" s="351" t="s">
        <v>61</v>
      </c>
      <c r="D292" s="354" t="s">
        <v>360</v>
      </c>
      <c r="E292" s="354"/>
      <c r="F292" s="576"/>
      <c r="G292" s="113"/>
      <c r="H292" s="576"/>
      <c r="I292" s="113"/>
      <c r="J292" s="576"/>
      <c r="K292" s="113"/>
      <c r="L292" s="21">
        <v>50</v>
      </c>
      <c r="M292" s="364"/>
      <c r="N292" s="80"/>
      <c r="O292" s="106"/>
      <c r="P292" s="570"/>
      <c r="Q292" s="570"/>
      <c r="R292" s="571"/>
      <c r="T292" s="18">
        <f t="shared" si="4"/>
        <v>0</v>
      </c>
      <c r="U292" s="338"/>
      <c r="V292" s="344"/>
      <c r="W292" s="344"/>
      <c r="X292" s="344"/>
      <c r="Y292" s="475"/>
    </row>
    <row r="293" spans="2:25" ht="66" x14ac:dyDescent="0.25">
      <c r="B293" s="375"/>
      <c r="C293" s="351"/>
      <c r="D293" s="71" t="s">
        <v>63</v>
      </c>
      <c r="E293" s="77" t="s">
        <v>561</v>
      </c>
      <c r="F293" s="576"/>
      <c r="G293" s="82">
        <f>'SQ_Auditoreingaben '!G288</f>
        <v>4</v>
      </c>
      <c r="H293" s="576"/>
      <c r="I293" s="104">
        <f>'1. Prüfung'!I293</f>
        <v>0</v>
      </c>
      <c r="J293" s="576"/>
      <c r="K293" s="69"/>
      <c r="L293" s="18">
        <v>20</v>
      </c>
      <c r="M293" s="364"/>
      <c r="N293" s="80"/>
      <c r="O293" s="106"/>
      <c r="P293" s="570"/>
      <c r="Q293" s="570"/>
      <c r="R293" s="571"/>
      <c r="T293" s="18">
        <f t="shared" si="4"/>
        <v>0</v>
      </c>
      <c r="U293" s="338"/>
      <c r="V293" s="344"/>
      <c r="W293" s="344"/>
      <c r="X293" s="344"/>
      <c r="Y293" s="475"/>
    </row>
    <row r="294" spans="2:25" ht="79.2" x14ac:dyDescent="0.25">
      <c r="B294" s="375"/>
      <c r="C294" s="351"/>
      <c r="D294" s="71" t="s">
        <v>186</v>
      </c>
      <c r="E294" s="77" t="s">
        <v>663</v>
      </c>
      <c r="F294" s="576"/>
      <c r="G294" s="82">
        <f>'SQ_Auditoreingaben '!G289</f>
        <v>4</v>
      </c>
      <c r="H294" s="576"/>
      <c r="I294" s="104">
        <f>'1. Prüfung'!I294</f>
        <v>0</v>
      </c>
      <c r="J294" s="576"/>
      <c r="K294" s="69"/>
      <c r="L294" s="18">
        <v>10</v>
      </c>
      <c r="M294" s="364"/>
      <c r="N294" s="80"/>
      <c r="O294" s="106"/>
      <c r="P294" s="570"/>
      <c r="Q294" s="570"/>
      <c r="R294" s="571"/>
      <c r="T294" s="18">
        <f t="shared" si="4"/>
        <v>0</v>
      </c>
      <c r="U294" s="338"/>
      <c r="V294" s="344"/>
      <c r="W294" s="344"/>
      <c r="X294" s="344"/>
      <c r="Y294" s="475"/>
    </row>
    <row r="295" spans="2:25" ht="79.2" x14ac:dyDescent="0.25">
      <c r="B295" s="375"/>
      <c r="C295" s="351"/>
      <c r="D295" s="71" t="s">
        <v>255</v>
      </c>
      <c r="E295" s="77" t="s">
        <v>562</v>
      </c>
      <c r="F295" s="576"/>
      <c r="G295" s="82">
        <f>'SQ_Auditoreingaben '!G290</f>
        <v>4</v>
      </c>
      <c r="H295" s="576"/>
      <c r="I295" s="104">
        <f>'1. Prüfung'!I295</f>
        <v>0</v>
      </c>
      <c r="J295" s="576"/>
      <c r="K295" s="69"/>
      <c r="L295" s="18">
        <v>10</v>
      </c>
      <c r="M295" s="364"/>
      <c r="N295" s="80"/>
      <c r="O295" s="106"/>
      <c r="P295" s="570"/>
      <c r="Q295" s="570"/>
      <c r="R295" s="571"/>
      <c r="T295" s="18">
        <f t="shared" si="4"/>
        <v>0</v>
      </c>
      <c r="U295" s="338"/>
      <c r="V295" s="344"/>
      <c r="W295" s="344"/>
      <c r="X295" s="344"/>
      <c r="Y295" s="475"/>
    </row>
    <row r="296" spans="2:25" ht="79.2" x14ac:dyDescent="0.25">
      <c r="B296" s="375"/>
      <c r="C296" s="351"/>
      <c r="D296" s="71" t="s">
        <v>361</v>
      </c>
      <c r="E296" s="77" t="s">
        <v>563</v>
      </c>
      <c r="F296" s="576"/>
      <c r="G296" s="82">
        <f>'SQ_Auditoreingaben '!G291</f>
        <v>4</v>
      </c>
      <c r="H296" s="576"/>
      <c r="I296" s="104">
        <f>'1. Prüfung'!I296</f>
        <v>0</v>
      </c>
      <c r="J296" s="576"/>
      <c r="K296" s="69"/>
      <c r="L296" s="18">
        <v>5</v>
      </c>
      <c r="M296" s="364"/>
      <c r="N296" s="80"/>
      <c r="O296" s="106"/>
      <c r="P296" s="570"/>
      <c r="Q296" s="570"/>
      <c r="R296" s="571"/>
      <c r="T296" s="18">
        <f t="shared" si="4"/>
        <v>0</v>
      </c>
      <c r="U296" s="338"/>
      <c r="V296" s="344"/>
      <c r="W296" s="344"/>
      <c r="X296" s="344"/>
      <c r="Y296" s="475"/>
    </row>
    <row r="297" spans="2:25" ht="79.2" x14ac:dyDescent="0.25">
      <c r="B297" s="375"/>
      <c r="C297" s="351"/>
      <c r="D297" s="71" t="s">
        <v>257</v>
      </c>
      <c r="E297" s="77" t="s">
        <v>564</v>
      </c>
      <c r="F297" s="576"/>
      <c r="G297" s="82">
        <f>'SQ_Auditoreingaben '!G292</f>
        <v>4</v>
      </c>
      <c r="H297" s="576"/>
      <c r="I297" s="104">
        <f>'1. Prüfung'!I297</f>
        <v>0</v>
      </c>
      <c r="J297" s="576"/>
      <c r="K297" s="69"/>
      <c r="L297" s="18">
        <v>5</v>
      </c>
      <c r="M297" s="364"/>
      <c r="N297" s="80"/>
      <c r="O297" s="106"/>
      <c r="P297" s="570"/>
      <c r="Q297" s="570"/>
      <c r="R297" s="571"/>
      <c r="T297" s="18">
        <f t="shared" si="4"/>
        <v>0</v>
      </c>
      <c r="U297" s="338"/>
      <c r="V297" s="344"/>
      <c r="W297" s="344"/>
      <c r="X297" s="344"/>
      <c r="Y297" s="475"/>
    </row>
    <row r="298" spans="2:25" ht="79.2" x14ac:dyDescent="0.25">
      <c r="B298" s="375"/>
      <c r="C298" s="351"/>
      <c r="D298" s="71" t="s">
        <v>258</v>
      </c>
      <c r="E298" s="77" t="s">
        <v>664</v>
      </c>
      <c r="F298" s="576"/>
      <c r="G298" s="82">
        <f>'SQ_Auditoreingaben '!G296</f>
        <v>0</v>
      </c>
      <c r="H298" s="576"/>
      <c r="I298" s="104">
        <f>'1. Prüfung'!I298</f>
        <v>0</v>
      </c>
      <c r="J298" s="576"/>
      <c r="K298" s="69"/>
      <c r="L298" s="18">
        <v>5</v>
      </c>
      <c r="M298" s="364"/>
      <c r="N298" s="80"/>
      <c r="O298" s="106"/>
      <c r="P298" s="570"/>
      <c r="Q298" s="570"/>
      <c r="R298" s="571"/>
      <c r="T298" s="18">
        <f t="shared" si="4"/>
        <v>0</v>
      </c>
      <c r="U298" s="339"/>
      <c r="V298" s="365"/>
      <c r="W298" s="344"/>
      <c r="X298" s="344"/>
      <c r="Y298" s="475"/>
    </row>
    <row r="299" spans="2:25" x14ac:dyDescent="0.25">
      <c r="B299" s="55" t="s">
        <v>362</v>
      </c>
      <c r="C299" s="354" t="s">
        <v>363</v>
      </c>
      <c r="D299" s="354"/>
      <c r="E299" s="354"/>
      <c r="F299" s="78">
        <f>'SQ_Auditoreingaben '!F297</f>
        <v>84</v>
      </c>
      <c r="G299" s="364"/>
      <c r="H299" s="105">
        <f>'1. Prüfung'!H299</f>
        <v>0</v>
      </c>
      <c r="I299" s="364"/>
      <c r="J299" s="91">
        <f>U299</f>
        <v>0</v>
      </c>
      <c r="K299" s="364"/>
      <c r="L299" s="21">
        <v>100</v>
      </c>
      <c r="M299" s="88">
        <v>5</v>
      </c>
      <c r="N299" s="80"/>
      <c r="O299" s="106"/>
      <c r="P299" s="570"/>
      <c r="Q299" s="570"/>
      <c r="R299" s="571"/>
      <c r="T299" s="18">
        <f t="shared" si="4"/>
        <v>0</v>
      </c>
      <c r="U299" s="337">
        <f>SUM(T301:T315)</f>
        <v>0</v>
      </c>
      <c r="V299" s="343">
        <f>U299/100</f>
        <v>0</v>
      </c>
      <c r="W299" s="344"/>
      <c r="X299" s="344"/>
      <c r="Y299" s="475"/>
    </row>
    <row r="300" spans="2:25" x14ac:dyDescent="0.25">
      <c r="B300" s="375"/>
      <c r="C300" s="351" t="s">
        <v>54</v>
      </c>
      <c r="D300" s="354" t="s">
        <v>364</v>
      </c>
      <c r="E300" s="354"/>
      <c r="F300" s="576"/>
      <c r="G300" s="364"/>
      <c r="H300" s="576"/>
      <c r="I300" s="364"/>
      <c r="J300" s="576"/>
      <c r="K300" s="364"/>
      <c r="L300" s="21">
        <v>20</v>
      </c>
      <c r="M300" s="364"/>
      <c r="N300" s="80"/>
      <c r="O300" s="106"/>
      <c r="P300" s="570"/>
      <c r="Q300" s="570"/>
      <c r="R300" s="571"/>
      <c r="T300" s="18">
        <f t="shared" si="4"/>
        <v>0</v>
      </c>
      <c r="U300" s="338"/>
      <c r="V300" s="344"/>
      <c r="W300" s="344"/>
      <c r="X300" s="344"/>
      <c r="Y300" s="475"/>
    </row>
    <row r="301" spans="2:25" ht="118.8" x14ac:dyDescent="0.25">
      <c r="B301" s="375"/>
      <c r="C301" s="351"/>
      <c r="D301" s="71" t="s">
        <v>58</v>
      </c>
      <c r="E301" s="77" t="s">
        <v>720</v>
      </c>
      <c r="F301" s="576"/>
      <c r="G301" s="82">
        <f>'SQ_Auditoreingaben '!G299</f>
        <v>15</v>
      </c>
      <c r="H301" s="576"/>
      <c r="I301" s="104">
        <f>'1. Prüfung'!I301</f>
        <v>0</v>
      </c>
      <c r="J301" s="576"/>
      <c r="K301" s="69"/>
      <c r="L301" s="18">
        <v>10</v>
      </c>
      <c r="M301" s="364"/>
      <c r="N301" s="80"/>
      <c r="O301" s="106"/>
      <c r="P301" s="570"/>
      <c r="Q301" s="570"/>
      <c r="R301" s="571"/>
      <c r="T301" s="18">
        <f t="shared" si="4"/>
        <v>0</v>
      </c>
      <c r="U301" s="338"/>
      <c r="V301" s="344"/>
      <c r="W301" s="344"/>
      <c r="X301" s="344"/>
      <c r="Y301" s="475"/>
    </row>
    <row r="302" spans="2:25" ht="52.8" x14ac:dyDescent="0.25">
      <c r="B302" s="375"/>
      <c r="C302" s="351"/>
      <c r="D302" s="71" t="s">
        <v>181</v>
      </c>
      <c r="E302" s="77" t="s">
        <v>719</v>
      </c>
      <c r="F302" s="576"/>
      <c r="G302" s="82">
        <f>'SQ_Auditoreingaben '!G300</f>
        <v>0</v>
      </c>
      <c r="H302" s="576"/>
      <c r="I302" s="104">
        <f>'1. Prüfung'!I302</f>
        <v>0</v>
      </c>
      <c r="J302" s="576"/>
      <c r="K302" s="69"/>
      <c r="L302" s="18">
        <v>5</v>
      </c>
      <c r="M302" s="364"/>
      <c r="N302" s="80"/>
      <c r="O302" s="106"/>
      <c r="P302" s="570"/>
      <c r="Q302" s="570"/>
      <c r="R302" s="571"/>
      <c r="T302" s="18">
        <f t="shared" si="4"/>
        <v>0</v>
      </c>
      <c r="U302" s="338"/>
      <c r="V302" s="344"/>
      <c r="W302" s="344"/>
      <c r="X302" s="344"/>
      <c r="Y302" s="475"/>
    </row>
    <row r="303" spans="2:25" ht="39.6" x14ac:dyDescent="0.25">
      <c r="B303" s="375"/>
      <c r="C303" s="351"/>
      <c r="D303" s="71" t="s">
        <v>246</v>
      </c>
      <c r="E303" s="77" t="s">
        <v>721</v>
      </c>
      <c r="F303" s="576"/>
      <c r="G303" s="82" t="e">
        <f>'SQ_Auditoreingaben '!#REF!</f>
        <v>#REF!</v>
      </c>
      <c r="H303" s="576"/>
      <c r="I303" s="104">
        <f>'1. Prüfung'!I303</f>
        <v>0</v>
      </c>
      <c r="J303" s="576"/>
      <c r="K303" s="69"/>
      <c r="L303" s="18">
        <v>5</v>
      </c>
      <c r="M303" s="364"/>
      <c r="N303" s="80"/>
      <c r="O303" s="106"/>
      <c r="P303" s="570"/>
      <c r="Q303" s="570"/>
      <c r="R303" s="571"/>
      <c r="T303" s="18">
        <f t="shared" si="4"/>
        <v>0</v>
      </c>
      <c r="U303" s="338"/>
      <c r="V303" s="344"/>
      <c r="W303" s="344"/>
      <c r="X303" s="344"/>
      <c r="Y303" s="475"/>
    </row>
    <row r="304" spans="2:25" x14ac:dyDescent="0.25">
      <c r="B304" s="375"/>
      <c r="C304" s="351" t="s">
        <v>61</v>
      </c>
      <c r="D304" s="354" t="s">
        <v>365</v>
      </c>
      <c r="E304" s="354"/>
      <c r="F304" s="576"/>
      <c r="G304" s="113"/>
      <c r="H304" s="576"/>
      <c r="I304" s="113"/>
      <c r="J304" s="576"/>
      <c r="K304" s="113"/>
      <c r="L304" s="21">
        <v>40</v>
      </c>
      <c r="M304" s="364"/>
      <c r="N304" s="80"/>
      <c r="O304" s="106"/>
      <c r="P304" s="570"/>
      <c r="Q304" s="570"/>
      <c r="R304" s="571"/>
      <c r="T304" s="18">
        <f t="shared" si="4"/>
        <v>0</v>
      </c>
      <c r="U304" s="338"/>
      <c r="V304" s="344"/>
      <c r="W304" s="344"/>
      <c r="X304" s="344"/>
      <c r="Y304" s="475"/>
    </row>
    <row r="305" spans="2:25" ht="66" x14ac:dyDescent="0.25">
      <c r="B305" s="375"/>
      <c r="C305" s="351"/>
      <c r="D305" s="71" t="s">
        <v>63</v>
      </c>
      <c r="E305" s="77" t="s">
        <v>722</v>
      </c>
      <c r="F305" s="576"/>
      <c r="G305" s="82">
        <f>'SQ_Auditoreingaben '!G302</f>
        <v>8</v>
      </c>
      <c r="H305" s="576"/>
      <c r="I305" s="104">
        <f>'1. Prüfung'!I305</f>
        <v>0</v>
      </c>
      <c r="J305" s="576"/>
      <c r="K305" s="69"/>
      <c r="L305" s="18">
        <v>8</v>
      </c>
      <c r="M305" s="364"/>
      <c r="N305" s="80"/>
      <c r="O305" s="106"/>
      <c r="P305" s="570"/>
      <c r="Q305" s="570"/>
      <c r="R305" s="571"/>
      <c r="T305" s="18">
        <f t="shared" si="4"/>
        <v>0</v>
      </c>
      <c r="U305" s="338"/>
      <c r="V305" s="344"/>
      <c r="W305" s="344"/>
      <c r="X305" s="344"/>
      <c r="Y305" s="475"/>
    </row>
    <row r="306" spans="2:25" ht="66" x14ac:dyDescent="0.25">
      <c r="B306" s="375"/>
      <c r="C306" s="351"/>
      <c r="D306" s="71" t="s">
        <v>186</v>
      </c>
      <c r="E306" s="77" t="s">
        <v>723</v>
      </c>
      <c r="F306" s="576"/>
      <c r="G306" s="82">
        <f>'SQ_Auditoreingaben '!G303</f>
        <v>4</v>
      </c>
      <c r="H306" s="576"/>
      <c r="I306" s="104">
        <f>'1. Prüfung'!I306</f>
        <v>0</v>
      </c>
      <c r="J306" s="576"/>
      <c r="K306" s="69"/>
      <c r="L306" s="18">
        <v>4</v>
      </c>
      <c r="M306" s="364"/>
      <c r="N306" s="80"/>
      <c r="O306" s="106"/>
      <c r="P306" s="570"/>
      <c r="Q306" s="570"/>
      <c r="R306" s="571"/>
      <c r="T306" s="18">
        <f t="shared" si="4"/>
        <v>0</v>
      </c>
      <c r="U306" s="338"/>
      <c r="V306" s="344"/>
      <c r="W306" s="344"/>
      <c r="X306" s="344"/>
      <c r="Y306" s="475"/>
    </row>
    <row r="307" spans="2:25" ht="66" x14ac:dyDescent="0.25">
      <c r="B307" s="375"/>
      <c r="C307" s="351"/>
      <c r="D307" s="71" t="s">
        <v>255</v>
      </c>
      <c r="E307" s="77" t="s">
        <v>370</v>
      </c>
      <c r="F307" s="576"/>
      <c r="G307" s="82">
        <f>'SQ_Auditoreingaben '!G304</f>
        <v>4</v>
      </c>
      <c r="H307" s="576"/>
      <c r="I307" s="104">
        <f>'1. Prüfung'!I307</f>
        <v>0</v>
      </c>
      <c r="J307" s="576"/>
      <c r="K307" s="69"/>
      <c r="L307" s="18">
        <v>4</v>
      </c>
      <c r="M307" s="364"/>
      <c r="N307" s="80"/>
      <c r="O307" s="106"/>
      <c r="P307" s="570"/>
      <c r="Q307" s="570"/>
      <c r="R307" s="571"/>
      <c r="T307" s="18">
        <f t="shared" si="4"/>
        <v>0</v>
      </c>
      <c r="U307" s="338"/>
      <c r="V307" s="344"/>
      <c r="W307" s="344"/>
      <c r="X307" s="344"/>
      <c r="Y307" s="475"/>
    </row>
    <row r="308" spans="2:25" ht="92.4" x14ac:dyDescent="0.25">
      <c r="B308" s="375"/>
      <c r="C308" s="351"/>
      <c r="D308" s="71" t="s">
        <v>256</v>
      </c>
      <c r="E308" s="77" t="s">
        <v>724</v>
      </c>
      <c r="F308" s="576"/>
      <c r="G308" s="82">
        <f>'SQ_Auditoreingaben '!G305</f>
        <v>6</v>
      </c>
      <c r="H308" s="576"/>
      <c r="I308" s="104">
        <f>'1. Prüfung'!I308</f>
        <v>0</v>
      </c>
      <c r="J308" s="576"/>
      <c r="K308" s="69"/>
      <c r="L308" s="18">
        <v>8</v>
      </c>
      <c r="M308" s="364"/>
      <c r="N308" s="80"/>
      <c r="O308" s="106"/>
      <c r="P308" s="570"/>
      <c r="Q308" s="570"/>
      <c r="R308" s="571"/>
      <c r="T308" s="18">
        <f t="shared" si="4"/>
        <v>0</v>
      </c>
      <c r="U308" s="338"/>
      <c r="V308" s="344"/>
      <c r="W308" s="344"/>
      <c r="X308" s="344"/>
      <c r="Y308" s="475"/>
    </row>
    <row r="309" spans="2:25" ht="105.6" x14ac:dyDescent="0.25">
      <c r="B309" s="375"/>
      <c r="C309" s="351"/>
      <c r="D309" s="71" t="s">
        <v>257</v>
      </c>
      <c r="E309" s="77" t="s">
        <v>725</v>
      </c>
      <c r="F309" s="576"/>
      <c r="G309" s="82">
        <f>'SQ_Auditoreingaben '!G306</f>
        <v>13</v>
      </c>
      <c r="H309" s="576"/>
      <c r="I309" s="104">
        <f>'1. Prüfung'!I309</f>
        <v>0</v>
      </c>
      <c r="J309" s="576"/>
      <c r="K309" s="69"/>
      <c r="L309" s="18">
        <v>8</v>
      </c>
      <c r="M309" s="364"/>
      <c r="N309" s="80"/>
      <c r="O309" s="106"/>
      <c r="P309" s="570"/>
      <c r="Q309" s="570"/>
      <c r="R309" s="571"/>
      <c r="T309" s="18">
        <f t="shared" si="4"/>
        <v>0</v>
      </c>
      <c r="U309" s="338"/>
      <c r="V309" s="344"/>
      <c r="W309" s="344"/>
      <c r="X309" s="344"/>
      <c r="Y309" s="475"/>
    </row>
    <row r="310" spans="2:25" ht="92.4" x14ac:dyDescent="0.25">
      <c r="B310" s="375"/>
      <c r="C310" s="351"/>
      <c r="D310" s="71" t="s">
        <v>258</v>
      </c>
      <c r="E310" s="77" t="s">
        <v>726</v>
      </c>
      <c r="F310" s="576"/>
      <c r="G310" s="82">
        <f>'SQ_Auditoreingaben '!G307</f>
        <v>4</v>
      </c>
      <c r="H310" s="576"/>
      <c r="I310" s="104">
        <f>'1. Prüfung'!I310</f>
        <v>0</v>
      </c>
      <c r="J310" s="576"/>
      <c r="K310" s="69"/>
      <c r="L310" s="18">
        <v>8</v>
      </c>
      <c r="M310" s="364"/>
      <c r="N310" s="80"/>
      <c r="O310" s="106"/>
      <c r="P310" s="570"/>
      <c r="Q310" s="570"/>
      <c r="R310" s="571"/>
      <c r="T310" s="18">
        <f t="shared" si="4"/>
        <v>0</v>
      </c>
      <c r="U310" s="338"/>
      <c r="V310" s="344"/>
      <c r="W310" s="344"/>
      <c r="X310" s="344"/>
      <c r="Y310" s="475"/>
    </row>
    <row r="311" spans="2:25" x14ac:dyDescent="0.25">
      <c r="B311" s="375"/>
      <c r="C311" s="351" t="s">
        <v>64</v>
      </c>
      <c r="D311" s="354" t="s">
        <v>367</v>
      </c>
      <c r="E311" s="354"/>
      <c r="F311" s="576"/>
      <c r="G311" s="113"/>
      <c r="H311" s="576"/>
      <c r="I311" s="113"/>
      <c r="J311" s="576"/>
      <c r="K311" s="113"/>
      <c r="L311" s="21">
        <v>40</v>
      </c>
      <c r="M311" s="364"/>
      <c r="N311" s="80"/>
      <c r="O311" s="106"/>
      <c r="P311" s="570"/>
      <c r="Q311" s="570"/>
      <c r="R311" s="571"/>
      <c r="T311" s="18">
        <f t="shared" si="4"/>
        <v>0</v>
      </c>
      <c r="U311" s="338"/>
      <c r="V311" s="344"/>
      <c r="W311" s="344"/>
      <c r="X311" s="344"/>
      <c r="Y311" s="475"/>
    </row>
    <row r="312" spans="2:25" ht="134.4" x14ac:dyDescent="0.25">
      <c r="B312" s="375"/>
      <c r="C312" s="351"/>
      <c r="D312" s="71" t="s">
        <v>66</v>
      </c>
      <c r="E312" s="87" t="s">
        <v>727</v>
      </c>
      <c r="F312" s="576"/>
      <c r="G312" s="82">
        <f>'SQ_Auditoreingaben '!G309</f>
        <v>15</v>
      </c>
      <c r="H312" s="576"/>
      <c r="I312" s="104">
        <f>'1. Prüfung'!I312</f>
        <v>0</v>
      </c>
      <c r="J312" s="576"/>
      <c r="K312" s="69"/>
      <c r="L312" s="18">
        <v>25</v>
      </c>
      <c r="M312" s="364"/>
      <c r="N312" s="80"/>
      <c r="O312" s="106"/>
      <c r="P312" s="570"/>
      <c r="Q312" s="570"/>
      <c r="R312" s="571"/>
      <c r="T312" s="18">
        <f t="shared" si="4"/>
        <v>0</v>
      </c>
      <c r="U312" s="338"/>
      <c r="V312" s="344"/>
      <c r="W312" s="344"/>
      <c r="X312" s="344"/>
      <c r="Y312" s="475"/>
    </row>
    <row r="313" spans="2:25" ht="26.4" x14ac:dyDescent="0.25">
      <c r="B313" s="375"/>
      <c r="C313" s="351"/>
      <c r="D313" s="361" t="s">
        <v>150</v>
      </c>
      <c r="E313" s="77" t="s">
        <v>371</v>
      </c>
      <c r="F313" s="576"/>
      <c r="G313" s="113"/>
      <c r="H313" s="576"/>
      <c r="I313" s="113"/>
      <c r="J313" s="576"/>
      <c r="K313" s="113"/>
      <c r="L313" s="21">
        <v>15</v>
      </c>
      <c r="M313" s="364"/>
      <c r="N313" s="80"/>
      <c r="O313" s="106"/>
      <c r="P313" s="570"/>
      <c r="Q313" s="570"/>
      <c r="R313" s="571"/>
      <c r="T313" s="18">
        <f t="shared" si="4"/>
        <v>0</v>
      </c>
      <c r="U313" s="338"/>
      <c r="V313" s="344"/>
      <c r="W313" s="344"/>
      <c r="X313" s="344"/>
      <c r="Y313" s="475"/>
    </row>
    <row r="314" spans="2:25" ht="39.6" x14ac:dyDescent="0.25">
      <c r="B314" s="375"/>
      <c r="C314" s="351"/>
      <c r="D314" s="361"/>
      <c r="E314" s="77" t="s">
        <v>368</v>
      </c>
      <c r="F314" s="576"/>
      <c r="G314" s="82">
        <f>'SQ_Auditoreingaben '!G311</f>
        <v>5</v>
      </c>
      <c r="H314" s="576"/>
      <c r="I314" s="104">
        <f>'1. Prüfung'!I314</f>
        <v>0</v>
      </c>
      <c r="J314" s="576"/>
      <c r="K314" s="69"/>
      <c r="L314" s="18">
        <v>5</v>
      </c>
      <c r="M314" s="364"/>
      <c r="N314" s="80"/>
      <c r="O314" s="106"/>
      <c r="P314" s="570"/>
      <c r="Q314" s="570"/>
      <c r="R314" s="571"/>
      <c r="T314" s="18">
        <f t="shared" si="4"/>
        <v>0</v>
      </c>
      <c r="U314" s="338"/>
      <c r="V314" s="344"/>
      <c r="W314" s="344"/>
      <c r="X314" s="344"/>
      <c r="Y314" s="475"/>
    </row>
    <row r="315" spans="2:25" ht="26.4" x14ac:dyDescent="0.25">
      <c r="B315" s="375"/>
      <c r="C315" s="351"/>
      <c r="D315" s="361"/>
      <c r="E315" s="77" t="s">
        <v>369</v>
      </c>
      <c r="F315" s="576"/>
      <c r="G315" s="82">
        <f>'SQ_Auditoreingaben '!G312</f>
        <v>10</v>
      </c>
      <c r="H315" s="576"/>
      <c r="I315" s="104">
        <f>'1. Prüfung'!I315</f>
        <v>0</v>
      </c>
      <c r="J315" s="576"/>
      <c r="K315" s="69"/>
      <c r="L315" s="18">
        <v>10</v>
      </c>
      <c r="M315" s="364"/>
      <c r="N315" s="80"/>
      <c r="O315" s="106"/>
      <c r="P315" s="570"/>
      <c r="Q315" s="570"/>
      <c r="R315" s="571"/>
      <c r="T315" s="18">
        <f t="shared" si="4"/>
        <v>0</v>
      </c>
      <c r="U315" s="339"/>
      <c r="V315" s="365"/>
      <c r="W315" s="344"/>
      <c r="X315" s="344"/>
      <c r="Y315" s="475"/>
    </row>
    <row r="316" spans="2:25" x14ac:dyDescent="0.25">
      <c r="B316" s="55" t="s">
        <v>372</v>
      </c>
      <c r="C316" s="354" t="s">
        <v>373</v>
      </c>
      <c r="D316" s="354"/>
      <c r="E316" s="354"/>
      <c r="F316" s="78">
        <f>'SQ_Auditoreingaben '!F313</f>
        <v>105</v>
      </c>
      <c r="G316" s="364"/>
      <c r="H316" s="105">
        <f>'1. Prüfung'!H316</f>
        <v>0</v>
      </c>
      <c r="I316" s="364"/>
      <c r="J316" s="91">
        <f>U316</f>
        <v>0</v>
      </c>
      <c r="K316" s="364"/>
      <c r="L316" s="21">
        <v>110</v>
      </c>
      <c r="M316" s="88">
        <v>3</v>
      </c>
      <c r="N316" s="80"/>
      <c r="O316" s="106"/>
      <c r="P316" s="570"/>
      <c r="Q316" s="570"/>
      <c r="R316" s="571"/>
      <c r="T316" s="18">
        <f t="shared" si="4"/>
        <v>0</v>
      </c>
      <c r="U316" s="337">
        <f>SUM(SUM(T318:T322),IF(SUM(T324:T331)&gt;50,50,SUM(T324:T331)),T333)</f>
        <v>0</v>
      </c>
      <c r="V316" s="343">
        <f>U316/100</f>
        <v>0</v>
      </c>
      <c r="W316" s="344"/>
      <c r="X316" s="344"/>
      <c r="Y316" s="475"/>
    </row>
    <row r="317" spans="2:25" x14ac:dyDescent="0.25">
      <c r="B317" s="375"/>
      <c r="C317" s="351" t="s">
        <v>54</v>
      </c>
      <c r="D317" s="354" t="s">
        <v>374</v>
      </c>
      <c r="E317" s="354"/>
      <c r="F317" s="576"/>
      <c r="G317" s="364"/>
      <c r="H317" s="576"/>
      <c r="I317" s="364"/>
      <c r="J317" s="576"/>
      <c r="K317" s="364"/>
      <c r="L317" s="21">
        <v>50</v>
      </c>
      <c r="M317" s="364"/>
      <c r="N317" s="80"/>
      <c r="O317" s="106"/>
      <c r="P317" s="570"/>
      <c r="Q317" s="570"/>
      <c r="R317" s="571"/>
      <c r="T317" s="18">
        <f t="shared" si="4"/>
        <v>0</v>
      </c>
      <c r="U317" s="338"/>
      <c r="V317" s="344"/>
      <c r="W317" s="344"/>
      <c r="X317" s="344"/>
      <c r="Y317" s="475"/>
    </row>
    <row r="318" spans="2:25" ht="39.6" x14ac:dyDescent="0.25">
      <c r="B318" s="375"/>
      <c r="C318" s="351"/>
      <c r="D318" s="71" t="s">
        <v>58</v>
      </c>
      <c r="E318" s="93" t="s">
        <v>665</v>
      </c>
      <c r="F318" s="576"/>
      <c r="G318" s="82">
        <f>'SQ_Auditoreingaben '!G315</f>
        <v>15</v>
      </c>
      <c r="H318" s="576"/>
      <c r="I318" s="104">
        <f>'1. Prüfung'!I318</f>
        <v>0</v>
      </c>
      <c r="J318" s="576"/>
      <c r="K318" s="69"/>
      <c r="L318" s="18">
        <v>15</v>
      </c>
      <c r="M318" s="364"/>
      <c r="N318" s="80"/>
      <c r="O318" s="106"/>
      <c r="P318" s="570"/>
      <c r="Q318" s="570"/>
      <c r="R318" s="571"/>
      <c r="T318" s="18">
        <f t="shared" si="4"/>
        <v>0</v>
      </c>
      <c r="U318" s="338"/>
      <c r="V318" s="344"/>
      <c r="W318" s="344"/>
      <c r="X318" s="344"/>
      <c r="Y318" s="475"/>
    </row>
    <row r="319" spans="2:25" ht="39.6" x14ac:dyDescent="0.25">
      <c r="B319" s="375"/>
      <c r="C319" s="351"/>
      <c r="D319" s="71" t="s">
        <v>181</v>
      </c>
      <c r="E319" s="93" t="s">
        <v>666</v>
      </c>
      <c r="F319" s="576"/>
      <c r="G319" s="82">
        <f>'SQ_Auditoreingaben '!G316</f>
        <v>5</v>
      </c>
      <c r="H319" s="576"/>
      <c r="I319" s="104">
        <f>'1. Prüfung'!I319</f>
        <v>0</v>
      </c>
      <c r="J319" s="576"/>
      <c r="K319" s="69"/>
      <c r="L319" s="18">
        <v>5</v>
      </c>
      <c r="M319" s="364"/>
      <c r="N319" s="80"/>
      <c r="O319" s="106"/>
      <c r="P319" s="570"/>
      <c r="Q319" s="570"/>
      <c r="R319" s="571"/>
      <c r="T319" s="18">
        <f t="shared" si="4"/>
        <v>0</v>
      </c>
      <c r="U319" s="338"/>
      <c r="V319" s="344"/>
      <c r="W319" s="344"/>
      <c r="X319" s="344"/>
      <c r="Y319" s="475"/>
    </row>
    <row r="320" spans="2:25" ht="79.2" x14ac:dyDescent="0.25">
      <c r="B320" s="375"/>
      <c r="C320" s="351"/>
      <c r="D320" s="71" t="s">
        <v>246</v>
      </c>
      <c r="E320" s="77" t="s">
        <v>667</v>
      </c>
      <c r="F320" s="576"/>
      <c r="G320" s="82">
        <f>'SQ_Auditoreingaben '!G317</f>
        <v>10</v>
      </c>
      <c r="H320" s="576"/>
      <c r="I320" s="104">
        <f>'1. Prüfung'!I320</f>
        <v>0</v>
      </c>
      <c r="J320" s="576"/>
      <c r="K320" s="69"/>
      <c r="L320" s="18">
        <v>15</v>
      </c>
      <c r="M320" s="364"/>
      <c r="N320" s="80"/>
      <c r="O320" s="106"/>
      <c r="P320" s="570"/>
      <c r="Q320" s="570"/>
      <c r="R320" s="571"/>
      <c r="T320" s="18">
        <f t="shared" si="4"/>
        <v>0</v>
      </c>
      <c r="U320" s="338"/>
      <c r="V320" s="344"/>
      <c r="W320" s="344"/>
      <c r="X320" s="344"/>
      <c r="Y320" s="475"/>
    </row>
    <row r="321" spans="2:25" ht="26.4" x14ac:dyDescent="0.25">
      <c r="B321" s="375"/>
      <c r="C321" s="351"/>
      <c r="D321" s="71" t="s">
        <v>250</v>
      </c>
      <c r="E321" s="77" t="s">
        <v>728</v>
      </c>
      <c r="F321" s="576"/>
      <c r="G321" s="82">
        <f>'SQ_Auditoreingaben '!G318</f>
        <v>10</v>
      </c>
      <c r="H321" s="576"/>
      <c r="I321" s="104">
        <f>'1. Prüfung'!I321</f>
        <v>0</v>
      </c>
      <c r="J321" s="576"/>
      <c r="K321" s="69"/>
      <c r="L321" s="18">
        <v>10</v>
      </c>
      <c r="M321" s="364"/>
      <c r="N321" s="80"/>
      <c r="O321" s="106"/>
      <c r="P321" s="570"/>
      <c r="Q321" s="570"/>
      <c r="R321" s="571"/>
      <c r="T321" s="18">
        <f t="shared" si="4"/>
        <v>0</v>
      </c>
      <c r="U321" s="338"/>
      <c r="V321" s="344"/>
      <c r="W321" s="344"/>
      <c r="X321" s="344"/>
      <c r="Y321" s="475"/>
    </row>
    <row r="322" spans="2:25" ht="52.8" x14ac:dyDescent="0.25">
      <c r="B322" s="375"/>
      <c r="C322" s="351"/>
      <c r="D322" s="71" t="s">
        <v>121</v>
      </c>
      <c r="E322" s="77" t="s">
        <v>668</v>
      </c>
      <c r="F322" s="576"/>
      <c r="G322" s="82">
        <f>'SQ_Auditoreingaben '!G319</f>
        <v>5</v>
      </c>
      <c r="H322" s="576"/>
      <c r="I322" s="104">
        <f>'1. Prüfung'!I322</f>
        <v>0</v>
      </c>
      <c r="J322" s="576"/>
      <c r="K322" s="69"/>
      <c r="L322" s="18">
        <v>5</v>
      </c>
      <c r="M322" s="364"/>
      <c r="N322" s="80"/>
      <c r="O322" s="106"/>
      <c r="P322" s="570"/>
      <c r="Q322" s="570"/>
      <c r="R322" s="571"/>
      <c r="T322" s="18">
        <f t="shared" si="4"/>
        <v>0</v>
      </c>
      <c r="U322" s="338"/>
      <c r="V322" s="344"/>
      <c r="W322" s="344"/>
      <c r="X322" s="344"/>
      <c r="Y322" s="475"/>
    </row>
    <row r="323" spans="2:25" x14ac:dyDescent="0.25">
      <c r="B323" s="375"/>
      <c r="C323" s="351" t="s">
        <v>61</v>
      </c>
      <c r="D323" s="354" t="s">
        <v>375</v>
      </c>
      <c r="E323" s="354"/>
      <c r="F323" s="576"/>
      <c r="G323" s="113"/>
      <c r="H323" s="576"/>
      <c r="I323" s="113"/>
      <c r="J323" s="576"/>
      <c r="K323" s="113"/>
      <c r="L323" s="21">
        <v>50</v>
      </c>
      <c r="M323" s="364"/>
      <c r="N323" s="80"/>
      <c r="O323" s="106"/>
      <c r="P323" s="570"/>
      <c r="Q323" s="570"/>
      <c r="R323" s="571"/>
      <c r="T323" s="18">
        <f t="shared" si="4"/>
        <v>0</v>
      </c>
      <c r="U323" s="338"/>
      <c r="V323" s="344"/>
      <c r="W323" s="344"/>
      <c r="X323" s="344"/>
      <c r="Y323" s="475"/>
    </row>
    <row r="324" spans="2:25" ht="39.6" x14ac:dyDescent="0.25">
      <c r="B324" s="375"/>
      <c r="C324" s="351"/>
      <c r="D324" s="71" t="s">
        <v>63</v>
      </c>
      <c r="E324" s="77" t="s">
        <v>376</v>
      </c>
      <c r="F324" s="576"/>
      <c r="G324" s="82">
        <f>'SQ_Auditoreingaben '!G321</f>
        <v>10</v>
      </c>
      <c r="H324" s="576"/>
      <c r="I324" s="104">
        <f>'1. Prüfung'!I324</f>
        <v>0</v>
      </c>
      <c r="J324" s="576"/>
      <c r="K324" s="69"/>
      <c r="L324" s="18">
        <v>10</v>
      </c>
      <c r="M324" s="364"/>
      <c r="N324" s="80"/>
      <c r="O324" s="106"/>
      <c r="P324" s="570"/>
      <c r="Q324" s="570"/>
      <c r="R324" s="571"/>
      <c r="T324" s="18">
        <f t="shared" si="4"/>
        <v>0</v>
      </c>
      <c r="U324" s="338"/>
      <c r="V324" s="344"/>
      <c r="W324" s="344"/>
      <c r="X324" s="344"/>
      <c r="Y324" s="475"/>
    </row>
    <row r="325" spans="2:25" ht="66" x14ac:dyDescent="0.25">
      <c r="B325" s="375"/>
      <c r="C325" s="351"/>
      <c r="D325" s="71" t="s">
        <v>186</v>
      </c>
      <c r="E325" s="77" t="s">
        <v>669</v>
      </c>
      <c r="F325" s="576"/>
      <c r="G325" s="82">
        <f>'SQ_Auditoreingaben '!G322</f>
        <v>15</v>
      </c>
      <c r="H325" s="576"/>
      <c r="I325" s="104">
        <f>'1. Prüfung'!I325</f>
        <v>0</v>
      </c>
      <c r="J325" s="576"/>
      <c r="K325" s="69"/>
      <c r="L325" s="18">
        <v>15</v>
      </c>
      <c r="M325" s="364"/>
      <c r="N325" s="80"/>
      <c r="O325" s="106"/>
      <c r="P325" s="570"/>
      <c r="Q325" s="570"/>
      <c r="R325" s="571"/>
      <c r="T325" s="18">
        <f t="shared" si="4"/>
        <v>0</v>
      </c>
      <c r="U325" s="338"/>
      <c r="V325" s="344"/>
      <c r="W325" s="344"/>
      <c r="X325" s="344"/>
      <c r="Y325" s="475"/>
    </row>
    <row r="326" spans="2:25" ht="66" x14ac:dyDescent="0.25">
      <c r="B326" s="375"/>
      <c r="C326" s="351"/>
      <c r="D326" s="71" t="s">
        <v>255</v>
      </c>
      <c r="E326" s="77" t="s">
        <v>729</v>
      </c>
      <c r="F326" s="576"/>
      <c r="G326" s="82">
        <f>'SQ_Auditoreingaben '!G323</f>
        <v>5</v>
      </c>
      <c r="H326" s="576"/>
      <c r="I326" s="104">
        <f>'1. Prüfung'!I326</f>
        <v>0</v>
      </c>
      <c r="J326" s="576"/>
      <c r="K326" s="69"/>
      <c r="L326" s="18">
        <v>5</v>
      </c>
      <c r="M326" s="364"/>
      <c r="N326" s="80"/>
      <c r="O326" s="106"/>
      <c r="P326" s="570"/>
      <c r="Q326" s="570"/>
      <c r="R326" s="571"/>
      <c r="T326" s="18">
        <f t="shared" si="4"/>
        <v>0</v>
      </c>
      <c r="U326" s="338"/>
      <c r="V326" s="344"/>
      <c r="W326" s="344"/>
      <c r="X326" s="344"/>
      <c r="Y326" s="475"/>
    </row>
    <row r="327" spans="2:25" ht="39.6" x14ac:dyDescent="0.25">
      <c r="B327" s="375"/>
      <c r="C327" s="351"/>
      <c r="D327" s="71" t="s">
        <v>256</v>
      </c>
      <c r="E327" s="77" t="s">
        <v>730</v>
      </c>
      <c r="F327" s="576"/>
      <c r="G327" s="82">
        <f>'SQ_Auditoreingaben '!G324</f>
        <v>0</v>
      </c>
      <c r="H327" s="576"/>
      <c r="I327" s="104">
        <f>'1. Prüfung'!I327</f>
        <v>0</v>
      </c>
      <c r="J327" s="576"/>
      <c r="K327" s="69"/>
      <c r="L327" s="18">
        <v>5</v>
      </c>
      <c r="M327" s="364"/>
      <c r="N327" s="80"/>
      <c r="O327" s="106"/>
      <c r="P327" s="570"/>
      <c r="Q327" s="570"/>
      <c r="R327" s="571"/>
      <c r="T327" s="18">
        <f t="shared" si="4"/>
        <v>0</v>
      </c>
      <c r="U327" s="338"/>
      <c r="V327" s="344"/>
      <c r="W327" s="344"/>
      <c r="X327" s="344"/>
      <c r="Y327" s="475"/>
    </row>
    <row r="328" spans="2:25" ht="52.8" x14ac:dyDescent="0.25">
      <c r="B328" s="375"/>
      <c r="C328" s="351"/>
      <c r="D328" s="71" t="s">
        <v>257</v>
      </c>
      <c r="E328" s="77" t="s">
        <v>670</v>
      </c>
      <c r="F328" s="576"/>
      <c r="G328" s="82">
        <f>'SQ_Auditoreingaben '!G325</f>
        <v>5</v>
      </c>
      <c r="H328" s="576"/>
      <c r="I328" s="104">
        <f>'1. Prüfung'!I328</f>
        <v>0</v>
      </c>
      <c r="J328" s="576"/>
      <c r="K328" s="69"/>
      <c r="L328" s="18">
        <v>5</v>
      </c>
      <c r="M328" s="364"/>
      <c r="N328" s="80"/>
      <c r="O328" s="106"/>
      <c r="P328" s="570"/>
      <c r="Q328" s="570"/>
      <c r="R328" s="571"/>
      <c r="T328" s="18">
        <f t="shared" si="4"/>
        <v>0</v>
      </c>
      <c r="U328" s="338"/>
      <c r="V328" s="344"/>
      <c r="W328" s="344"/>
      <c r="X328" s="344"/>
      <c r="Y328" s="475"/>
    </row>
    <row r="329" spans="2:25" ht="66" x14ac:dyDescent="0.25">
      <c r="B329" s="375"/>
      <c r="C329" s="351"/>
      <c r="D329" s="71" t="s">
        <v>258</v>
      </c>
      <c r="E329" s="77" t="s">
        <v>671</v>
      </c>
      <c r="F329" s="576"/>
      <c r="G329" s="82">
        <f>'SQ_Auditoreingaben '!G326</f>
        <v>5</v>
      </c>
      <c r="H329" s="576"/>
      <c r="I329" s="104">
        <f>'1. Prüfung'!I329</f>
        <v>0</v>
      </c>
      <c r="J329" s="576"/>
      <c r="K329" s="69"/>
      <c r="L329" s="18">
        <v>5</v>
      </c>
      <c r="M329" s="364"/>
      <c r="N329" s="80"/>
      <c r="O329" s="106"/>
      <c r="P329" s="570"/>
      <c r="Q329" s="570"/>
      <c r="R329" s="571"/>
      <c r="T329" s="18">
        <f t="shared" si="4"/>
        <v>0</v>
      </c>
      <c r="U329" s="338"/>
      <c r="V329" s="344"/>
      <c r="W329" s="344"/>
      <c r="X329" s="344"/>
      <c r="Y329" s="475"/>
    </row>
    <row r="330" spans="2:25" ht="66" x14ac:dyDescent="0.25">
      <c r="B330" s="375"/>
      <c r="C330" s="351"/>
      <c r="D330" s="71" t="s">
        <v>259</v>
      </c>
      <c r="E330" s="77" t="s">
        <v>675</v>
      </c>
      <c r="F330" s="576"/>
      <c r="G330" s="82">
        <f>'SQ_Auditoreingaben '!G327</f>
        <v>10</v>
      </c>
      <c r="H330" s="576"/>
      <c r="I330" s="104">
        <f>'1. Prüfung'!I330</f>
        <v>0</v>
      </c>
      <c r="J330" s="576"/>
      <c r="K330" s="69"/>
      <c r="L330" s="18">
        <v>10</v>
      </c>
      <c r="M330" s="364"/>
      <c r="N330" s="80"/>
      <c r="O330" s="106"/>
      <c r="P330" s="570"/>
      <c r="Q330" s="570"/>
      <c r="R330" s="571"/>
      <c r="T330" s="18">
        <f t="shared" si="4"/>
        <v>0</v>
      </c>
      <c r="U330" s="338"/>
      <c r="V330" s="344"/>
      <c r="W330" s="344"/>
      <c r="X330" s="344"/>
      <c r="Y330" s="475"/>
    </row>
    <row r="331" spans="2:25" ht="39.6" x14ac:dyDescent="0.25">
      <c r="B331" s="375"/>
      <c r="C331" s="351"/>
      <c r="D331" s="71" t="s">
        <v>366</v>
      </c>
      <c r="E331" s="77" t="s">
        <v>674</v>
      </c>
      <c r="F331" s="576"/>
      <c r="G331" s="82">
        <f>'SQ_Auditoreingaben '!G328</f>
        <v>5</v>
      </c>
      <c r="H331" s="576"/>
      <c r="I331" s="104">
        <f>'1. Prüfung'!I331</f>
        <v>0</v>
      </c>
      <c r="J331" s="576"/>
      <c r="K331" s="69"/>
      <c r="L331" s="18">
        <v>5</v>
      </c>
      <c r="M331" s="364"/>
      <c r="N331" s="80"/>
      <c r="O331" s="106"/>
      <c r="P331" s="570"/>
      <c r="Q331" s="570"/>
      <c r="R331" s="571"/>
      <c r="T331" s="18">
        <f t="shared" si="4"/>
        <v>0</v>
      </c>
      <c r="U331" s="338"/>
      <c r="V331" s="344"/>
      <c r="W331" s="344"/>
      <c r="X331" s="344"/>
      <c r="Y331" s="475"/>
    </row>
    <row r="332" spans="2:25" s="76" customFormat="1" ht="27" customHeight="1" x14ac:dyDescent="0.25">
      <c r="B332" s="375"/>
      <c r="C332" s="392" t="s">
        <v>67</v>
      </c>
      <c r="D332" s="580" t="s">
        <v>672</v>
      </c>
      <c r="E332" s="580"/>
      <c r="F332" s="576"/>
      <c r="G332" s="113"/>
      <c r="H332" s="576"/>
      <c r="I332" s="113"/>
      <c r="J332" s="576"/>
      <c r="K332" s="113"/>
      <c r="L332" s="94">
        <v>10</v>
      </c>
      <c r="M332" s="364"/>
      <c r="N332" s="80"/>
      <c r="O332" s="106"/>
      <c r="P332" s="570"/>
      <c r="Q332" s="570"/>
      <c r="R332" s="571"/>
      <c r="T332" s="18">
        <f t="shared" si="4"/>
        <v>0</v>
      </c>
      <c r="U332" s="338"/>
      <c r="V332" s="344"/>
      <c r="W332" s="344"/>
      <c r="X332" s="344"/>
      <c r="Y332" s="475"/>
    </row>
    <row r="333" spans="2:25" ht="92.4" x14ac:dyDescent="0.25">
      <c r="B333" s="375"/>
      <c r="C333" s="392"/>
      <c r="D333" s="71" t="s">
        <v>69</v>
      </c>
      <c r="E333" s="77" t="s">
        <v>673</v>
      </c>
      <c r="F333" s="576"/>
      <c r="G333" s="82">
        <f>'SQ_Auditoreingaben '!G330</f>
        <v>10</v>
      </c>
      <c r="H333" s="576"/>
      <c r="I333" s="104">
        <f>'1. Prüfung'!I333</f>
        <v>0</v>
      </c>
      <c r="J333" s="576"/>
      <c r="K333" s="69"/>
      <c r="L333" s="18">
        <v>10</v>
      </c>
      <c r="M333" s="364"/>
      <c r="N333" s="80"/>
      <c r="O333" s="106"/>
      <c r="P333" s="570"/>
      <c r="Q333" s="570"/>
      <c r="R333" s="571"/>
      <c r="T333" s="18">
        <f t="shared" si="4"/>
        <v>0</v>
      </c>
      <c r="U333" s="339"/>
      <c r="V333" s="365"/>
      <c r="W333" s="365"/>
      <c r="X333" s="365"/>
      <c r="Y333" s="475"/>
    </row>
    <row r="334" spans="2:25" x14ac:dyDescent="0.25">
      <c r="B334" s="55" t="s">
        <v>378</v>
      </c>
      <c r="C334" s="354" t="s">
        <v>379</v>
      </c>
      <c r="D334" s="354"/>
      <c r="E334" s="354"/>
      <c r="F334" s="78">
        <f>'SQ_Auditoreingaben '!F331</f>
        <v>105</v>
      </c>
      <c r="G334" s="364"/>
      <c r="H334" s="105">
        <f>'1. Prüfung'!H334</f>
        <v>0</v>
      </c>
      <c r="I334" s="364"/>
      <c r="J334" s="91">
        <f>U334</f>
        <v>0</v>
      </c>
      <c r="K334" s="364"/>
      <c r="L334" s="21">
        <v>110</v>
      </c>
      <c r="M334" s="88">
        <v>4</v>
      </c>
      <c r="N334" s="80"/>
      <c r="O334" s="106"/>
      <c r="P334" s="570"/>
      <c r="Q334" s="570"/>
      <c r="R334" s="571"/>
      <c r="T334" s="18">
        <f t="shared" si="4"/>
        <v>0</v>
      </c>
      <c r="U334" s="337">
        <f>SUM(T336:T348)</f>
        <v>0</v>
      </c>
      <c r="V334" s="343">
        <f>U334/100</f>
        <v>0</v>
      </c>
      <c r="W334" s="474">
        <v>0.2</v>
      </c>
      <c r="X334" s="343">
        <f>IF((V334*M334+V349*M349+V370*M370+V391*M391+V421*M421)/(M334+M349+M370+M391+M421)&gt;1,1,(V334*M334+V349*M349+V370*M370+V391*M391+V421*M421)/(M334+M349+M370+M391+M421))</f>
        <v>0</v>
      </c>
      <c r="Y334" s="475"/>
    </row>
    <row r="335" spans="2:25" x14ac:dyDescent="0.25">
      <c r="B335" s="375"/>
      <c r="C335" s="351" t="s">
        <v>54</v>
      </c>
      <c r="D335" s="354" t="s">
        <v>380</v>
      </c>
      <c r="E335" s="354"/>
      <c r="F335" s="576"/>
      <c r="G335" s="364"/>
      <c r="H335" s="576"/>
      <c r="I335" s="364"/>
      <c r="J335" s="576"/>
      <c r="K335" s="364"/>
      <c r="L335" s="21">
        <v>40</v>
      </c>
      <c r="M335" s="364"/>
      <c r="N335" s="80"/>
      <c r="O335" s="106"/>
      <c r="P335" s="570"/>
      <c r="Q335" s="570"/>
      <c r="R335" s="571"/>
      <c r="T335" s="18">
        <f t="shared" si="4"/>
        <v>0</v>
      </c>
      <c r="U335" s="338"/>
      <c r="V335" s="344"/>
      <c r="W335" s="474"/>
      <c r="X335" s="344"/>
      <c r="Y335" s="475"/>
    </row>
    <row r="336" spans="2:25" ht="79.2" x14ac:dyDescent="0.25">
      <c r="B336" s="375"/>
      <c r="C336" s="351"/>
      <c r="D336" s="71" t="s">
        <v>58</v>
      </c>
      <c r="E336" s="77" t="s">
        <v>386</v>
      </c>
      <c r="F336" s="576"/>
      <c r="G336" s="82">
        <f>'SQ_Auditoreingaben '!G333</f>
        <v>10</v>
      </c>
      <c r="H336" s="576"/>
      <c r="I336" s="104">
        <f>'1. Prüfung'!I336</f>
        <v>0</v>
      </c>
      <c r="J336" s="576"/>
      <c r="K336" s="69"/>
      <c r="L336" s="18">
        <v>10</v>
      </c>
      <c r="M336" s="364"/>
      <c r="N336" s="80"/>
      <c r="O336" s="106"/>
      <c r="P336" s="570"/>
      <c r="Q336" s="570"/>
      <c r="R336" s="571"/>
      <c r="T336" s="18">
        <f t="shared" si="4"/>
        <v>0</v>
      </c>
      <c r="U336" s="338"/>
      <c r="V336" s="344"/>
      <c r="W336" s="474"/>
      <c r="X336" s="344"/>
      <c r="Y336" s="475"/>
    </row>
    <row r="337" spans="2:25" ht="66" x14ac:dyDescent="0.25">
      <c r="B337" s="375"/>
      <c r="C337" s="351"/>
      <c r="D337" s="71" t="s">
        <v>181</v>
      </c>
      <c r="E337" s="87" t="s">
        <v>676</v>
      </c>
      <c r="F337" s="576"/>
      <c r="G337" s="82">
        <f>'SQ_Auditoreingaben '!G334</f>
        <v>10</v>
      </c>
      <c r="H337" s="576"/>
      <c r="I337" s="104">
        <f>'1. Prüfung'!I337</f>
        <v>0</v>
      </c>
      <c r="J337" s="576"/>
      <c r="K337" s="69"/>
      <c r="L337" s="18">
        <v>10</v>
      </c>
      <c r="M337" s="364"/>
      <c r="N337" s="80"/>
      <c r="O337" s="106"/>
      <c r="P337" s="570"/>
      <c r="Q337" s="570"/>
      <c r="R337" s="571"/>
      <c r="T337" s="18">
        <f t="shared" si="4"/>
        <v>0</v>
      </c>
      <c r="U337" s="338"/>
      <c r="V337" s="344"/>
      <c r="W337" s="474"/>
      <c r="X337" s="344"/>
      <c r="Y337" s="475"/>
    </row>
    <row r="338" spans="2:25" ht="52.8" x14ac:dyDescent="0.25">
      <c r="B338" s="375"/>
      <c r="C338" s="351"/>
      <c r="D338" s="71" t="s">
        <v>246</v>
      </c>
      <c r="E338" s="77" t="s">
        <v>387</v>
      </c>
      <c r="F338" s="576"/>
      <c r="G338" s="82">
        <f>'SQ_Auditoreingaben '!G335</f>
        <v>6</v>
      </c>
      <c r="H338" s="576"/>
      <c r="I338" s="104">
        <f>'1. Prüfung'!I338</f>
        <v>0</v>
      </c>
      <c r="J338" s="576"/>
      <c r="K338" s="69"/>
      <c r="L338" s="18">
        <v>6</v>
      </c>
      <c r="M338" s="364"/>
      <c r="N338" s="80"/>
      <c r="O338" s="106"/>
      <c r="P338" s="570"/>
      <c r="Q338" s="570"/>
      <c r="R338" s="571"/>
      <c r="T338" s="18">
        <f t="shared" si="4"/>
        <v>0</v>
      </c>
      <c r="U338" s="338"/>
      <c r="V338" s="344"/>
      <c r="W338" s="474"/>
      <c r="X338" s="344"/>
      <c r="Y338" s="475"/>
    </row>
    <row r="339" spans="2:25" ht="66" x14ac:dyDescent="0.25">
      <c r="B339" s="375"/>
      <c r="C339" s="351"/>
      <c r="D339" s="71" t="s">
        <v>250</v>
      </c>
      <c r="E339" s="77" t="s">
        <v>388</v>
      </c>
      <c r="F339" s="576"/>
      <c r="G339" s="82">
        <f>'SQ_Auditoreingaben '!G336</f>
        <v>7</v>
      </c>
      <c r="H339" s="576"/>
      <c r="I339" s="104">
        <f>'1. Prüfung'!I339</f>
        <v>0</v>
      </c>
      <c r="J339" s="576"/>
      <c r="K339" s="69"/>
      <c r="L339" s="18">
        <v>7</v>
      </c>
      <c r="M339" s="364"/>
      <c r="N339" s="80"/>
      <c r="O339" s="106"/>
      <c r="P339" s="570"/>
      <c r="Q339" s="570"/>
      <c r="R339" s="571"/>
      <c r="T339" s="18">
        <f t="shared" si="4"/>
        <v>0</v>
      </c>
      <c r="U339" s="338"/>
      <c r="V339" s="344"/>
      <c r="W339" s="474"/>
      <c r="X339" s="344"/>
      <c r="Y339" s="475"/>
    </row>
    <row r="340" spans="2:25" ht="66" x14ac:dyDescent="0.25">
      <c r="B340" s="375"/>
      <c r="C340" s="351"/>
      <c r="D340" s="71" t="s">
        <v>121</v>
      </c>
      <c r="E340" s="77" t="s">
        <v>389</v>
      </c>
      <c r="F340" s="576"/>
      <c r="G340" s="82">
        <f>'SQ_Auditoreingaben '!G337</f>
        <v>7</v>
      </c>
      <c r="H340" s="576"/>
      <c r="I340" s="104">
        <f>'1. Prüfung'!I340</f>
        <v>0</v>
      </c>
      <c r="J340" s="576"/>
      <c r="K340" s="69"/>
      <c r="L340" s="18">
        <v>7</v>
      </c>
      <c r="M340" s="364"/>
      <c r="N340" s="80"/>
      <c r="O340" s="106"/>
      <c r="P340" s="570"/>
      <c r="Q340" s="570"/>
      <c r="R340" s="571"/>
      <c r="T340" s="18">
        <f t="shared" si="4"/>
        <v>0</v>
      </c>
      <c r="U340" s="338"/>
      <c r="V340" s="344"/>
      <c r="W340" s="474"/>
      <c r="X340" s="344"/>
      <c r="Y340" s="475"/>
    </row>
    <row r="341" spans="2:25" x14ac:dyDescent="0.25">
      <c r="B341" s="375"/>
      <c r="C341" s="351" t="s">
        <v>61</v>
      </c>
      <c r="D341" s="354" t="s">
        <v>381</v>
      </c>
      <c r="E341" s="354"/>
      <c r="F341" s="576"/>
      <c r="G341" s="113"/>
      <c r="H341" s="576"/>
      <c r="I341" s="113"/>
      <c r="J341" s="576"/>
      <c r="K341" s="113"/>
      <c r="L341" s="21">
        <v>20</v>
      </c>
      <c r="M341" s="364"/>
      <c r="N341" s="80"/>
      <c r="O341" s="106"/>
      <c r="P341" s="570"/>
      <c r="Q341" s="570"/>
      <c r="R341" s="571"/>
      <c r="T341" s="18">
        <f t="shared" si="4"/>
        <v>0</v>
      </c>
      <c r="U341" s="338"/>
      <c r="V341" s="344"/>
      <c r="W341" s="474"/>
      <c r="X341" s="344"/>
      <c r="Y341" s="475"/>
    </row>
    <row r="342" spans="2:25" ht="39.6" x14ac:dyDescent="0.25">
      <c r="B342" s="375"/>
      <c r="C342" s="351"/>
      <c r="D342" s="71" t="s">
        <v>63</v>
      </c>
      <c r="E342" s="77" t="s">
        <v>731</v>
      </c>
      <c r="F342" s="576"/>
      <c r="G342" s="82">
        <f>'SQ_Auditoreingaben '!G339</f>
        <v>20</v>
      </c>
      <c r="H342" s="576"/>
      <c r="I342" s="104">
        <f>'1. Prüfung'!I342</f>
        <v>0</v>
      </c>
      <c r="J342" s="576"/>
      <c r="K342" s="69"/>
      <c r="L342" s="18">
        <v>20</v>
      </c>
      <c r="M342" s="364"/>
      <c r="N342" s="80"/>
      <c r="O342" s="106"/>
      <c r="P342" s="570"/>
      <c r="Q342" s="570"/>
      <c r="R342" s="571"/>
      <c r="T342" s="18">
        <f t="shared" si="4"/>
        <v>0</v>
      </c>
      <c r="U342" s="338"/>
      <c r="V342" s="344"/>
      <c r="W342" s="474"/>
      <c r="X342" s="344"/>
      <c r="Y342" s="475"/>
    </row>
    <row r="343" spans="2:25" x14ac:dyDescent="0.25">
      <c r="B343" s="375"/>
      <c r="C343" s="351" t="s">
        <v>64</v>
      </c>
      <c r="D343" s="354" t="s">
        <v>382</v>
      </c>
      <c r="E343" s="354"/>
      <c r="F343" s="576"/>
      <c r="G343" s="113"/>
      <c r="H343" s="576"/>
      <c r="I343" s="113"/>
      <c r="J343" s="576"/>
      <c r="K343" s="113"/>
      <c r="L343" s="21">
        <v>40</v>
      </c>
      <c r="M343" s="364"/>
      <c r="N343" s="80"/>
      <c r="O343" s="106"/>
      <c r="P343" s="570"/>
      <c r="Q343" s="570"/>
      <c r="R343" s="571"/>
      <c r="T343" s="18">
        <f t="shared" si="4"/>
        <v>0</v>
      </c>
      <c r="U343" s="338"/>
      <c r="V343" s="344"/>
      <c r="W343" s="474"/>
      <c r="X343" s="344"/>
      <c r="Y343" s="475"/>
    </row>
    <row r="344" spans="2:25" ht="92.4" x14ac:dyDescent="0.25">
      <c r="B344" s="375"/>
      <c r="C344" s="351"/>
      <c r="D344" s="71" t="s">
        <v>66</v>
      </c>
      <c r="E344" s="77" t="s">
        <v>677</v>
      </c>
      <c r="F344" s="576"/>
      <c r="G344" s="82">
        <f>'SQ_Auditoreingaben '!G341</f>
        <v>30</v>
      </c>
      <c r="H344" s="576"/>
      <c r="I344" s="104">
        <f>'1. Prüfung'!I344</f>
        <v>0</v>
      </c>
      <c r="J344" s="576"/>
      <c r="K344" s="69"/>
      <c r="L344" s="18">
        <v>30</v>
      </c>
      <c r="M344" s="364"/>
      <c r="N344" s="80"/>
      <c r="O344" s="106"/>
      <c r="P344" s="570"/>
      <c r="Q344" s="570"/>
      <c r="R344" s="571"/>
      <c r="T344" s="18">
        <f t="shared" si="4"/>
        <v>0</v>
      </c>
      <c r="U344" s="338"/>
      <c r="V344" s="344"/>
      <c r="W344" s="474"/>
      <c r="X344" s="344"/>
      <c r="Y344" s="475"/>
    </row>
    <row r="345" spans="2:25" x14ac:dyDescent="0.25">
      <c r="B345" s="375"/>
      <c r="C345" s="351"/>
      <c r="D345" s="361" t="s">
        <v>188</v>
      </c>
      <c r="E345" s="84" t="s">
        <v>383</v>
      </c>
      <c r="F345" s="576"/>
      <c r="G345" s="113"/>
      <c r="H345" s="576"/>
      <c r="I345" s="113"/>
      <c r="J345" s="576"/>
      <c r="K345" s="113"/>
      <c r="L345" s="21">
        <v>10</v>
      </c>
      <c r="M345" s="364"/>
      <c r="N345" s="80"/>
      <c r="O345" s="106"/>
      <c r="P345" s="570"/>
      <c r="Q345" s="570"/>
      <c r="R345" s="571"/>
      <c r="T345" s="18">
        <f t="shared" si="4"/>
        <v>0</v>
      </c>
      <c r="U345" s="338"/>
      <c r="V345" s="344"/>
      <c r="W345" s="474"/>
      <c r="X345" s="344"/>
      <c r="Y345" s="475"/>
    </row>
    <row r="346" spans="2:25" ht="52.8" x14ac:dyDescent="0.25">
      <c r="B346" s="375"/>
      <c r="C346" s="351"/>
      <c r="D346" s="361"/>
      <c r="E346" s="77" t="s">
        <v>384</v>
      </c>
      <c r="F346" s="576"/>
      <c r="G346" s="82">
        <f>'SQ_Auditoreingaben '!G343</f>
        <v>10</v>
      </c>
      <c r="H346" s="576"/>
      <c r="I346" s="104">
        <f>'1. Prüfung'!I346</f>
        <v>0</v>
      </c>
      <c r="J346" s="576"/>
      <c r="K346" s="69"/>
      <c r="L346" s="18">
        <v>10</v>
      </c>
      <c r="M346" s="364"/>
      <c r="N346" s="80"/>
      <c r="O346" s="106"/>
      <c r="P346" s="570"/>
      <c r="Q346" s="570"/>
      <c r="R346" s="571"/>
      <c r="T346" s="18">
        <f t="shared" ref="T346:T409" si="5">IF(K346&gt;L346,L346,K346)</f>
        <v>0</v>
      </c>
      <c r="U346" s="338"/>
      <c r="V346" s="344"/>
      <c r="W346" s="474"/>
      <c r="X346" s="344"/>
      <c r="Y346" s="475"/>
    </row>
    <row r="347" spans="2:25" x14ac:dyDescent="0.25">
      <c r="B347" s="375"/>
      <c r="C347" s="351" t="s">
        <v>157</v>
      </c>
      <c r="D347" s="354" t="s">
        <v>385</v>
      </c>
      <c r="E347" s="354"/>
      <c r="F347" s="576"/>
      <c r="G347" s="113"/>
      <c r="H347" s="576"/>
      <c r="I347" s="113"/>
      <c r="J347" s="576"/>
      <c r="K347" s="113"/>
      <c r="L347" s="21">
        <v>10</v>
      </c>
      <c r="M347" s="364"/>
      <c r="N347" s="80"/>
      <c r="O347" s="106"/>
      <c r="P347" s="570"/>
      <c r="Q347" s="570"/>
      <c r="R347" s="571"/>
      <c r="T347" s="18">
        <f t="shared" si="5"/>
        <v>0</v>
      </c>
      <c r="U347" s="338"/>
      <c r="V347" s="344"/>
      <c r="W347" s="474"/>
      <c r="X347" s="344"/>
      <c r="Y347" s="475"/>
    </row>
    <row r="348" spans="2:25" ht="52.8" x14ac:dyDescent="0.25">
      <c r="B348" s="375"/>
      <c r="C348" s="351"/>
      <c r="D348" s="71" t="s">
        <v>159</v>
      </c>
      <c r="E348" s="77" t="s">
        <v>390</v>
      </c>
      <c r="F348" s="576"/>
      <c r="G348" s="82">
        <f>'SQ_Auditoreingaben '!G345</f>
        <v>5</v>
      </c>
      <c r="H348" s="576"/>
      <c r="I348" s="104">
        <f>'1. Prüfung'!I348</f>
        <v>0</v>
      </c>
      <c r="J348" s="576"/>
      <c r="K348" s="69"/>
      <c r="L348" s="18">
        <v>10</v>
      </c>
      <c r="M348" s="364"/>
      <c r="N348" s="80"/>
      <c r="O348" s="106"/>
      <c r="P348" s="570"/>
      <c r="Q348" s="570"/>
      <c r="R348" s="571"/>
      <c r="T348" s="18">
        <f t="shared" si="5"/>
        <v>0</v>
      </c>
      <c r="U348" s="339"/>
      <c r="V348" s="365"/>
      <c r="W348" s="474"/>
      <c r="X348" s="344"/>
      <c r="Y348" s="475"/>
    </row>
    <row r="349" spans="2:25" x14ac:dyDescent="0.25">
      <c r="B349" s="55" t="s">
        <v>391</v>
      </c>
      <c r="C349" s="354" t="s">
        <v>392</v>
      </c>
      <c r="D349" s="354"/>
      <c r="E349" s="354"/>
      <c r="F349" s="78">
        <f>'SQ_Auditoreingaben '!F348</f>
        <v>77.5</v>
      </c>
      <c r="G349" s="364"/>
      <c r="H349" s="105">
        <f>'1. Prüfung'!H349</f>
        <v>0</v>
      </c>
      <c r="I349" s="364"/>
      <c r="J349" s="91">
        <f>U349</f>
        <v>0</v>
      </c>
      <c r="K349" s="364"/>
      <c r="L349" s="21">
        <v>120</v>
      </c>
      <c r="M349" s="88">
        <v>2</v>
      </c>
      <c r="N349" s="80"/>
      <c r="O349" s="106"/>
      <c r="P349" s="570"/>
      <c r="Q349" s="570"/>
      <c r="R349" s="571"/>
      <c r="T349" s="18">
        <f t="shared" si="5"/>
        <v>0</v>
      </c>
      <c r="U349" s="337">
        <f>SUM(SUM(T351:T366),IF(T368+T369&gt;20,20,T368+T369))</f>
        <v>0</v>
      </c>
      <c r="V349" s="490">
        <f>U349/100</f>
        <v>0</v>
      </c>
      <c r="W349" s="474"/>
      <c r="X349" s="344"/>
      <c r="Y349" s="475"/>
    </row>
    <row r="350" spans="2:25" x14ac:dyDescent="0.25">
      <c r="B350" s="375"/>
      <c r="C350" s="351" t="s">
        <v>54</v>
      </c>
      <c r="D350" s="354" t="s">
        <v>393</v>
      </c>
      <c r="E350" s="354"/>
      <c r="F350" s="576"/>
      <c r="G350" s="364"/>
      <c r="H350" s="576"/>
      <c r="I350" s="364"/>
      <c r="J350" s="576"/>
      <c r="K350" s="364"/>
      <c r="L350" s="21">
        <v>10</v>
      </c>
      <c r="M350" s="364"/>
      <c r="N350" s="80"/>
      <c r="O350" s="106"/>
      <c r="P350" s="570"/>
      <c r="Q350" s="570"/>
      <c r="R350" s="571"/>
      <c r="T350" s="18">
        <f t="shared" si="5"/>
        <v>0</v>
      </c>
      <c r="U350" s="338"/>
      <c r="V350" s="491"/>
      <c r="W350" s="474"/>
      <c r="X350" s="344"/>
      <c r="Y350" s="475"/>
    </row>
    <row r="351" spans="2:25" ht="52.8" x14ac:dyDescent="0.25">
      <c r="B351" s="375"/>
      <c r="C351" s="351"/>
      <c r="D351" s="71" t="s">
        <v>58</v>
      </c>
      <c r="E351" s="77" t="s">
        <v>403</v>
      </c>
      <c r="F351" s="576"/>
      <c r="G351" s="82">
        <f>'SQ_Auditoreingaben '!G350</f>
        <v>0</v>
      </c>
      <c r="H351" s="576"/>
      <c r="I351" s="104">
        <f>'1. Prüfung'!I351</f>
        <v>0</v>
      </c>
      <c r="J351" s="576"/>
      <c r="K351" s="69"/>
      <c r="L351" s="18">
        <v>10</v>
      </c>
      <c r="M351" s="364"/>
      <c r="N351" s="80"/>
      <c r="O351" s="106"/>
      <c r="P351" s="570"/>
      <c r="Q351" s="570"/>
      <c r="R351" s="571"/>
      <c r="T351" s="18">
        <f t="shared" si="5"/>
        <v>0</v>
      </c>
      <c r="U351" s="338"/>
      <c r="V351" s="491"/>
      <c r="W351" s="474"/>
      <c r="X351" s="344"/>
      <c r="Y351" s="475"/>
    </row>
    <row r="352" spans="2:25" x14ac:dyDescent="0.25">
      <c r="B352" s="375"/>
      <c r="C352" s="351" t="s">
        <v>61</v>
      </c>
      <c r="D352" s="354" t="s">
        <v>394</v>
      </c>
      <c r="E352" s="354"/>
      <c r="F352" s="576"/>
      <c r="G352" s="113"/>
      <c r="H352" s="576"/>
      <c r="I352" s="113"/>
      <c r="J352" s="576"/>
      <c r="K352" s="113"/>
      <c r="L352" s="21">
        <v>10</v>
      </c>
      <c r="M352" s="364"/>
      <c r="N352" s="80"/>
      <c r="O352" s="106"/>
      <c r="P352" s="570"/>
      <c r="Q352" s="570"/>
      <c r="R352" s="571"/>
      <c r="T352" s="18">
        <f t="shared" si="5"/>
        <v>0</v>
      </c>
      <c r="U352" s="338"/>
      <c r="V352" s="491"/>
      <c r="W352" s="474"/>
      <c r="X352" s="344"/>
      <c r="Y352" s="475"/>
    </row>
    <row r="353" spans="2:25" ht="39.6" x14ac:dyDescent="0.25">
      <c r="B353" s="375"/>
      <c r="C353" s="351"/>
      <c r="D353" s="71" t="s">
        <v>63</v>
      </c>
      <c r="E353" s="77" t="s">
        <v>404</v>
      </c>
      <c r="F353" s="576"/>
      <c r="G353" s="82" t="e">
        <f>'SQ_Auditoreingaben '!#REF!</f>
        <v>#REF!</v>
      </c>
      <c r="H353" s="576"/>
      <c r="I353" s="104">
        <f>'1. Prüfung'!I353</f>
        <v>0</v>
      </c>
      <c r="J353" s="576"/>
      <c r="K353" s="69"/>
      <c r="L353" s="18">
        <v>10</v>
      </c>
      <c r="M353" s="364"/>
      <c r="N353" s="80"/>
      <c r="O353" s="106"/>
      <c r="P353" s="570"/>
      <c r="Q353" s="570"/>
      <c r="R353" s="571"/>
      <c r="T353" s="18">
        <f t="shared" si="5"/>
        <v>0</v>
      </c>
      <c r="U353" s="338"/>
      <c r="V353" s="491"/>
      <c r="W353" s="474"/>
      <c r="X353" s="344"/>
      <c r="Y353" s="475"/>
    </row>
    <row r="354" spans="2:25" x14ac:dyDescent="0.25">
      <c r="B354" s="375"/>
      <c r="C354" s="351" t="s">
        <v>64</v>
      </c>
      <c r="D354" s="354" t="s">
        <v>395</v>
      </c>
      <c r="E354" s="354"/>
      <c r="F354" s="576"/>
      <c r="G354" s="113"/>
      <c r="H354" s="576"/>
      <c r="I354" s="113"/>
      <c r="J354" s="576"/>
      <c r="K354" s="113"/>
      <c r="L354" s="21">
        <v>25</v>
      </c>
      <c r="M354" s="364"/>
      <c r="N354" s="80"/>
      <c r="O354" s="106"/>
      <c r="P354" s="570"/>
      <c r="Q354" s="570"/>
      <c r="R354" s="571"/>
      <c r="T354" s="18">
        <f t="shared" si="5"/>
        <v>0</v>
      </c>
      <c r="U354" s="338"/>
      <c r="V354" s="491"/>
      <c r="W354" s="474"/>
      <c r="X354" s="344"/>
      <c r="Y354" s="475"/>
    </row>
    <row r="355" spans="2:25" ht="66" x14ac:dyDescent="0.25">
      <c r="B355" s="375"/>
      <c r="C355" s="351"/>
      <c r="D355" s="71" t="s">
        <v>66</v>
      </c>
      <c r="E355" s="114" t="s">
        <v>678</v>
      </c>
      <c r="F355" s="576"/>
      <c r="G355" s="82">
        <f>'SQ_Auditoreingaben '!G353</f>
        <v>20</v>
      </c>
      <c r="H355" s="576"/>
      <c r="I355" s="104">
        <f>'1. Prüfung'!I355</f>
        <v>0</v>
      </c>
      <c r="J355" s="576"/>
      <c r="K355" s="69"/>
      <c r="L355" s="18">
        <v>8</v>
      </c>
      <c r="M355" s="364"/>
      <c r="N355" s="80"/>
      <c r="O355" s="106"/>
      <c r="P355" s="570"/>
      <c r="Q355" s="570"/>
      <c r="R355" s="571"/>
      <c r="T355" s="18">
        <f t="shared" si="5"/>
        <v>0</v>
      </c>
      <c r="U355" s="338"/>
      <c r="V355" s="491"/>
      <c r="W355" s="474"/>
      <c r="X355" s="344"/>
      <c r="Y355" s="475"/>
    </row>
    <row r="356" spans="2:25" ht="92.4" x14ac:dyDescent="0.25">
      <c r="B356" s="375"/>
      <c r="C356" s="351"/>
      <c r="D356" s="71" t="s">
        <v>188</v>
      </c>
      <c r="E356" s="77" t="s">
        <v>405</v>
      </c>
      <c r="F356" s="576"/>
      <c r="G356" s="82">
        <f>'SQ_Auditoreingaben '!G354</f>
        <v>0</v>
      </c>
      <c r="H356" s="576"/>
      <c r="I356" s="104">
        <f>'1. Prüfung'!I356</f>
        <v>0</v>
      </c>
      <c r="J356" s="576"/>
      <c r="K356" s="69"/>
      <c r="L356" s="18">
        <v>7</v>
      </c>
      <c r="M356" s="364"/>
      <c r="N356" s="80"/>
      <c r="O356" s="106"/>
      <c r="P356" s="570"/>
      <c r="Q356" s="570"/>
      <c r="R356" s="571"/>
      <c r="T356" s="18">
        <f t="shared" si="5"/>
        <v>0</v>
      </c>
      <c r="U356" s="338"/>
      <c r="V356" s="491"/>
      <c r="W356" s="474"/>
      <c r="X356" s="344"/>
      <c r="Y356" s="475"/>
    </row>
    <row r="357" spans="2:25" ht="118.8" x14ac:dyDescent="0.25">
      <c r="B357" s="375"/>
      <c r="C357" s="351"/>
      <c r="D357" s="71" t="s">
        <v>396</v>
      </c>
      <c r="E357" s="77" t="s">
        <v>406</v>
      </c>
      <c r="F357" s="576"/>
      <c r="G357" s="82" t="e">
        <f>'SQ_Auditoreingaben '!#REF!</f>
        <v>#REF!</v>
      </c>
      <c r="H357" s="576"/>
      <c r="I357" s="104">
        <f>'1. Prüfung'!I357</f>
        <v>0</v>
      </c>
      <c r="J357" s="576"/>
      <c r="K357" s="69"/>
      <c r="L357" s="18">
        <v>10</v>
      </c>
      <c r="M357" s="364"/>
      <c r="N357" s="80"/>
      <c r="O357" s="106"/>
      <c r="P357" s="570"/>
      <c r="Q357" s="570"/>
      <c r="R357" s="571"/>
      <c r="T357" s="18">
        <f t="shared" si="5"/>
        <v>0</v>
      </c>
      <c r="U357" s="338"/>
      <c r="V357" s="491"/>
      <c r="W357" s="474"/>
      <c r="X357" s="344"/>
      <c r="Y357" s="475"/>
    </row>
    <row r="358" spans="2:25" x14ac:dyDescent="0.25">
      <c r="B358" s="375"/>
      <c r="C358" s="351" t="s">
        <v>67</v>
      </c>
      <c r="D358" s="354" t="s">
        <v>397</v>
      </c>
      <c r="E358" s="354"/>
      <c r="F358" s="576"/>
      <c r="G358" s="113"/>
      <c r="H358" s="576"/>
      <c r="I358" s="113"/>
      <c r="J358" s="576"/>
      <c r="K358" s="113"/>
      <c r="L358" s="21">
        <v>20</v>
      </c>
      <c r="M358" s="364"/>
      <c r="N358" s="80"/>
      <c r="O358" s="106"/>
      <c r="P358" s="570"/>
      <c r="Q358" s="570"/>
      <c r="R358" s="571"/>
      <c r="T358" s="18">
        <f t="shared" si="5"/>
        <v>0</v>
      </c>
      <c r="U358" s="338"/>
      <c r="V358" s="491"/>
      <c r="W358" s="474"/>
      <c r="X358" s="344"/>
      <c r="Y358" s="475"/>
    </row>
    <row r="359" spans="2:25" ht="39.6" x14ac:dyDescent="0.25">
      <c r="B359" s="375"/>
      <c r="C359" s="351"/>
      <c r="D359" s="71" t="s">
        <v>69</v>
      </c>
      <c r="E359" s="77" t="s">
        <v>407</v>
      </c>
      <c r="F359" s="576"/>
      <c r="G359" s="82">
        <f>'SQ_Auditoreingaben '!G356</f>
        <v>10</v>
      </c>
      <c r="H359" s="576"/>
      <c r="I359" s="104">
        <f>'1. Prüfung'!I359</f>
        <v>0</v>
      </c>
      <c r="J359" s="576"/>
      <c r="K359" s="69"/>
      <c r="L359" s="18">
        <v>5</v>
      </c>
      <c r="M359" s="364"/>
      <c r="N359" s="80"/>
      <c r="O359" s="106"/>
      <c r="P359" s="570"/>
      <c r="Q359" s="570"/>
      <c r="R359" s="571"/>
      <c r="T359" s="18">
        <f t="shared" si="5"/>
        <v>0</v>
      </c>
      <c r="U359" s="338"/>
      <c r="V359" s="491"/>
      <c r="W359" s="474"/>
      <c r="X359" s="344"/>
      <c r="Y359" s="475"/>
    </row>
    <row r="360" spans="2:25" ht="79.2" x14ac:dyDescent="0.25">
      <c r="B360" s="375"/>
      <c r="C360" s="351"/>
      <c r="D360" s="71" t="s">
        <v>78</v>
      </c>
      <c r="E360" s="77" t="s">
        <v>408</v>
      </c>
      <c r="F360" s="576"/>
      <c r="G360" s="82">
        <f>'SQ_Auditoreingaben '!G357</f>
        <v>10</v>
      </c>
      <c r="H360" s="576"/>
      <c r="I360" s="104">
        <f>'1. Prüfung'!I360</f>
        <v>0</v>
      </c>
      <c r="J360" s="576"/>
      <c r="K360" s="69"/>
      <c r="L360" s="18">
        <v>15</v>
      </c>
      <c r="M360" s="364"/>
      <c r="N360" s="80"/>
      <c r="O360" s="106"/>
      <c r="P360" s="570"/>
      <c r="Q360" s="570"/>
      <c r="R360" s="571"/>
      <c r="T360" s="18">
        <f t="shared" si="5"/>
        <v>0</v>
      </c>
      <c r="U360" s="338"/>
      <c r="V360" s="491"/>
      <c r="W360" s="474"/>
      <c r="X360" s="344"/>
      <c r="Y360" s="475"/>
    </row>
    <row r="361" spans="2:25" x14ac:dyDescent="0.25">
      <c r="B361" s="375"/>
      <c r="C361" s="351" t="s">
        <v>154</v>
      </c>
      <c r="D361" s="354" t="s">
        <v>398</v>
      </c>
      <c r="E361" s="354"/>
      <c r="F361" s="576"/>
      <c r="G361" s="113"/>
      <c r="H361" s="576"/>
      <c r="I361" s="113"/>
      <c r="J361" s="576"/>
      <c r="K361" s="113"/>
      <c r="L361" s="21">
        <v>35</v>
      </c>
      <c r="M361" s="364"/>
      <c r="N361" s="80"/>
      <c r="O361" s="106"/>
      <c r="P361" s="570"/>
      <c r="Q361" s="570"/>
      <c r="R361" s="571"/>
      <c r="T361" s="18">
        <f t="shared" si="5"/>
        <v>0</v>
      </c>
      <c r="U361" s="338"/>
      <c r="V361" s="491"/>
      <c r="W361" s="474"/>
      <c r="X361" s="344"/>
      <c r="Y361" s="475"/>
    </row>
    <row r="362" spans="2:25" ht="184.8" x14ac:dyDescent="0.25">
      <c r="B362" s="375"/>
      <c r="C362" s="351"/>
      <c r="D362" s="71" t="s">
        <v>156</v>
      </c>
      <c r="E362" s="114" t="s">
        <v>732</v>
      </c>
      <c r="F362" s="576"/>
      <c r="G362" s="82">
        <f>'SQ_Auditoreingaben '!G359</f>
        <v>15</v>
      </c>
      <c r="H362" s="576"/>
      <c r="I362" s="104">
        <f>'1. Prüfung'!I362</f>
        <v>0</v>
      </c>
      <c r="J362" s="576"/>
      <c r="K362" s="69"/>
      <c r="L362" s="18">
        <v>15</v>
      </c>
      <c r="M362" s="364"/>
      <c r="N362" s="80"/>
      <c r="O362" s="106"/>
      <c r="P362" s="570"/>
      <c r="Q362" s="570"/>
      <c r="R362" s="571"/>
      <c r="T362" s="18">
        <f t="shared" si="5"/>
        <v>0</v>
      </c>
      <c r="U362" s="338"/>
      <c r="V362" s="491"/>
      <c r="W362" s="474"/>
      <c r="X362" s="344"/>
      <c r="Y362" s="475"/>
    </row>
    <row r="363" spans="2:25" x14ac:dyDescent="0.25">
      <c r="B363" s="375"/>
      <c r="C363" s="351"/>
      <c r="D363" s="361" t="s">
        <v>218</v>
      </c>
      <c r="E363" s="95" t="s">
        <v>399</v>
      </c>
      <c r="F363" s="576"/>
      <c r="G363" s="113"/>
      <c r="H363" s="576"/>
      <c r="I363" s="113"/>
      <c r="J363" s="576"/>
      <c r="K363" s="113"/>
      <c r="L363" s="21">
        <v>10</v>
      </c>
      <c r="M363" s="364"/>
      <c r="N363" s="80"/>
      <c r="O363" s="106"/>
      <c r="P363" s="570"/>
      <c r="Q363" s="570"/>
      <c r="R363" s="571"/>
      <c r="T363" s="18">
        <f t="shared" si="5"/>
        <v>0</v>
      </c>
      <c r="U363" s="338"/>
      <c r="V363" s="491"/>
      <c r="W363" s="474"/>
      <c r="X363" s="344"/>
      <c r="Y363" s="475"/>
    </row>
    <row r="364" spans="2:25" ht="26.4" x14ac:dyDescent="0.25">
      <c r="B364" s="375"/>
      <c r="C364" s="351"/>
      <c r="D364" s="361"/>
      <c r="E364" s="77" t="s">
        <v>400</v>
      </c>
      <c r="F364" s="576"/>
      <c r="G364" s="82">
        <f>'SQ_Auditoreingaben '!G361</f>
        <v>2.5</v>
      </c>
      <c r="H364" s="576"/>
      <c r="I364" s="104">
        <f>'1. Prüfung'!I364</f>
        <v>0</v>
      </c>
      <c r="J364" s="576"/>
      <c r="K364" s="69"/>
      <c r="L364" s="18">
        <v>5</v>
      </c>
      <c r="M364" s="364"/>
      <c r="N364" s="80"/>
      <c r="O364" s="106"/>
      <c r="P364" s="570"/>
      <c r="Q364" s="570"/>
      <c r="R364" s="571"/>
      <c r="T364" s="18">
        <f t="shared" si="5"/>
        <v>0</v>
      </c>
      <c r="U364" s="338"/>
      <c r="V364" s="491"/>
      <c r="W364" s="474"/>
      <c r="X364" s="344"/>
      <c r="Y364" s="475"/>
    </row>
    <row r="365" spans="2:25" ht="52.8" x14ac:dyDescent="0.25">
      <c r="B365" s="375"/>
      <c r="C365" s="351"/>
      <c r="D365" s="361"/>
      <c r="E365" s="77" t="s">
        <v>401</v>
      </c>
      <c r="F365" s="576"/>
      <c r="G365" s="82">
        <f>'SQ_Auditoreingaben '!G362</f>
        <v>0</v>
      </c>
      <c r="H365" s="576"/>
      <c r="I365" s="104">
        <f>'1. Prüfung'!I365</f>
        <v>0</v>
      </c>
      <c r="J365" s="576"/>
      <c r="K365" s="69"/>
      <c r="L365" s="18">
        <v>5</v>
      </c>
      <c r="M365" s="364"/>
      <c r="N365" s="80"/>
      <c r="O365" s="106"/>
      <c r="P365" s="570"/>
      <c r="Q365" s="570"/>
      <c r="R365" s="571"/>
      <c r="T365" s="18">
        <f t="shared" si="5"/>
        <v>0</v>
      </c>
      <c r="U365" s="338"/>
      <c r="V365" s="491"/>
      <c r="W365" s="474"/>
      <c r="X365" s="344"/>
      <c r="Y365" s="475"/>
    </row>
    <row r="366" spans="2:25" ht="52.8" x14ac:dyDescent="0.25">
      <c r="B366" s="375"/>
      <c r="C366" s="351"/>
      <c r="D366" s="71" t="s">
        <v>679</v>
      </c>
      <c r="E366" s="77" t="s">
        <v>680</v>
      </c>
      <c r="F366" s="576"/>
      <c r="G366" s="82">
        <f>'SQ_Auditoreingaben '!G363</f>
        <v>10</v>
      </c>
      <c r="H366" s="576"/>
      <c r="I366" s="104">
        <f>'1. Prüfung'!I366</f>
        <v>0</v>
      </c>
      <c r="J366" s="576"/>
      <c r="K366" s="69"/>
      <c r="L366" s="18">
        <v>10</v>
      </c>
      <c r="M366" s="364"/>
      <c r="N366" s="80"/>
      <c r="O366" s="106"/>
      <c r="P366" s="570"/>
      <c r="Q366" s="570"/>
      <c r="R366" s="571"/>
      <c r="T366" s="18">
        <f t="shared" si="5"/>
        <v>0</v>
      </c>
      <c r="U366" s="338"/>
      <c r="V366" s="491"/>
      <c r="W366" s="474"/>
      <c r="X366" s="344"/>
      <c r="Y366" s="475"/>
    </row>
    <row r="367" spans="2:25" x14ac:dyDescent="0.25">
      <c r="B367" s="375"/>
      <c r="C367" s="351" t="s">
        <v>157</v>
      </c>
      <c r="D367" s="354" t="s">
        <v>402</v>
      </c>
      <c r="E367" s="354"/>
      <c r="F367" s="576"/>
      <c r="G367" s="113"/>
      <c r="H367" s="576"/>
      <c r="I367" s="113"/>
      <c r="J367" s="576"/>
      <c r="K367" s="113"/>
      <c r="L367" s="21">
        <v>20</v>
      </c>
      <c r="M367" s="364"/>
      <c r="N367" s="80"/>
      <c r="O367" s="106"/>
      <c r="P367" s="570"/>
      <c r="Q367" s="570"/>
      <c r="R367" s="571"/>
      <c r="T367" s="18">
        <f t="shared" si="5"/>
        <v>0</v>
      </c>
      <c r="U367" s="338"/>
      <c r="V367" s="491"/>
      <c r="W367" s="474"/>
      <c r="X367" s="344"/>
      <c r="Y367" s="475"/>
    </row>
    <row r="368" spans="2:25" ht="92.4" x14ac:dyDescent="0.25">
      <c r="B368" s="375"/>
      <c r="C368" s="351"/>
      <c r="D368" s="71" t="s">
        <v>159</v>
      </c>
      <c r="E368" s="77" t="s">
        <v>409</v>
      </c>
      <c r="F368" s="576"/>
      <c r="G368" s="82">
        <f>'SQ_Auditoreingaben '!G365</f>
        <v>10</v>
      </c>
      <c r="H368" s="576"/>
      <c r="I368" s="104">
        <f>'1. Prüfung'!I368</f>
        <v>0</v>
      </c>
      <c r="J368" s="576"/>
      <c r="K368" s="69"/>
      <c r="L368" s="18">
        <v>20</v>
      </c>
      <c r="M368" s="364"/>
      <c r="N368" s="80"/>
      <c r="O368" s="106"/>
      <c r="P368" s="570"/>
      <c r="Q368" s="570"/>
      <c r="R368" s="571"/>
      <c r="T368" s="18">
        <f t="shared" si="5"/>
        <v>0</v>
      </c>
      <c r="U368" s="338"/>
      <c r="V368" s="491"/>
      <c r="W368" s="474"/>
      <c r="X368" s="344"/>
      <c r="Y368" s="475"/>
    </row>
    <row r="369" spans="2:25" ht="79.2" x14ac:dyDescent="0.25">
      <c r="B369" s="375"/>
      <c r="C369" s="351"/>
      <c r="D369" s="71" t="s">
        <v>160</v>
      </c>
      <c r="E369" s="77" t="s">
        <v>410</v>
      </c>
      <c r="F369" s="576"/>
      <c r="G369" s="82">
        <f>'SQ_Auditoreingaben '!G366</f>
        <v>0</v>
      </c>
      <c r="H369" s="576"/>
      <c r="I369" s="104">
        <f>'1. Prüfung'!I369</f>
        <v>0</v>
      </c>
      <c r="J369" s="576"/>
      <c r="K369" s="69"/>
      <c r="L369" s="18">
        <v>10</v>
      </c>
      <c r="M369" s="364"/>
      <c r="N369" s="80"/>
      <c r="O369" s="106"/>
      <c r="P369" s="570"/>
      <c r="Q369" s="570"/>
      <c r="R369" s="571"/>
      <c r="T369" s="18">
        <f t="shared" si="5"/>
        <v>0</v>
      </c>
      <c r="U369" s="339"/>
      <c r="V369" s="492"/>
      <c r="W369" s="474"/>
      <c r="X369" s="344"/>
      <c r="Y369" s="475"/>
    </row>
    <row r="370" spans="2:25" x14ac:dyDescent="0.25">
      <c r="B370" s="55" t="s">
        <v>411</v>
      </c>
      <c r="C370" s="354" t="s">
        <v>412</v>
      </c>
      <c r="D370" s="354"/>
      <c r="E370" s="354"/>
      <c r="F370" s="78">
        <f>'SQ_Auditoreingaben '!F367</f>
        <v>55</v>
      </c>
      <c r="G370" s="364"/>
      <c r="H370" s="105">
        <f>'1. Prüfung'!H370</f>
        <v>0</v>
      </c>
      <c r="I370" s="364"/>
      <c r="J370" s="91">
        <f>U370</f>
        <v>0</v>
      </c>
      <c r="K370" s="364"/>
      <c r="L370" s="21">
        <v>100</v>
      </c>
      <c r="M370" s="88">
        <v>2</v>
      </c>
      <c r="N370" s="80"/>
      <c r="O370" s="106"/>
      <c r="P370" s="570"/>
      <c r="Q370" s="570"/>
      <c r="R370" s="571"/>
      <c r="T370" s="18">
        <f t="shared" si="5"/>
        <v>0</v>
      </c>
      <c r="U370" s="337">
        <f>SUM(T372:T390)</f>
        <v>0</v>
      </c>
      <c r="V370" s="343">
        <f>U370/100</f>
        <v>0</v>
      </c>
      <c r="W370" s="474"/>
      <c r="X370" s="344"/>
      <c r="Y370" s="475"/>
    </row>
    <row r="371" spans="2:25" x14ac:dyDescent="0.25">
      <c r="B371" s="375"/>
      <c r="C371" s="351" t="s">
        <v>54</v>
      </c>
      <c r="D371" s="354" t="s">
        <v>413</v>
      </c>
      <c r="E371" s="354"/>
      <c r="F371" s="576"/>
      <c r="G371" s="364"/>
      <c r="H371" s="576"/>
      <c r="I371" s="364"/>
      <c r="J371" s="576"/>
      <c r="K371" s="364"/>
      <c r="L371" s="21">
        <v>15</v>
      </c>
      <c r="M371" s="364"/>
      <c r="N371" s="80"/>
      <c r="O371" s="106"/>
      <c r="P371" s="570"/>
      <c r="Q371" s="570"/>
      <c r="R371" s="571"/>
      <c r="T371" s="18">
        <f t="shared" si="5"/>
        <v>0</v>
      </c>
      <c r="U371" s="338"/>
      <c r="V371" s="344"/>
      <c r="W371" s="474"/>
      <c r="X371" s="344"/>
      <c r="Y371" s="475"/>
    </row>
    <row r="372" spans="2:25" ht="92.4" x14ac:dyDescent="0.25">
      <c r="B372" s="375"/>
      <c r="C372" s="351"/>
      <c r="D372" s="57" t="s">
        <v>58</v>
      </c>
      <c r="E372" s="77" t="s">
        <v>434</v>
      </c>
      <c r="F372" s="576"/>
      <c r="G372" s="82">
        <f>'SQ_Auditoreingaben '!G369</f>
        <v>30</v>
      </c>
      <c r="H372" s="576"/>
      <c r="I372" s="104">
        <f>'1. Prüfung'!I372</f>
        <v>0</v>
      </c>
      <c r="J372" s="576"/>
      <c r="K372" s="69"/>
      <c r="L372" s="18">
        <v>10</v>
      </c>
      <c r="M372" s="364"/>
      <c r="N372" s="80"/>
      <c r="O372" s="106"/>
      <c r="P372" s="570"/>
      <c r="Q372" s="570"/>
      <c r="R372" s="571"/>
      <c r="T372" s="18">
        <f t="shared" si="5"/>
        <v>0</v>
      </c>
      <c r="U372" s="338"/>
      <c r="V372" s="344"/>
      <c r="W372" s="474"/>
      <c r="X372" s="344"/>
      <c r="Y372" s="475"/>
    </row>
    <row r="373" spans="2:25" ht="66" x14ac:dyDescent="0.25">
      <c r="B373" s="375"/>
      <c r="C373" s="351"/>
      <c r="D373" s="71" t="s">
        <v>181</v>
      </c>
      <c r="E373" s="77" t="s">
        <v>433</v>
      </c>
      <c r="F373" s="576"/>
      <c r="G373" s="82" t="e">
        <f>'SQ_Auditoreingaben '!#REF!</f>
        <v>#REF!</v>
      </c>
      <c r="H373" s="576"/>
      <c r="I373" s="104">
        <f>'1. Prüfung'!I373</f>
        <v>0</v>
      </c>
      <c r="J373" s="576"/>
      <c r="K373" s="69"/>
      <c r="L373" s="18">
        <v>5</v>
      </c>
      <c r="M373" s="364"/>
      <c r="N373" s="80"/>
      <c r="O373" s="106"/>
      <c r="P373" s="570"/>
      <c r="Q373" s="570"/>
      <c r="R373" s="571"/>
      <c r="T373" s="18">
        <f t="shared" si="5"/>
        <v>0</v>
      </c>
      <c r="U373" s="338"/>
      <c r="V373" s="344"/>
      <c r="W373" s="474"/>
      <c r="X373" s="344"/>
      <c r="Y373" s="475"/>
    </row>
    <row r="374" spans="2:25" x14ac:dyDescent="0.25">
      <c r="B374" s="375"/>
      <c r="C374" s="351" t="s">
        <v>61</v>
      </c>
      <c r="D374" s="354" t="s">
        <v>414</v>
      </c>
      <c r="E374" s="354"/>
      <c r="F374" s="576"/>
      <c r="G374" s="356"/>
      <c r="H374" s="576"/>
      <c r="I374" s="356"/>
      <c r="J374" s="576"/>
      <c r="K374" s="356"/>
      <c r="L374" s="21">
        <v>40</v>
      </c>
      <c r="M374" s="364"/>
      <c r="N374" s="80"/>
      <c r="O374" s="106"/>
      <c r="P374" s="570"/>
      <c r="Q374" s="570"/>
      <c r="R374" s="571"/>
      <c r="T374" s="18">
        <f t="shared" si="5"/>
        <v>0</v>
      </c>
      <c r="U374" s="338"/>
      <c r="V374" s="344"/>
      <c r="W374" s="474"/>
      <c r="X374" s="344"/>
      <c r="Y374" s="475"/>
    </row>
    <row r="375" spans="2:25" x14ac:dyDescent="0.25">
      <c r="B375" s="375"/>
      <c r="C375" s="351"/>
      <c r="D375" s="361" t="s">
        <v>63</v>
      </c>
      <c r="E375" s="90" t="s">
        <v>415</v>
      </c>
      <c r="F375" s="576"/>
      <c r="G375" s="356"/>
      <c r="H375" s="576"/>
      <c r="I375" s="356"/>
      <c r="J375" s="576"/>
      <c r="K375" s="356"/>
      <c r="L375" s="21">
        <v>15</v>
      </c>
      <c r="M375" s="364"/>
      <c r="N375" s="80"/>
      <c r="O375" s="106"/>
      <c r="P375" s="570"/>
      <c r="Q375" s="570"/>
      <c r="R375" s="571"/>
      <c r="T375" s="18">
        <f t="shared" si="5"/>
        <v>0</v>
      </c>
      <c r="U375" s="338"/>
      <c r="V375" s="344"/>
      <c r="W375" s="474"/>
      <c r="X375" s="344"/>
      <c r="Y375" s="475"/>
    </row>
    <row r="376" spans="2:25" ht="66" x14ac:dyDescent="0.25">
      <c r="B376" s="375"/>
      <c r="C376" s="351"/>
      <c r="D376" s="361"/>
      <c r="E376" s="77" t="s">
        <v>416</v>
      </c>
      <c r="F376" s="576"/>
      <c r="G376" s="82">
        <f>'SQ_Auditoreingaben '!G372</f>
        <v>25</v>
      </c>
      <c r="H376" s="576"/>
      <c r="I376" s="104">
        <f>'1. Prüfung'!I376</f>
        <v>0</v>
      </c>
      <c r="J376" s="576"/>
      <c r="K376" s="69"/>
      <c r="L376" s="18">
        <v>5</v>
      </c>
      <c r="M376" s="364"/>
      <c r="N376" s="80"/>
      <c r="O376" s="106"/>
      <c r="P376" s="570"/>
      <c r="Q376" s="570"/>
      <c r="R376" s="571"/>
      <c r="T376" s="18">
        <f t="shared" si="5"/>
        <v>0</v>
      </c>
      <c r="U376" s="338"/>
      <c r="V376" s="344"/>
      <c r="W376" s="474"/>
      <c r="X376" s="344"/>
      <c r="Y376" s="475"/>
    </row>
    <row r="377" spans="2:25" ht="39.6" x14ac:dyDescent="0.25">
      <c r="B377" s="375"/>
      <c r="C377" s="351"/>
      <c r="D377" s="361"/>
      <c r="E377" s="77" t="s">
        <v>417</v>
      </c>
      <c r="F377" s="576"/>
      <c r="G377" s="82" t="e">
        <f>'SQ_Auditoreingaben '!#REF!</f>
        <v>#REF!</v>
      </c>
      <c r="H377" s="576"/>
      <c r="I377" s="104">
        <f>'1. Prüfung'!I377</f>
        <v>0</v>
      </c>
      <c r="J377" s="576"/>
      <c r="K377" s="69"/>
      <c r="L377" s="18">
        <v>10</v>
      </c>
      <c r="M377" s="364"/>
      <c r="N377" s="80"/>
      <c r="O377" s="106"/>
      <c r="P377" s="570"/>
      <c r="Q377" s="570"/>
      <c r="R377" s="571"/>
      <c r="T377" s="18">
        <f t="shared" si="5"/>
        <v>0</v>
      </c>
      <c r="U377" s="338"/>
      <c r="V377" s="344"/>
      <c r="W377" s="474"/>
      <c r="X377" s="344"/>
      <c r="Y377" s="475"/>
    </row>
    <row r="378" spans="2:25" ht="52.8" x14ac:dyDescent="0.25">
      <c r="B378" s="375"/>
      <c r="C378" s="351"/>
      <c r="D378" s="71" t="s">
        <v>186</v>
      </c>
      <c r="E378" s="77" t="s">
        <v>424</v>
      </c>
      <c r="F378" s="576"/>
      <c r="G378" s="82">
        <f>'SQ_Auditoreingaben '!G373</f>
        <v>0</v>
      </c>
      <c r="H378" s="576"/>
      <c r="I378" s="104">
        <f>'1. Prüfung'!I378</f>
        <v>0</v>
      </c>
      <c r="J378" s="576"/>
      <c r="K378" s="69"/>
      <c r="L378" s="18">
        <v>10</v>
      </c>
      <c r="M378" s="364"/>
      <c r="N378" s="80"/>
      <c r="O378" s="106"/>
      <c r="P378" s="570"/>
      <c r="Q378" s="570"/>
      <c r="R378" s="571"/>
      <c r="T378" s="18">
        <f t="shared" si="5"/>
        <v>0</v>
      </c>
      <c r="U378" s="338"/>
      <c r="V378" s="344"/>
      <c r="W378" s="474"/>
      <c r="X378" s="344"/>
      <c r="Y378" s="475"/>
    </row>
    <row r="379" spans="2:25" ht="39.6" x14ac:dyDescent="0.25">
      <c r="B379" s="375"/>
      <c r="C379" s="351"/>
      <c r="D379" s="71" t="s">
        <v>255</v>
      </c>
      <c r="E379" s="77" t="s">
        <v>425</v>
      </c>
      <c r="F379" s="576"/>
      <c r="G379" s="82">
        <f>'SQ_Auditoreingaben '!G374</f>
        <v>0</v>
      </c>
      <c r="H379" s="576"/>
      <c r="I379" s="104">
        <f>'1. Prüfung'!I379</f>
        <v>0</v>
      </c>
      <c r="J379" s="576"/>
      <c r="K379" s="69"/>
      <c r="L379" s="18">
        <v>10</v>
      </c>
      <c r="M379" s="364"/>
      <c r="N379" s="80"/>
      <c r="O379" s="106"/>
      <c r="P379" s="570"/>
      <c r="Q379" s="570"/>
      <c r="R379" s="571"/>
      <c r="T379" s="18">
        <f t="shared" si="5"/>
        <v>0</v>
      </c>
      <c r="U379" s="338"/>
      <c r="V379" s="344"/>
      <c r="W379" s="474"/>
      <c r="X379" s="344"/>
      <c r="Y379" s="475"/>
    </row>
    <row r="380" spans="2:25" ht="52.8" x14ac:dyDescent="0.25">
      <c r="B380" s="375"/>
      <c r="C380" s="351"/>
      <c r="D380" s="71" t="s">
        <v>256</v>
      </c>
      <c r="E380" s="77" t="s">
        <v>426</v>
      </c>
      <c r="F380" s="576"/>
      <c r="G380" s="82" t="e">
        <f>'SQ_Auditoreingaben '!#REF!</f>
        <v>#REF!</v>
      </c>
      <c r="H380" s="576"/>
      <c r="I380" s="104">
        <f>'1. Prüfung'!I380</f>
        <v>0</v>
      </c>
      <c r="J380" s="576"/>
      <c r="K380" s="69"/>
      <c r="L380" s="18">
        <v>5</v>
      </c>
      <c r="M380" s="364"/>
      <c r="N380" s="80"/>
      <c r="O380" s="106"/>
      <c r="P380" s="570"/>
      <c r="Q380" s="570"/>
      <c r="R380" s="571"/>
      <c r="T380" s="18">
        <f t="shared" si="5"/>
        <v>0</v>
      </c>
      <c r="U380" s="338"/>
      <c r="V380" s="344"/>
      <c r="W380" s="474"/>
      <c r="X380" s="344"/>
      <c r="Y380" s="475"/>
    </row>
    <row r="381" spans="2:25" x14ac:dyDescent="0.25">
      <c r="B381" s="375"/>
      <c r="C381" s="351" t="s">
        <v>64</v>
      </c>
      <c r="D381" s="354" t="s">
        <v>418</v>
      </c>
      <c r="E381" s="354"/>
      <c r="F381" s="576"/>
      <c r="G381" s="113"/>
      <c r="H381" s="576"/>
      <c r="I381" s="113"/>
      <c r="J381" s="576"/>
      <c r="K381" s="113"/>
      <c r="L381" s="21">
        <v>10</v>
      </c>
      <c r="M381" s="364"/>
      <c r="N381" s="80"/>
      <c r="O381" s="106"/>
      <c r="P381" s="570"/>
      <c r="Q381" s="570"/>
      <c r="R381" s="571"/>
      <c r="T381" s="18">
        <f t="shared" si="5"/>
        <v>0</v>
      </c>
      <c r="U381" s="338"/>
      <c r="V381" s="344"/>
      <c r="W381" s="474"/>
      <c r="X381" s="344"/>
      <c r="Y381" s="475"/>
    </row>
    <row r="382" spans="2:25" ht="66" x14ac:dyDescent="0.25">
      <c r="B382" s="375"/>
      <c r="C382" s="351"/>
      <c r="D382" s="71" t="s">
        <v>66</v>
      </c>
      <c r="E382" s="77" t="s">
        <v>427</v>
      </c>
      <c r="F382" s="576"/>
      <c r="G382" s="82">
        <f>'SQ_Auditoreingaben '!G376</f>
        <v>0</v>
      </c>
      <c r="H382" s="576"/>
      <c r="I382" s="104">
        <f>'1. Prüfung'!I382</f>
        <v>0</v>
      </c>
      <c r="J382" s="576"/>
      <c r="K382" s="69"/>
      <c r="L382" s="18">
        <v>10</v>
      </c>
      <c r="M382" s="364"/>
      <c r="N382" s="80"/>
      <c r="O382" s="106"/>
      <c r="P382" s="570"/>
      <c r="Q382" s="570"/>
      <c r="R382" s="571"/>
      <c r="T382" s="18">
        <f t="shared" si="5"/>
        <v>0</v>
      </c>
      <c r="U382" s="338"/>
      <c r="V382" s="344"/>
      <c r="W382" s="474"/>
      <c r="X382" s="344"/>
      <c r="Y382" s="475"/>
    </row>
    <row r="383" spans="2:25" x14ac:dyDescent="0.25">
      <c r="B383" s="375"/>
      <c r="C383" s="351" t="s">
        <v>67</v>
      </c>
      <c r="D383" s="354" t="s">
        <v>419</v>
      </c>
      <c r="E383" s="354"/>
      <c r="F383" s="576"/>
      <c r="G383" s="113"/>
      <c r="H383" s="576"/>
      <c r="I383" s="113"/>
      <c r="J383" s="576"/>
      <c r="K383" s="113"/>
      <c r="L383" s="21">
        <v>15</v>
      </c>
      <c r="M383" s="364"/>
      <c r="N383" s="80"/>
      <c r="O383" s="106"/>
      <c r="P383" s="570"/>
      <c r="Q383" s="570"/>
      <c r="R383" s="571"/>
      <c r="T383" s="18">
        <f t="shared" si="5"/>
        <v>0</v>
      </c>
      <c r="U383" s="338"/>
      <c r="V383" s="344"/>
      <c r="W383" s="474"/>
      <c r="X383" s="344"/>
      <c r="Y383" s="475"/>
    </row>
    <row r="384" spans="2:25" ht="105.6" x14ac:dyDescent="0.25">
      <c r="B384" s="375"/>
      <c r="C384" s="351"/>
      <c r="D384" s="71" t="s">
        <v>69</v>
      </c>
      <c r="E384" s="77" t="s">
        <v>428</v>
      </c>
      <c r="F384" s="576"/>
      <c r="G384" s="82">
        <f>'SQ_Auditoreingaben '!G378</f>
        <v>0</v>
      </c>
      <c r="H384" s="576"/>
      <c r="I384" s="104">
        <f>'1. Prüfung'!I384</f>
        <v>0</v>
      </c>
      <c r="J384" s="576"/>
      <c r="K384" s="69"/>
      <c r="L384" s="18">
        <v>5</v>
      </c>
      <c r="M384" s="364"/>
      <c r="N384" s="80"/>
      <c r="O384" s="106"/>
      <c r="P384" s="570"/>
      <c r="Q384" s="570"/>
      <c r="R384" s="571"/>
      <c r="T384" s="18">
        <f t="shared" si="5"/>
        <v>0</v>
      </c>
      <c r="U384" s="338"/>
      <c r="V384" s="344"/>
      <c r="W384" s="474"/>
      <c r="X384" s="344"/>
      <c r="Y384" s="475"/>
    </row>
    <row r="385" spans="2:25" ht="105.6" x14ac:dyDescent="0.25">
      <c r="B385" s="375"/>
      <c r="C385" s="351"/>
      <c r="D385" s="71" t="s">
        <v>78</v>
      </c>
      <c r="E385" s="77" t="s">
        <v>429</v>
      </c>
      <c r="F385" s="576"/>
      <c r="G385" s="82">
        <f>'SQ_Auditoreingaben '!G379</f>
        <v>0</v>
      </c>
      <c r="H385" s="576"/>
      <c r="I385" s="104">
        <f>'1. Prüfung'!I385</f>
        <v>0</v>
      </c>
      <c r="J385" s="576"/>
      <c r="K385" s="69"/>
      <c r="L385" s="18">
        <v>5</v>
      </c>
      <c r="M385" s="364"/>
      <c r="N385" s="80"/>
      <c r="O385" s="106"/>
      <c r="P385" s="570"/>
      <c r="Q385" s="570"/>
      <c r="R385" s="571"/>
      <c r="T385" s="18">
        <f t="shared" si="5"/>
        <v>0</v>
      </c>
      <c r="U385" s="338"/>
      <c r="V385" s="344"/>
      <c r="W385" s="474"/>
      <c r="X385" s="344"/>
      <c r="Y385" s="475"/>
    </row>
    <row r="386" spans="2:25" ht="52.8" x14ac:dyDescent="0.25">
      <c r="B386" s="375"/>
      <c r="C386" s="351"/>
      <c r="D386" s="71" t="s">
        <v>214</v>
      </c>
      <c r="E386" s="77" t="s">
        <v>430</v>
      </c>
      <c r="F386" s="576"/>
      <c r="G386" s="82" t="e">
        <f>'SQ_Auditoreingaben '!#REF!</f>
        <v>#REF!</v>
      </c>
      <c r="H386" s="576"/>
      <c r="I386" s="104">
        <f>'1. Prüfung'!I386</f>
        <v>0</v>
      </c>
      <c r="J386" s="576"/>
      <c r="K386" s="69"/>
      <c r="L386" s="18">
        <v>5</v>
      </c>
      <c r="M386" s="364"/>
      <c r="N386" s="80"/>
      <c r="O386" s="106"/>
      <c r="P386" s="570"/>
      <c r="Q386" s="570"/>
      <c r="R386" s="571"/>
      <c r="T386" s="18">
        <f t="shared" si="5"/>
        <v>0</v>
      </c>
      <c r="U386" s="338"/>
      <c r="V386" s="344"/>
      <c r="W386" s="474"/>
      <c r="X386" s="344"/>
      <c r="Y386" s="475"/>
    </row>
    <row r="387" spans="2:25" x14ac:dyDescent="0.25">
      <c r="B387" s="375"/>
      <c r="C387" s="351" t="s">
        <v>154</v>
      </c>
      <c r="D387" s="354" t="s">
        <v>420</v>
      </c>
      <c r="E387" s="354"/>
      <c r="F387" s="576"/>
      <c r="G387" s="113"/>
      <c r="H387" s="576"/>
      <c r="I387" s="113"/>
      <c r="J387" s="576"/>
      <c r="K387" s="113"/>
      <c r="L387" s="21">
        <v>20</v>
      </c>
      <c r="M387" s="364"/>
      <c r="N387" s="80"/>
      <c r="O387" s="106"/>
      <c r="P387" s="570"/>
      <c r="Q387" s="570"/>
      <c r="R387" s="571"/>
      <c r="T387" s="18">
        <f t="shared" si="5"/>
        <v>0</v>
      </c>
      <c r="U387" s="338"/>
      <c r="V387" s="344"/>
      <c r="W387" s="474"/>
      <c r="X387" s="344"/>
      <c r="Y387" s="475"/>
    </row>
    <row r="388" spans="2:25" ht="66" x14ac:dyDescent="0.25">
      <c r="B388" s="375"/>
      <c r="C388" s="351"/>
      <c r="D388" s="71" t="s">
        <v>156</v>
      </c>
      <c r="E388" s="77" t="s">
        <v>431</v>
      </c>
      <c r="F388" s="576"/>
      <c r="G388" s="82" t="e">
        <f>'SQ_Auditoreingaben '!#REF!</f>
        <v>#REF!</v>
      </c>
      <c r="H388" s="576"/>
      <c r="I388" s="104">
        <f>'1. Prüfung'!I388</f>
        <v>0</v>
      </c>
      <c r="J388" s="576"/>
      <c r="K388" s="69"/>
      <c r="L388" s="18">
        <v>5</v>
      </c>
      <c r="M388" s="364"/>
      <c r="N388" s="80"/>
      <c r="O388" s="106"/>
      <c r="P388" s="570"/>
      <c r="Q388" s="570"/>
      <c r="R388" s="571"/>
      <c r="T388" s="18">
        <f t="shared" si="5"/>
        <v>0</v>
      </c>
      <c r="U388" s="338"/>
      <c r="V388" s="344"/>
      <c r="W388" s="474"/>
      <c r="X388" s="344"/>
      <c r="Y388" s="475"/>
    </row>
    <row r="389" spans="2:25" ht="158.4" x14ac:dyDescent="0.25">
      <c r="B389" s="375"/>
      <c r="C389" s="351"/>
      <c r="D389" s="71" t="s">
        <v>218</v>
      </c>
      <c r="E389" s="77" t="s">
        <v>432</v>
      </c>
      <c r="F389" s="576"/>
      <c r="G389" s="82" t="e">
        <f>'SQ_Auditoreingaben '!#REF!</f>
        <v>#REF!</v>
      </c>
      <c r="H389" s="576"/>
      <c r="I389" s="104">
        <f>'1. Prüfung'!I389</f>
        <v>0</v>
      </c>
      <c r="J389" s="576"/>
      <c r="K389" s="69"/>
      <c r="L389" s="18">
        <v>5</v>
      </c>
      <c r="M389" s="364"/>
      <c r="N389" s="80"/>
      <c r="O389" s="106"/>
      <c r="P389" s="570"/>
      <c r="Q389" s="570"/>
      <c r="R389" s="571"/>
      <c r="T389" s="18">
        <f t="shared" si="5"/>
        <v>0</v>
      </c>
      <c r="U389" s="338"/>
      <c r="V389" s="344"/>
      <c r="W389" s="474"/>
      <c r="X389" s="344"/>
      <c r="Y389" s="475"/>
    </row>
    <row r="390" spans="2:25" ht="211.2" x14ac:dyDescent="0.25">
      <c r="B390" s="375"/>
      <c r="C390" s="351"/>
      <c r="D390" s="71" t="s">
        <v>219</v>
      </c>
      <c r="E390" s="77" t="s">
        <v>681</v>
      </c>
      <c r="F390" s="576"/>
      <c r="G390" s="82" t="e">
        <f>'SQ_Auditoreingaben '!#REF!</f>
        <v>#REF!</v>
      </c>
      <c r="H390" s="576"/>
      <c r="I390" s="104">
        <f>'1. Prüfung'!I390</f>
        <v>0</v>
      </c>
      <c r="J390" s="576"/>
      <c r="K390" s="69"/>
      <c r="L390" s="18">
        <v>10</v>
      </c>
      <c r="M390" s="364"/>
      <c r="N390" s="80"/>
      <c r="O390" s="106"/>
      <c r="P390" s="570"/>
      <c r="Q390" s="570"/>
      <c r="R390" s="571"/>
      <c r="T390" s="18">
        <f t="shared" si="5"/>
        <v>0</v>
      </c>
      <c r="U390" s="339"/>
      <c r="V390" s="365"/>
      <c r="W390" s="474"/>
      <c r="X390" s="344"/>
      <c r="Y390" s="475"/>
    </row>
    <row r="391" spans="2:25" x14ac:dyDescent="0.25">
      <c r="B391" s="55" t="s">
        <v>421</v>
      </c>
      <c r="C391" s="354" t="s">
        <v>422</v>
      </c>
      <c r="D391" s="354"/>
      <c r="E391" s="354"/>
      <c r="F391" s="78">
        <f>'SQ_Auditoreingaben '!F380</f>
        <v>90.5</v>
      </c>
      <c r="G391" s="364"/>
      <c r="H391" s="105">
        <f>'1. Prüfung'!H391</f>
        <v>0</v>
      </c>
      <c r="I391" s="364"/>
      <c r="J391" s="91">
        <f>U391</f>
        <v>0</v>
      </c>
      <c r="K391" s="364"/>
      <c r="L391" s="21">
        <v>110</v>
      </c>
      <c r="M391" s="88">
        <v>4</v>
      </c>
      <c r="N391" s="80"/>
      <c r="O391" s="106"/>
      <c r="P391" s="570"/>
      <c r="Q391" s="570"/>
      <c r="R391" s="571"/>
      <c r="T391" s="18">
        <f t="shared" si="5"/>
        <v>0</v>
      </c>
      <c r="U391" s="337">
        <f>IF(SUM(T393,IF(T395+T396&gt;25,25,T395+T396),SUM(T399:T417),T420)&gt;100,100+T418,SUM(T393,IF(T395+T396&gt;25,25,T395+T396),SUM(T399:T417),T420,T418))</f>
        <v>0</v>
      </c>
      <c r="V391" s="343">
        <f>U391/100</f>
        <v>0</v>
      </c>
      <c r="W391" s="474"/>
      <c r="X391" s="344"/>
      <c r="Y391" s="475"/>
    </row>
    <row r="392" spans="2:25" x14ac:dyDescent="0.25">
      <c r="B392" s="375"/>
      <c r="C392" s="351" t="s">
        <v>54</v>
      </c>
      <c r="D392" s="354" t="s">
        <v>423</v>
      </c>
      <c r="E392" s="354"/>
      <c r="F392" s="576"/>
      <c r="G392" s="364"/>
      <c r="H392" s="576"/>
      <c r="I392" s="364"/>
      <c r="J392" s="576"/>
      <c r="K392" s="364"/>
      <c r="L392" s="21">
        <v>5</v>
      </c>
      <c r="M392" s="364"/>
      <c r="N392" s="80"/>
      <c r="O392" s="106"/>
      <c r="P392" s="570"/>
      <c r="Q392" s="570"/>
      <c r="R392" s="571"/>
      <c r="T392" s="18">
        <f t="shared" si="5"/>
        <v>0</v>
      </c>
      <c r="U392" s="338"/>
      <c r="V392" s="344"/>
      <c r="W392" s="474"/>
      <c r="X392" s="344"/>
      <c r="Y392" s="475"/>
    </row>
    <row r="393" spans="2:25" ht="26.4" x14ac:dyDescent="0.25">
      <c r="B393" s="375"/>
      <c r="C393" s="351"/>
      <c r="D393" s="71" t="s">
        <v>58</v>
      </c>
      <c r="E393" s="87" t="s">
        <v>435</v>
      </c>
      <c r="F393" s="576"/>
      <c r="G393" s="82">
        <f>'SQ_Auditoreingaben '!G382</f>
        <v>5</v>
      </c>
      <c r="H393" s="576"/>
      <c r="I393" s="104">
        <f>'1. Prüfung'!I393</f>
        <v>0</v>
      </c>
      <c r="J393" s="576"/>
      <c r="K393" s="69"/>
      <c r="L393" s="18">
        <v>5</v>
      </c>
      <c r="M393" s="364"/>
      <c r="N393" s="80"/>
      <c r="O393" s="106"/>
      <c r="P393" s="570"/>
      <c r="Q393" s="570"/>
      <c r="R393" s="571"/>
      <c r="T393" s="18">
        <f t="shared" si="5"/>
        <v>0</v>
      </c>
      <c r="U393" s="338"/>
      <c r="V393" s="344"/>
      <c r="W393" s="474"/>
      <c r="X393" s="344"/>
      <c r="Y393" s="475"/>
    </row>
    <row r="394" spans="2:25" x14ac:dyDescent="0.25">
      <c r="B394" s="375"/>
      <c r="C394" s="351" t="s">
        <v>61</v>
      </c>
      <c r="D394" s="354" t="s">
        <v>436</v>
      </c>
      <c r="E394" s="354"/>
      <c r="F394" s="576"/>
      <c r="G394" s="113"/>
      <c r="H394" s="576"/>
      <c r="I394" s="113"/>
      <c r="J394" s="576"/>
      <c r="K394" s="113"/>
      <c r="L394" s="21">
        <v>25</v>
      </c>
      <c r="M394" s="364"/>
      <c r="N394" s="80"/>
      <c r="O394" s="106"/>
      <c r="P394" s="570"/>
      <c r="Q394" s="570"/>
      <c r="R394" s="571"/>
      <c r="T394" s="18">
        <f t="shared" si="5"/>
        <v>0</v>
      </c>
      <c r="U394" s="338"/>
      <c r="V394" s="344"/>
      <c r="W394" s="474"/>
      <c r="X394" s="344"/>
      <c r="Y394" s="475"/>
    </row>
    <row r="395" spans="2:25" ht="39.6" x14ac:dyDescent="0.25">
      <c r="B395" s="375"/>
      <c r="C395" s="351"/>
      <c r="D395" s="71" t="s">
        <v>63</v>
      </c>
      <c r="E395" s="77" t="s">
        <v>565</v>
      </c>
      <c r="F395" s="576"/>
      <c r="G395" s="82">
        <f>'SQ_Auditoreingaben '!G384</f>
        <v>10</v>
      </c>
      <c r="H395" s="576"/>
      <c r="I395" s="104">
        <f>'1. Prüfung'!I395</f>
        <v>0</v>
      </c>
      <c r="J395" s="576"/>
      <c r="K395" s="69"/>
      <c r="L395" s="18">
        <v>25</v>
      </c>
      <c r="M395" s="364"/>
      <c r="N395" s="80"/>
      <c r="O395" s="106"/>
      <c r="P395" s="570"/>
      <c r="Q395" s="570"/>
      <c r="R395" s="571"/>
      <c r="T395" s="18">
        <f t="shared" si="5"/>
        <v>0</v>
      </c>
      <c r="U395" s="338"/>
      <c r="V395" s="344"/>
      <c r="W395" s="474"/>
      <c r="X395" s="344"/>
      <c r="Y395" s="475"/>
    </row>
    <row r="396" spans="2:25" ht="158.4" x14ac:dyDescent="0.25">
      <c r="B396" s="375"/>
      <c r="C396" s="351"/>
      <c r="D396" s="71" t="s">
        <v>437</v>
      </c>
      <c r="E396" s="77" t="s">
        <v>566</v>
      </c>
      <c r="F396" s="576"/>
      <c r="G396" s="82">
        <f>'SQ_Auditoreingaben '!G385</f>
        <v>10</v>
      </c>
      <c r="H396" s="576"/>
      <c r="I396" s="104">
        <f>'1. Prüfung'!I396</f>
        <v>0</v>
      </c>
      <c r="J396" s="576"/>
      <c r="K396" s="69"/>
      <c r="L396" s="18">
        <v>10</v>
      </c>
      <c r="M396" s="364"/>
      <c r="N396" s="80"/>
      <c r="O396" s="106"/>
      <c r="P396" s="570"/>
      <c r="Q396" s="570"/>
      <c r="R396" s="571"/>
      <c r="T396" s="18">
        <f t="shared" si="5"/>
        <v>0</v>
      </c>
      <c r="U396" s="338"/>
      <c r="V396" s="344"/>
      <c r="W396" s="474"/>
      <c r="X396" s="344"/>
      <c r="Y396" s="475"/>
    </row>
    <row r="397" spans="2:25" x14ac:dyDescent="0.25">
      <c r="B397" s="375"/>
      <c r="C397" s="351" t="s">
        <v>64</v>
      </c>
      <c r="D397" s="354" t="s">
        <v>438</v>
      </c>
      <c r="E397" s="354"/>
      <c r="F397" s="576"/>
      <c r="G397" s="356"/>
      <c r="H397" s="576"/>
      <c r="I397" s="356"/>
      <c r="J397" s="576"/>
      <c r="K397" s="356"/>
      <c r="L397" s="21">
        <v>16</v>
      </c>
      <c r="M397" s="364"/>
      <c r="N397" s="80"/>
      <c r="O397" s="106"/>
      <c r="P397" s="570"/>
      <c r="Q397" s="570"/>
      <c r="R397" s="571"/>
      <c r="T397" s="18">
        <f t="shared" si="5"/>
        <v>0</v>
      </c>
      <c r="U397" s="338"/>
      <c r="V397" s="344"/>
      <c r="W397" s="474"/>
      <c r="X397" s="344"/>
      <c r="Y397" s="475"/>
    </row>
    <row r="398" spans="2:25" x14ac:dyDescent="0.25">
      <c r="B398" s="375"/>
      <c r="C398" s="351"/>
      <c r="D398" s="361" t="s">
        <v>66</v>
      </c>
      <c r="E398" s="87" t="s">
        <v>439</v>
      </c>
      <c r="F398" s="576"/>
      <c r="G398" s="356"/>
      <c r="H398" s="576"/>
      <c r="I398" s="356"/>
      <c r="J398" s="576"/>
      <c r="K398" s="356"/>
      <c r="L398" s="21">
        <v>6</v>
      </c>
      <c r="M398" s="364"/>
      <c r="N398" s="80"/>
      <c r="O398" s="106"/>
      <c r="P398" s="570"/>
      <c r="Q398" s="570"/>
      <c r="R398" s="571"/>
      <c r="T398" s="18">
        <f t="shared" si="5"/>
        <v>0</v>
      </c>
      <c r="U398" s="338"/>
      <c r="V398" s="344"/>
      <c r="W398" s="474"/>
      <c r="X398" s="344"/>
      <c r="Y398" s="475"/>
    </row>
    <row r="399" spans="2:25" ht="39.6" x14ac:dyDescent="0.25">
      <c r="B399" s="375"/>
      <c r="C399" s="351"/>
      <c r="D399" s="361"/>
      <c r="E399" s="77" t="s">
        <v>440</v>
      </c>
      <c r="F399" s="576"/>
      <c r="G399" s="82">
        <f>'SQ_Auditoreingaben '!G388</f>
        <v>10</v>
      </c>
      <c r="H399" s="576"/>
      <c r="I399" s="104">
        <f>'1. Prüfung'!I399</f>
        <v>0</v>
      </c>
      <c r="J399" s="576"/>
      <c r="K399" s="69"/>
      <c r="L399" s="18">
        <v>4</v>
      </c>
      <c r="M399" s="364"/>
      <c r="N399" s="80"/>
      <c r="O399" s="106"/>
      <c r="P399" s="570"/>
      <c r="Q399" s="570"/>
      <c r="R399" s="571"/>
      <c r="T399" s="18">
        <f t="shared" si="5"/>
        <v>0</v>
      </c>
      <c r="U399" s="338"/>
      <c r="V399" s="344"/>
      <c r="W399" s="474"/>
      <c r="X399" s="344"/>
      <c r="Y399" s="475"/>
    </row>
    <row r="400" spans="2:25" ht="39.6" x14ac:dyDescent="0.25">
      <c r="B400" s="375"/>
      <c r="C400" s="351"/>
      <c r="D400" s="361"/>
      <c r="E400" s="77" t="s">
        <v>441</v>
      </c>
      <c r="F400" s="576"/>
      <c r="G400" s="82" t="e">
        <f>'SQ_Auditoreingaben '!#REF!</f>
        <v>#REF!</v>
      </c>
      <c r="H400" s="576"/>
      <c r="I400" s="104">
        <f>'1. Prüfung'!I400</f>
        <v>0</v>
      </c>
      <c r="J400" s="576"/>
      <c r="K400" s="69"/>
      <c r="L400" s="18">
        <v>2</v>
      </c>
      <c r="M400" s="364"/>
      <c r="N400" s="80"/>
      <c r="O400" s="106"/>
      <c r="P400" s="570"/>
      <c r="Q400" s="570"/>
      <c r="R400" s="571"/>
      <c r="T400" s="18">
        <f t="shared" si="5"/>
        <v>0</v>
      </c>
      <c r="U400" s="338"/>
      <c r="V400" s="344"/>
      <c r="W400" s="474"/>
      <c r="X400" s="344"/>
      <c r="Y400" s="475"/>
    </row>
    <row r="401" spans="2:25" ht="66" x14ac:dyDescent="0.25">
      <c r="B401" s="375"/>
      <c r="C401" s="351"/>
      <c r="D401" s="71" t="s">
        <v>188</v>
      </c>
      <c r="E401" s="77" t="s">
        <v>567</v>
      </c>
      <c r="F401" s="576"/>
      <c r="G401" s="82">
        <f>'SQ_Auditoreingaben '!G389</f>
        <v>0</v>
      </c>
      <c r="H401" s="576"/>
      <c r="I401" s="104">
        <f>'1. Prüfung'!I401</f>
        <v>0</v>
      </c>
      <c r="J401" s="576"/>
      <c r="K401" s="69"/>
      <c r="L401" s="18">
        <v>10</v>
      </c>
      <c r="M401" s="364"/>
      <c r="N401" s="80"/>
      <c r="O401" s="106"/>
      <c r="P401" s="570"/>
      <c r="Q401" s="570"/>
      <c r="R401" s="571"/>
      <c r="T401" s="18">
        <f t="shared" si="5"/>
        <v>0</v>
      </c>
      <c r="U401" s="338"/>
      <c r="V401" s="344"/>
      <c r="W401" s="474"/>
      <c r="X401" s="344"/>
      <c r="Y401" s="475"/>
    </row>
    <row r="402" spans="2:25" x14ac:dyDescent="0.25">
      <c r="B402" s="375"/>
      <c r="C402" s="351" t="s">
        <v>67</v>
      </c>
      <c r="D402" s="354" t="s">
        <v>442</v>
      </c>
      <c r="E402" s="354"/>
      <c r="F402" s="576"/>
      <c r="G402" s="113"/>
      <c r="H402" s="576"/>
      <c r="I402" s="113"/>
      <c r="J402" s="576"/>
      <c r="K402" s="113"/>
      <c r="L402" s="21">
        <v>10</v>
      </c>
      <c r="M402" s="364"/>
      <c r="N402" s="80"/>
      <c r="O402" s="106"/>
      <c r="P402" s="570"/>
      <c r="Q402" s="570"/>
      <c r="R402" s="571"/>
      <c r="T402" s="18">
        <f t="shared" si="5"/>
        <v>0</v>
      </c>
      <c r="U402" s="338"/>
      <c r="V402" s="344"/>
      <c r="W402" s="474"/>
      <c r="X402" s="344"/>
      <c r="Y402" s="475"/>
    </row>
    <row r="403" spans="2:25" ht="92.4" x14ac:dyDescent="0.25">
      <c r="B403" s="375"/>
      <c r="C403" s="351"/>
      <c r="D403" s="71" t="s">
        <v>69</v>
      </c>
      <c r="E403" s="77" t="s">
        <v>568</v>
      </c>
      <c r="F403" s="576"/>
      <c r="G403" s="82">
        <f>'SQ_Auditoreingaben '!G391</f>
        <v>10</v>
      </c>
      <c r="H403" s="576"/>
      <c r="I403" s="104">
        <f>'1. Prüfung'!I403</f>
        <v>0</v>
      </c>
      <c r="J403" s="576"/>
      <c r="K403" s="69"/>
      <c r="L403" s="18">
        <v>10</v>
      </c>
      <c r="M403" s="364"/>
      <c r="N403" s="80"/>
      <c r="O403" s="106"/>
      <c r="P403" s="570"/>
      <c r="Q403" s="570"/>
      <c r="R403" s="571"/>
      <c r="T403" s="18">
        <f t="shared" si="5"/>
        <v>0</v>
      </c>
      <c r="U403" s="338"/>
      <c r="V403" s="344"/>
      <c r="W403" s="474"/>
      <c r="X403" s="344"/>
      <c r="Y403" s="475"/>
    </row>
    <row r="404" spans="2:25" x14ac:dyDescent="0.25">
      <c r="B404" s="375"/>
      <c r="C404" s="351" t="s">
        <v>154</v>
      </c>
      <c r="D404" s="354" t="s">
        <v>443</v>
      </c>
      <c r="E404" s="354"/>
      <c r="F404" s="576"/>
      <c r="G404" s="113"/>
      <c r="H404" s="576"/>
      <c r="I404" s="113"/>
      <c r="J404" s="576"/>
      <c r="K404" s="113"/>
      <c r="L404" s="21">
        <v>10</v>
      </c>
      <c r="M404" s="364"/>
      <c r="N404" s="80"/>
      <c r="O404" s="106"/>
      <c r="P404" s="570"/>
      <c r="Q404" s="570"/>
      <c r="R404" s="571"/>
      <c r="T404" s="18">
        <f t="shared" si="5"/>
        <v>0</v>
      </c>
      <c r="U404" s="338"/>
      <c r="V404" s="344"/>
      <c r="W404" s="474"/>
      <c r="X404" s="344"/>
      <c r="Y404" s="475"/>
    </row>
    <row r="405" spans="2:25" ht="66" x14ac:dyDescent="0.25">
      <c r="B405" s="375"/>
      <c r="C405" s="351"/>
      <c r="D405" s="71" t="s">
        <v>156</v>
      </c>
      <c r="E405" s="77" t="s">
        <v>569</v>
      </c>
      <c r="F405" s="576"/>
      <c r="G405" s="82">
        <f>'SQ_Auditoreingaben '!G393</f>
        <v>9</v>
      </c>
      <c r="H405" s="576"/>
      <c r="I405" s="104">
        <f>'1. Prüfung'!I405</f>
        <v>0</v>
      </c>
      <c r="J405" s="576"/>
      <c r="K405" s="69"/>
      <c r="L405" s="18">
        <v>10</v>
      </c>
      <c r="M405" s="364"/>
      <c r="N405" s="80"/>
      <c r="O405" s="106"/>
      <c r="P405" s="570"/>
      <c r="Q405" s="570"/>
      <c r="R405" s="571"/>
      <c r="T405" s="18">
        <f t="shared" si="5"/>
        <v>0</v>
      </c>
      <c r="U405" s="338"/>
      <c r="V405" s="344"/>
      <c r="W405" s="474"/>
      <c r="X405" s="344"/>
      <c r="Y405" s="475"/>
    </row>
    <row r="406" spans="2:25" ht="52.8" x14ac:dyDescent="0.25">
      <c r="B406" s="375"/>
      <c r="C406" s="351"/>
      <c r="D406" s="71" t="s">
        <v>218</v>
      </c>
      <c r="E406" s="77" t="s">
        <v>570</v>
      </c>
      <c r="F406" s="576"/>
      <c r="G406" s="82">
        <f>'SQ_Auditoreingaben '!G394</f>
        <v>0</v>
      </c>
      <c r="H406" s="576"/>
      <c r="I406" s="104">
        <f>'1. Prüfung'!I406</f>
        <v>0</v>
      </c>
      <c r="J406" s="576"/>
      <c r="K406" s="69"/>
      <c r="L406" s="18">
        <v>5</v>
      </c>
      <c r="M406" s="364"/>
      <c r="N406" s="80"/>
      <c r="O406" s="106"/>
      <c r="P406" s="570"/>
      <c r="Q406" s="570"/>
      <c r="R406" s="571"/>
      <c r="T406" s="18">
        <f t="shared" si="5"/>
        <v>0</v>
      </c>
      <c r="U406" s="338"/>
      <c r="V406" s="344"/>
      <c r="W406" s="474"/>
      <c r="X406" s="344"/>
      <c r="Y406" s="475"/>
    </row>
    <row r="407" spans="2:25" x14ac:dyDescent="0.25">
      <c r="B407" s="375"/>
      <c r="C407" s="351" t="s">
        <v>157</v>
      </c>
      <c r="D407" s="354" t="s">
        <v>444</v>
      </c>
      <c r="E407" s="354"/>
      <c r="F407" s="576"/>
      <c r="G407" s="113"/>
      <c r="H407" s="576"/>
      <c r="I407" s="113"/>
      <c r="J407" s="576"/>
      <c r="K407" s="113"/>
      <c r="L407" s="21">
        <v>10</v>
      </c>
      <c r="M407" s="364"/>
      <c r="N407" s="80"/>
      <c r="O407" s="106"/>
      <c r="P407" s="570"/>
      <c r="Q407" s="570"/>
      <c r="R407" s="571"/>
      <c r="T407" s="18">
        <f t="shared" si="5"/>
        <v>0</v>
      </c>
      <c r="U407" s="338"/>
      <c r="V407" s="344"/>
      <c r="W407" s="474"/>
      <c r="X407" s="344"/>
      <c r="Y407" s="475"/>
    </row>
    <row r="408" spans="2:25" ht="79.2" x14ac:dyDescent="0.25">
      <c r="B408" s="375"/>
      <c r="C408" s="351"/>
      <c r="D408" s="71" t="s">
        <v>159</v>
      </c>
      <c r="E408" s="77" t="s">
        <v>571</v>
      </c>
      <c r="F408" s="576"/>
      <c r="G408" s="82">
        <f>'SQ_Auditoreingaben '!G396</f>
        <v>2.5</v>
      </c>
      <c r="H408" s="576"/>
      <c r="I408" s="104">
        <f>'1. Prüfung'!I408</f>
        <v>0</v>
      </c>
      <c r="J408" s="576"/>
      <c r="K408" s="69"/>
      <c r="L408" s="18">
        <v>10</v>
      </c>
      <c r="M408" s="364"/>
      <c r="N408" s="80"/>
      <c r="O408" s="106"/>
      <c r="P408" s="570"/>
      <c r="Q408" s="570"/>
      <c r="R408" s="571"/>
      <c r="T408" s="18">
        <f t="shared" si="5"/>
        <v>0</v>
      </c>
      <c r="U408" s="338"/>
      <c r="V408" s="344"/>
      <c r="W408" s="474"/>
      <c r="X408" s="344"/>
      <c r="Y408" s="475"/>
    </row>
    <row r="409" spans="2:25" x14ac:dyDescent="0.25">
      <c r="B409" s="375"/>
      <c r="C409" s="351" t="s">
        <v>282</v>
      </c>
      <c r="D409" s="354" t="s">
        <v>445</v>
      </c>
      <c r="E409" s="354"/>
      <c r="F409" s="576"/>
      <c r="G409" s="113"/>
      <c r="H409" s="576"/>
      <c r="I409" s="113"/>
      <c r="J409" s="576"/>
      <c r="K409" s="113"/>
      <c r="L409" s="21">
        <v>5</v>
      </c>
      <c r="M409" s="364"/>
      <c r="N409" s="80"/>
      <c r="O409" s="106"/>
      <c r="P409" s="570"/>
      <c r="Q409" s="570"/>
      <c r="R409" s="571"/>
      <c r="T409" s="18">
        <f t="shared" si="5"/>
        <v>0</v>
      </c>
      <c r="U409" s="338"/>
      <c r="V409" s="344"/>
      <c r="W409" s="474"/>
      <c r="X409" s="344"/>
      <c r="Y409" s="475"/>
    </row>
    <row r="410" spans="2:25" ht="66" x14ac:dyDescent="0.25">
      <c r="B410" s="375"/>
      <c r="C410" s="351"/>
      <c r="D410" s="71" t="s">
        <v>284</v>
      </c>
      <c r="E410" s="77" t="s">
        <v>572</v>
      </c>
      <c r="F410" s="576"/>
      <c r="G410" s="82">
        <f>'SQ_Auditoreingaben '!G398</f>
        <v>3</v>
      </c>
      <c r="H410" s="576"/>
      <c r="I410" s="104">
        <f>'1. Prüfung'!I410</f>
        <v>0</v>
      </c>
      <c r="J410" s="576"/>
      <c r="K410" s="69"/>
      <c r="L410" s="18">
        <v>5</v>
      </c>
      <c r="M410" s="364"/>
      <c r="N410" s="80"/>
      <c r="O410" s="106"/>
      <c r="P410" s="570"/>
      <c r="Q410" s="570"/>
      <c r="R410" s="571"/>
      <c r="T410" s="18">
        <f t="shared" ref="T410:T473" si="6">IF(K410&gt;L410,L410,K410)</f>
        <v>0</v>
      </c>
      <c r="U410" s="338"/>
      <c r="V410" s="344"/>
      <c r="W410" s="474"/>
      <c r="X410" s="344"/>
      <c r="Y410" s="475"/>
    </row>
    <row r="411" spans="2:25" x14ac:dyDescent="0.25">
      <c r="B411" s="375"/>
      <c r="C411" s="351" t="s">
        <v>285</v>
      </c>
      <c r="D411" s="354" t="s">
        <v>446</v>
      </c>
      <c r="E411" s="354"/>
      <c r="F411" s="576"/>
      <c r="G411" s="113"/>
      <c r="H411" s="576"/>
      <c r="I411" s="113"/>
      <c r="J411" s="576"/>
      <c r="K411" s="113"/>
      <c r="L411" s="21">
        <v>10</v>
      </c>
      <c r="M411" s="364"/>
      <c r="N411" s="80"/>
      <c r="O411" s="106"/>
      <c r="P411" s="570"/>
      <c r="Q411" s="570"/>
      <c r="R411" s="571"/>
      <c r="T411" s="18">
        <f t="shared" si="6"/>
        <v>0</v>
      </c>
      <c r="U411" s="338"/>
      <c r="V411" s="344"/>
      <c r="W411" s="474"/>
      <c r="X411" s="344"/>
      <c r="Y411" s="475"/>
    </row>
    <row r="412" spans="2:25" ht="66" x14ac:dyDescent="0.25">
      <c r="B412" s="375"/>
      <c r="C412" s="351"/>
      <c r="D412" s="71" t="s">
        <v>287</v>
      </c>
      <c r="E412" s="77" t="s">
        <v>573</v>
      </c>
      <c r="F412" s="576"/>
      <c r="G412" s="82">
        <f>'SQ_Auditoreingaben '!G400</f>
        <v>5</v>
      </c>
      <c r="H412" s="576"/>
      <c r="I412" s="104">
        <f>'1. Prüfung'!I412</f>
        <v>0</v>
      </c>
      <c r="J412" s="576"/>
      <c r="K412" s="69"/>
      <c r="L412" s="18">
        <v>10</v>
      </c>
      <c r="M412" s="364"/>
      <c r="N412" s="80"/>
      <c r="O412" s="106"/>
      <c r="P412" s="570"/>
      <c r="Q412" s="570"/>
      <c r="R412" s="571"/>
      <c r="T412" s="18">
        <f t="shared" si="6"/>
        <v>0</v>
      </c>
      <c r="U412" s="338"/>
      <c r="V412" s="344"/>
      <c r="W412" s="474"/>
      <c r="X412" s="344"/>
      <c r="Y412" s="475"/>
    </row>
    <row r="413" spans="2:25" x14ac:dyDescent="0.25">
      <c r="B413" s="375"/>
      <c r="C413" s="351" t="s">
        <v>292</v>
      </c>
      <c r="D413" s="354" t="s">
        <v>447</v>
      </c>
      <c r="E413" s="354"/>
      <c r="F413" s="576"/>
      <c r="G413" s="113"/>
      <c r="H413" s="576"/>
      <c r="I413" s="113"/>
      <c r="J413" s="576"/>
      <c r="K413" s="113"/>
      <c r="L413" s="21">
        <v>16</v>
      </c>
      <c r="M413" s="364"/>
      <c r="N413" s="80"/>
      <c r="O413" s="106"/>
      <c r="P413" s="570"/>
      <c r="Q413" s="570"/>
      <c r="R413" s="571"/>
      <c r="T413" s="18">
        <f t="shared" si="6"/>
        <v>0</v>
      </c>
      <c r="U413" s="338"/>
      <c r="V413" s="344"/>
      <c r="W413" s="474"/>
      <c r="X413" s="344"/>
      <c r="Y413" s="475"/>
    </row>
    <row r="414" spans="2:25" ht="52.8" x14ac:dyDescent="0.25">
      <c r="B414" s="375"/>
      <c r="C414" s="351"/>
      <c r="D414" s="71" t="s">
        <v>293</v>
      </c>
      <c r="E414" s="77" t="s">
        <v>574</v>
      </c>
      <c r="F414" s="576"/>
      <c r="G414" s="82">
        <f>'SQ_Auditoreingaben '!G402</f>
        <v>8</v>
      </c>
      <c r="H414" s="576"/>
      <c r="I414" s="104">
        <f>'1. Prüfung'!I414</f>
        <v>0</v>
      </c>
      <c r="J414" s="576"/>
      <c r="K414" s="69"/>
      <c r="L414" s="18">
        <v>8</v>
      </c>
      <c r="M414" s="364"/>
      <c r="N414" s="80"/>
      <c r="O414" s="106"/>
      <c r="P414" s="570"/>
      <c r="Q414" s="570"/>
      <c r="R414" s="571"/>
      <c r="T414" s="18">
        <f t="shared" si="6"/>
        <v>0</v>
      </c>
      <c r="U414" s="338"/>
      <c r="V414" s="344"/>
      <c r="W414" s="474"/>
      <c r="X414" s="344"/>
      <c r="Y414" s="475"/>
    </row>
    <row r="415" spans="2:25" ht="105.6" x14ac:dyDescent="0.25">
      <c r="B415" s="375"/>
      <c r="C415" s="351"/>
      <c r="D415" s="19" t="s">
        <v>460</v>
      </c>
      <c r="E415" s="77" t="s">
        <v>575</v>
      </c>
      <c r="F415" s="576"/>
      <c r="G415" s="82">
        <f>'SQ_Auditoreingaben '!G403</f>
        <v>8</v>
      </c>
      <c r="H415" s="576"/>
      <c r="I415" s="104">
        <f>'1. Prüfung'!I415</f>
        <v>0</v>
      </c>
      <c r="J415" s="576"/>
      <c r="K415" s="69"/>
      <c r="L415" s="18">
        <v>8</v>
      </c>
      <c r="M415" s="364"/>
      <c r="N415" s="80"/>
      <c r="O415" s="106"/>
      <c r="P415" s="570"/>
      <c r="Q415" s="570"/>
      <c r="R415" s="571"/>
      <c r="T415" s="18">
        <f t="shared" si="6"/>
        <v>0</v>
      </c>
      <c r="U415" s="338"/>
      <c r="V415" s="344"/>
      <c r="W415" s="474"/>
      <c r="X415" s="344"/>
      <c r="Y415" s="475"/>
    </row>
    <row r="416" spans="2:25" x14ac:dyDescent="0.25">
      <c r="B416" s="375"/>
      <c r="C416" s="351" t="s">
        <v>448</v>
      </c>
      <c r="D416" s="581" t="s">
        <v>449</v>
      </c>
      <c r="E416" s="581"/>
      <c r="F416" s="576"/>
      <c r="G416" s="113"/>
      <c r="H416" s="576"/>
      <c r="I416" s="113"/>
      <c r="J416" s="576"/>
      <c r="K416" s="113"/>
      <c r="L416" s="21">
        <v>20</v>
      </c>
      <c r="M416" s="364"/>
      <c r="N416" s="80"/>
      <c r="O416" s="106"/>
      <c r="P416" s="570"/>
      <c r="Q416" s="570"/>
      <c r="R416" s="571"/>
      <c r="T416" s="18">
        <f t="shared" si="6"/>
        <v>0</v>
      </c>
      <c r="U416" s="338"/>
      <c r="V416" s="344"/>
      <c r="W416" s="474"/>
      <c r="X416" s="344"/>
      <c r="Y416" s="475"/>
    </row>
    <row r="417" spans="2:25" ht="26.4" x14ac:dyDescent="0.25">
      <c r="B417" s="375"/>
      <c r="C417" s="351"/>
      <c r="D417" s="19" t="s">
        <v>459</v>
      </c>
      <c r="E417" s="87" t="s">
        <v>450</v>
      </c>
      <c r="F417" s="576"/>
      <c r="G417" s="82">
        <f>'SQ_Auditoreingaben '!G405</f>
        <v>10</v>
      </c>
      <c r="H417" s="576"/>
      <c r="I417" s="104">
        <f>'1. Prüfung'!I417</f>
        <v>0</v>
      </c>
      <c r="J417" s="576"/>
      <c r="K417" s="69"/>
      <c r="L417" s="18">
        <v>10</v>
      </c>
      <c r="M417" s="364"/>
      <c r="N417" s="80"/>
      <c r="O417" s="106"/>
      <c r="P417" s="570"/>
      <c r="Q417" s="570"/>
      <c r="R417" s="571"/>
      <c r="T417" s="18">
        <f t="shared" si="6"/>
        <v>0</v>
      </c>
      <c r="U417" s="338"/>
      <c r="V417" s="344"/>
      <c r="W417" s="474"/>
      <c r="X417" s="344"/>
      <c r="Y417" s="475"/>
    </row>
    <row r="418" spans="2:25" ht="79.2" x14ac:dyDescent="0.25">
      <c r="B418" s="375"/>
      <c r="C418" s="351"/>
      <c r="D418" s="71" t="s">
        <v>458</v>
      </c>
      <c r="E418" s="77" t="s">
        <v>576</v>
      </c>
      <c r="F418" s="576"/>
      <c r="G418" s="82">
        <f>'SQ_Auditoreingaben '!G406</f>
        <v>0</v>
      </c>
      <c r="H418" s="576"/>
      <c r="I418" s="104">
        <f>'1. Prüfung'!I418</f>
        <v>0</v>
      </c>
      <c r="J418" s="576"/>
      <c r="K418" s="69"/>
      <c r="L418" s="18">
        <v>10</v>
      </c>
      <c r="M418" s="364"/>
      <c r="N418" s="80"/>
      <c r="O418" s="106"/>
      <c r="P418" s="570"/>
      <c r="Q418" s="570"/>
      <c r="R418" s="571"/>
      <c r="T418" s="18">
        <f t="shared" si="6"/>
        <v>0</v>
      </c>
      <c r="U418" s="338"/>
      <c r="V418" s="344"/>
      <c r="W418" s="474"/>
      <c r="X418" s="344"/>
      <c r="Y418" s="475"/>
    </row>
    <row r="419" spans="2:25" x14ac:dyDescent="0.25">
      <c r="B419" s="375"/>
      <c r="C419" s="351" t="s">
        <v>451</v>
      </c>
      <c r="D419" s="354" t="s">
        <v>452</v>
      </c>
      <c r="E419" s="354"/>
      <c r="F419" s="576"/>
      <c r="G419" s="113"/>
      <c r="H419" s="576"/>
      <c r="I419" s="113"/>
      <c r="J419" s="576"/>
      <c r="K419" s="113"/>
      <c r="L419" s="21">
        <v>5</v>
      </c>
      <c r="M419" s="364"/>
      <c r="N419" s="80"/>
      <c r="O419" s="106"/>
      <c r="P419" s="570"/>
      <c r="Q419" s="570"/>
      <c r="R419" s="571"/>
      <c r="T419" s="18">
        <f t="shared" si="6"/>
        <v>0</v>
      </c>
      <c r="U419" s="338"/>
      <c r="V419" s="344"/>
      <c r="W419" s="474"/>
      <c r="X419" s="344"/>
      <c r="Y419" s="475"/>
    </row>
    <row r="420" spans="2:25" ht="26.4" x14ac:dyDescent="0.25">
      <c r="B420" s="375"/>
      <c r="C420" s="351"/>
      <c r="D420" s="71" t="s">
        <v>457</v>
      </c>
      <c r="E420" s="87" t="s">
        <v>453</v>
      </c>
      <c r="F420" s="576"/>
      <c r="G420" s="82" t="e">
        <f>'SQ_Auditoreingaben '!#REF!</f>
        <v>#REF!</v>
      </c>
      <c r="H420" s="576"/>
      <c r="I420" s="104">
        <f>'1. Prüfung'!I420</f>
        <v>0</v>
      </c>
      <c r="J420" s="576"/>
      <c r="K420" s="69"/>
      <c r="L420" s="18">
        <v>5</v>
      </c>
      <c r="M420" s="364"/>
      <c r="N420" s="80"/>
      <c r="O420" s="106"/>
      <c r="P420" s="570"/>
      <c r="Q420" s="570"/>
      <c r="R420" s="571"/>
      <c r="T420" s="18">
        <f t="shared" si="6"/>
        <v>0</v>
      </c>
      <c r="U420" s="339"/>
      <c r="V420" s="365"/>
      <c r="W420" s="474"/>
      <c r="X420" s="344"/>
      <c r="Y420" s="475"/>
    </row>
    <row r="421" spans="2:25" x14ac:dyDescent="0.25">
      <c r="B421" s="55" t="s">
        <v>454</v>
      </c>
      <c r="C421" s="354" t="s">
        <v>455</v>
      </c>
      <c r="D421" s="354"/>
      <c r="E421" s="354"/>
      <c r="F421" s="78">
        <f>'SQ_Auditoreingaben '!F407</f>
        <v>100</v>
      </c>
      <c r="G421" s="364"/>
      <c r="H421" s="105">
        <f>'1. Prüfung'!H421</f>
        <v>0</v>
      </c>
      <c r="I421" s="364"/>
      <c r="J421" s="91">
        <f>U421</f>
        <v>0</v>
      </c>
      <c r="K421" s="364"/>
      <c r="L421" s="21">
        <v>100</v>
      </c>
      <c r="M421" s="88">
        <v>4</v>
      </c>
      <c r="N421" s="80"/>
      <c r="O421" s="106"/>
      <c r="P421" s="570"/>
      <c r="Q421" s="570"/>
      <c r="R421" s="571"/>
      <c r="T421" s="18">
        <f t="shared" si="6"/>
        <v>0</v>
      </c>
      <c r="U421" s="337">
        <f>IF(SUM(T423:T437)&gt;100,100,SUM(T423:T437))</f>
        <v>0</v>
      </c>
      <c r="V421" s="343">
        <f>U421/100</f>
        <v>0</v>
      </c>
      <c r="W421" s="474"/>
      <c r="X421" s="344"/>
      <c r="Y421" s="475"/>
    </row>
    <row r="422" spans="2:25" x14ac:dyDescent="0.25">
      <c r="B422" s="375"/>
      <c r="C422" s="351" t="s">
        <v>54</v>
      </c>
      <c r="D422" s="354" t="s">
        <v>456</v>
      </c>
      <c r="E422" s="354"/>
      <c r="F422" s="576"/>
      <c r="G422" s="364"/>
      <c r="H422" s="576"/>
      <c r="I422" s="364"/>
      <c r="J422" s="576"/>
      <c r="K422" s="364"/>
      <c r="L422" s="21">
        <v>30</v>
      </c>
      <c r="M422" s="364"/>
      <c r="N422" s="80"/>
      <c r="O422" s="106"/>
      <c r="P422" s="570"/>
      <c r="Q422" s="570"/>
      <c r="R422" s="571"/>
      <c r="T422" s="18">
        <f t="shared" si="6"/>
        <v>0</v>
      </c>
      <c r="U422" s="338"/>
      <c r="V422" s="344"/>
      <c r="W422" s="474"/>
      <c r="X422" s="344"/>
      <c r="Y422" s="475"/>
    </row>
    <row r="423" spans="2:25" ht="52.8" x14ac:dyDescent="0.25">
      <c r="B423" s="375"/>
      <c r="C423" s="351"/>
      <c r="D423" s="71" t="s">
        <v>58</v>
      </c>
      <c r="E423" s="77" t="s">
        <v>577</v>
      </c>
      <c r="F423" s="576"/>
      <c r="G423" s="82">
        <f>'SQ_Auditoreingaben '!G409</f>
        <v>30</v>
      </c>
      <c r="H423" s="576"/>
      <c r="I423" s="104">
        <f>'1. Prüfung'!I423</f>
        <v>0</v>
      </c>
      <c r="J423" s="576"/>
      <c r="K423" s="69"/>
      <c r="L423" s="18">
        <v>30</v>
      </c>
      <c r="M423" s="364"/>
      <c r="N423" s="80"/>
      <c r="O423" s="106"/>
      <c r="P423" s="570"/>
      <c r="Q423" s="570"/>
      <c r="R423" s="571"/>
      <c r="T423" s="18">
        <f t="shared" si="6"/>
        <v>0</v>
      </c>
      <c r="U423" s="338"/>
      <c r="V423" s="344"/>
      <c r="W423" s="474"/>
      <c r="X423" s="344"/>
      <c r="Y423" s="475"/>
    </row>
    <row r="424" spans="2:25" x14ac:dyDescent="0.25">
      <c r="B424" s="375"/>
      <c r="C424" s="351" t="s">
        <v>61</v>
      </c>
      <c r="D424" s="354" t="s">
        <v>461</v>
      </c>
      <c r="E424" s="354"/>
      <c r="F424" s="576"/>
      <c r="G424" s="113"/>
      <c r="H424" s="576"/>
      <c r="I424" s="113"/>
      <c r="J424" s="576"/>
      <c r="K424" s="113"/>
      <c r="L424" s="21">
        <v>19</v>
      </c>
      <c r="M424" s="364"/>
      <c r="N424" s="80"/>
      <c r="O424" s="106"/>
      <c r="P424" s="570"/>
      <c r="Q424" s="570"/>
      <c r="R424" s="571"/>
      <c r="T424" s="18">
        <f t="shared" si="6"/>
        <v>0</v>
      </c>
      <c r="U424" s="338"/>
      <c r="V424" s="344"/>
      <c r="W424" s="474"/>
      <c r="X424" s="344"/>
      <c r="Y424" s="475"/>
    </row>
    <row r="425" spans="2:25" ht="105.6" x14ac:dyDescent="0.25">
      <c r="B425" s="375"/>
      <c r="C425" s="351"/>
      <c r="D425" s="71" t="s">
        <v>63</v>
      </c>
      <c r="E425" s="77" t="s">
        <v>682</v>
      </c>
      <c r="F425" s="576"/>
      <c r="G425" s="82">
        <f>'SQ_Auditoreingaben '!G411</f>
        <v>19</v>
      </c>
      <c r="H425" s="576"/>
      <c r="I425" s="104">
        <f>'1. Prüfung'!I425</f>
        <v>0</v>
      </c>
      <c r="J425" s="576"/>
      <c r="K425" s="69"/>
      <c r="L425" s="18">
        <v>19</v>
      </c>
      <c r="M425" s="364"/>
      <c r="N425" s="80"/>
      <c r="O425" s="106"/>
      <c r="P425" s="570"/>
      <c r="Q425" s="570"/>
      <c r="R425" s="571"/>
      <c r="T425" s="18">
        <f t="shared" si="6"/>
        <v>0</v>
      </c>
      <c r="U425" s="338"/>
      <c r="V425" s="344"/>
      <c r="W425" s="474"/>
      <c r="X425" s="344"/>
      <c r="Y425" s="475"/>
    </row>
    <row r="426" spans="2:25" x14ac:dyDescent="0.25">
      <c r="B426" s="375"/>
      <c r="C426" s="351" t="s">
        <v>64</v>
      </c>
      <c r="D426" s="354" t="s">
        <v>462</v>
      </c>
      <c r="E426" s="354"/>
      <c r="F426" s="576"/>
      <c r="G426" s="113"/>
      <c r="H426" s="576"/>
      <c r="I426" s="113"/>
      <c r="J426" s="576"/>
      <c r="K426" s="113"/>
      <c r="L426" s="21">
        <v>18</v>
      </c>
      <c r="M426" s="364"/>
      <c r="N426" s="80"/>
      <c r="O426" s="106"/>
      <c r="P426" s="570"/>
      <c r="Q426" s="570"/>
      <c r="R426" s="571"/>
      <c r="T426" s="18">
        <f t="shared" si="6"/>
        <v>0</v>
      </c>
      <c r="U426" s="338"/>
      <c r="V426" s="344"/>
      <c r="W426" s="474"/>
      <c r="X426" s="344"/>
      <c r="Y426" s="475"/>
    </row>
    <row r="427" spans="2:25" ht="382.8" x14ac:dyDescent="0.25">
      <c r="B427" s="375"/>
      <c r="C427" s="351"/>
      <c r="D427" s="71" t="s">
        <v>66</v>
      </c>
      <c r="E427" s="77" t="s">
        <v>578</v>
      </c>
      <c r="F427" s="576"/>
      <c r="G427" s="82">
        <f>'SQ_Auditoreingaben '!G413</f>
        <v>20</v>
      </c>
      <c r="H427" s="576"/>
      <c r="I427" s="104">
        <f>'1. Prüfung'!I427</f>
        <v>0</v>
      </c>
      <c r="J427" s="576"/>
      <c r="K427" s="69"/>
      <c r="L427" s="18">
        <v>18</v>
      </c>
      <c r="M427" s="364"/>
      <c r="N427" s="80"/>
      <c r="O427" s="106"/>
      <c r="P427" s="570"/>
      <c r="Q427" s="570"/>
      <c r="R427" s="571"/>
      <c r="T427" s="18">
        <f t="shared" si="6"/>
        <v>0</v>
      </c>
      <c r="U427" s="338"/>
      <c r="V427" s="344"/>
      <c r="W427" s="474"/>
      <c r="X427" s="344"/>
      <c r="Y427" s="475"/>
    </row>
    <row r="428" spans="2:25" x14ac:dyDescent="0.25">
      <c r="B428" s="375"/>
      <c r="C428" s="351" t="s">
        <v>67</v>
      </c>
      <c r="D428" s="354" t="s">
        <v>463</v>
      </c>
      <c r="E428" s="354"/>
      <c r="F428" s="576"/>
      <c r="G428" s="113"/>
      <c r="H428" s="576"/>
      <c r="I428" s="113"/>
      <c r="J428" s="576"/>
      <c r="K428" s="113"/>
      <c r="L428" s="21">
        <v>10</v>
      </c>
      <c r="M428" s="364"/>
      <c r="N428" s="80"/>
      <c r="O428" s="106"/>
      <c r="P428" s="570"/>
      <c r="Q428" s="570"/>
      <c r="R428" s="571"/>
      <c r="T428" s="18">
        <f t="shared" si="6"/>
        <v>0</v>
      </c>
      <c r="U428" s="338"/>
      <c r="V428" s="344"/>
      <c r="W428" s="474"/>
      <c r="X428" s="344"/>
      <c r="Y428" s="475"/>
    </row>
    <row r="429" spans="2:25" ht="26.4" x14ac:dyDescent="0.25">
      <c r="B429" s="375"/>
      <c r="C429" s="351"/>
      <c r="D429" s="71" t="s">
        <v>69</v>
      </c>
      <c r="E429" s="87" t="s">
        <v>465</v>
      </c>
      <c r="F429" s="576"/>
      <c r="G429" s="82">
        <f>'SQ_Auditoreingaben '!G415</f>
        <v>10</v>
      </c>
      <c r="H429" s="576"/>
      <c r="I429" s="104">
        <f>'1. Prüfung'!I429</f>
        <v>0</v>
      </c>
      <c r="J429" s="576"/>
      <c r="K429" s="69"/>
      <c r="L429" s="18">
        <v>10</v>
      </c>
      <c r="M429" s="364"/>
      <c r="N429" s="80"/>
      <c r="O429" s="106"/>
      <c r="P429" s="570"/>
      <c r="Q429" s="570"/>
      <c r="R429" s="571"/>
      <c r="T429" s="18">
        <f t="shared" si="6"/>
        <v>0</v>
      </c>
      <c r="U429" s="338"/>
      <c r="V429" s="344"/>
      <c r="W429" s="474"/>
      <c r="X429" s="344"/>
      <c r="Y429" s="475"/>
    </row>
    <row r="430" spans="2:25" x14ac:dyDescent="0.25">
      <c r="B430" s="375"/>
      <c r="C430" s="351" t="s">
        <v>154</v>
      </c>
      <c r="D430" s="354" t="s">
        <v>466</v>
      </c>
      <c r="E430" s="354"/>
      <c r="F430" s="576"/>
      <c r="G430" s="113"/>
      <c r="H430" s="576"/>
      <c r="I430" s="113"/>
      <c r="J430" s="576"/>
      <c r="K430" s="113"/>
      <c r="L430" s="21">
        <v>15</v>
      </c>
      <c r="M430" s="364"/>
      <c r="N430" s="80"/>
      <c r="O430" s="106"/>
      <c r="P430" s="570"/>
      <c r="Q430" s="570"/>
      <c r="R430" s="571"/>
      <c r="T430" s="18">
        <f t="shared" si="6"/>
        <v>0</v>
      </c>
      <c r="U430" s="338"/>
      <c r="V430" s="344"/>
      <c r="W430" s="474"/>
      <c r="X430" s="344"/>
      <c r="Y430" s="475"/>
    </row>
    <row r="431" spans="2:25" ht="26.4" x14ac:dyDescent="0.25">
      <c r="B431" s="375"/>
      <c r="C431" s="351"/>
      <c r="D431" s="71" t="s">
        <v>156</v>
      </c>
      <c r="E431" s="87" t="s">
        <v>467</v>
      </c>
      <c r="F431" s="576"/>
      <c r="G431" s="82">
        <f>'SQ_Auditoreingaben '!G417</f>
        <v>15</v>
      </c>
      <c r="H431" s="576"/>
      <c r="I431" s="104">
        <f>'1. Prüfung'!I431</f>
        <v>0</v>
      </c>
      <c r="J431" s="576"/>
      <c r="K431" s="69"/>
      <c r="L431" s="18">
        <v>15</v>
      </c>
      <c r="M431" s="364"/>
      <c r="N431" s="80"/>
      <c r="O431" s="106"/>
      <c r="P431" s="570"/>
      <c r="Q431" s="570"/>
      <c r="R431" s="571"/>
      <c r="T431" s="18">
        <f t="shared" si="6"/>
        <v>0</v>
      </c>
      <c r="U431" s="338"/>
      <c r="V431" s="344"/>
      <c r="W431" s="474"/>
      <c r="X431" s="344"/>
      <c r="Y431" s="475"/>
    </row>
    <row r="432" spans="2:25" x14ac:dyDescent="0.25">
      <c r="B432" s="375"/>
      <c r="C432" s="351" t="s">
        <v>468</v>
      </c>
      <c r="D432" s="354" t="s">
        <v>469</v>
      </c>
      <c r="E432" s="354"/>
      <c r="F432" s="576"/>
      <c r="G432" s="113"/>
      <c r="H432" s="576"/>
      <c r="I432" s="113"/>
      <c r="J432" s="576"/>
      <c r="K432" s="113"/>
      <c r="L432" s="21">
        <v>15</v>
      </c>
      <c r="M432" s="364"/>
      <c r="N432" s="80"/>
      <c r="O432" s="106"/>
      <c r="P432" s="570"/>
      <c r="Q432" s="570"/>
      <c r="R432" s="571"/>
      <c r="T432" s="18">
        <f t="shared" si="6"/>
        <v>0</v>
      </c>
      <c r="U432" s="338"/>
      <c r="V432" s="344"/>
      <c r="W432" s="474"/>
      <c r="X432" s="344"/>
      <c r="Y432" s="475"/>
    </row>
    <row r="433" spans="2:25" ht="26.4" x14ac:dyDescent="0.25">
      <c r="B433" s="375"/>
      <c r="C433" s="351"/>
      <c r="D433" s="71" t="s">
        <v>159</v>
      </c>
      <c r="E433" s="87" t="s">
        <v>470</v>
      </c>
      <c r="F433" s="576"/>
      <c r="G433" s="82">
        <f>'SQ_Auditoreingaben '!G419</f>
        <v>15</v>
      </c>
      <c r="H433" s="576"/>
      <c r="I433" s="104">
        <f>'1. Prüfung'!I433</f>
        <v>0</v>
      </c>
      <c r="J433" s="576"/>
      <c r="K433" s="69"/>
      <c r="L433" s="18">
        <v>15</v>
      </c>
      <c r="M433" s="364"/>
      <c r="N433" s="80"/>
      <c r="O433" s="106"/>
      <c r="P433" s="570"/>
      <c r="Q433" s="570"/>
      <c r="R433" s="571"/>
      <c r="T433" s="18">
        <f t="shared" si="6"/>
        <v>0</v>
      </c>
      <c r="U433" s="338"/>
      <c r="V433" s="344"/>
      <c r="W433" s="474"/>
      <c r="X433" s="344"/>
      <c r="Y433" s="475"/>
    </row>
    <row r="434" spans="2:25" x14ac:dyDescent="0.25">
      <c r="B434" s="375"/>
      <c r="C434" s="351" t="s">
        <v>282</v>
      </c>
      <c r="D434" s="354" t="s">
        <v>471</v>
      </c>
      <c r="E434" s="354"/>
      <c r="F434" s="576"/>
      <c r="G434" s="356"/>
      <c r="H434" s="576"/>
      <c r="I434" s="356"/>
      <c r="J434" s="576"/>
      <c r="K434" s="356"/>
      <c r="L434" s="21">
        <v>15</v>
      </c>
      <c r="M434" s="364"/>
      <c r="N434" s="80"/>
      <c r="O434" s="106"/>
      <c r="P434" s="570"/>
      <c r="Q434" s="570"/>
      <c r="R434" s="571"/>
      <c r="T434" s="18">
        <f t="shared" si="6"/>
        <v>0</v>
      </c>
      <c r="U434" s="338"/>
      <c r="V434" s="344"/>
      <c r="W434" s="474"/>
      <c r="X434" s="344"/>
      <c r="Y434" s="475"/>
    </row>
    <row r="435" spans="2:25" x14ac:dyDescent="0.25">
      <c r="B435" s="375"/>
      <c r="C435" s="351"/>
      <c r="D435" s="361" t="s">
        <v>284</v>
      </c>
      <c r="E435" s="90" t="s">
        <v>464</v>
      </c>
      <c r="F435" s="576"/>
      <c r="G435" s="356"/>
      <c r="H435" s="576"/>
      <c r="I435" s="356"/>
      <c r="J435" s="576"/>
      <c r="K435" s="356"/>
      <c r="L435" s="21">
        <v>15</v>
      </c>
      <c r="M435" s="364"/>
      <c r="N435" s="80"/>
      <c r="O435" s="106"/>
      <c r="P435" s="570"/>
      <c r="Q435" s="570"/>
      <c r="R435" s="571"/>
      <c r="T435" s="18">
        <f t="shared" si="6"/>
        <v>0</v>
      </c>
      <c r="U435" s="338"/>
      <c r="V435" s="344"/>
      <c r="W435" s="474"/>
      <c r="X435" s="344"/>
      <c r="Y435" s="475"/>
    </row>
    <row r="436" spans="2:25" ht="52.8" x14ac:dyDescent="0.25">
      <c r="B436" s="375"/>
      <c r="C436" s="351"/>
      <c r="D436" s="361"/>
      <c r="E436" s="77" t="s">
        <v>472</v>
      </c>
      <c r="F436" s="576"/>
      <c r="G436" s="82">
        <f>'SQ_Auditoreingaben '!G422</f>
        <v>0</v>
      </c>
      <c r="H436" s="576"/>
      <c r="I436" s="104">
        <f>'1. Prüfung'!I436</f>
        <v>0</v>
      </c>
      <c r="J436" s="576"/>
      <c r="K436" s="69"/>
      <c r="L436" s="18">
        <v>8</v>
      </c>
      <c r="M436" s="364"/>
      <c r="N436" s="80"/>
      <c r="O436" s="106"/>
      <c r="P436" s="570"/>
      <c r="Q436" s="570"/>
      <c r="R436" s="571"/>
      <c r="T436" s="18">
        <f t="shared" si="6"/>
        <v>0</v>
      </c>
      <c r="U436" s="338"/>
      <c r="V436" s="344"/>
      <c r="W436" s="474"/>
      <c r="X436" s="344"/>
      <c r="Y436" s="475"/>
    </row>
    <row r="437" spans="2:25" ht="39.6" x14ac:dyDescent="0.25">
      <c r="B437" s="375"/>
      <c r="C437" s="351"/>
      <c r="D437" s="361"/>
      <c r="E437" s="77" t="s">
        <v>473</v>
      </c>
      <c r="F437" s="576"/>
      <c r="G437" s="82">
        <f>'SQ_Auditoreingaben '!G423</f>
        <v>0</v>
      </c>
      <c r="H437" s="576"/>
      <c r="I437" s="104">
        <f>'1. Prüfung'!I437</f>
        <v>0</v>
      </c>
      <c r="J437" s="576"/>
      <c r="K437" s="69"/>
      <c r="L437" s="18">
        <v>7</v>
      </c>
      <c r="M437" s="364"/>
      <c r="N437" s="80"/>
      <c r="O437" s="106"/>
      <c r="P437" s="570"/>
      <c r="Q437" s="570"/>
      <c r="R437" s="571"/>
      <c r="T437" s="18">
        <f t="shared" si="6"/>
        <v>0</v>
      </c>
      <c r="U437" s="339"/>
      <c r="V437" s="365"/>
      <c r="W437" s="474"/>
      <c r="X437" s="365"/>
      <c r="Y437" s="475"/>
    </row>
    <row r="438" spans="2:25" x14ac:dyDescent="0.25">
      <c r="B438" s="55" t="s">
        <v>474</v>
      </c>
      <c r="C438" s="354" t="s">
        <v>475</v>
      </c>
      <c r="D438" s="354"/>
      <c r="E438" s="354"/>
      <c r="F438" s="78">
        <f>'SQ_Auditoreingaben '!F424</f>
        <v>72</v>
      </c>
      <c r="G438" s="364"/>
      <c r="H438" s="105">
        <f>'1. Prüfung'!H438</f>
        <v>0</v>
      </c>
      <c r="I438" s="364"/>
      <c r="J438" s="91">
        <f>U438</f>
        <v>0</v>
      </c>
      <c r="K438" s="364"/>
      <c r="L438" s="21">
        <v>100</v>
      </c>
      <c r="M438" s="88">
        <v>2</v>
      </c>
      <c r="N438" s="80"/>
      <c r="O438" s="106"/>
      <c r="P438" s="570"/>
      <c r="Q438" s="570"/>
      <c r="R438" s="571"/>
      <c r="T438" s="18">
        <f t="shared" si="6"/>
        <v>0</v>
      </c>
      <c r="U438" s="337">
        <f>SUM(T441:T457)</f>
        <v>0</v>
      </c>
      <c r="V438" s="343">
        <f>U438/100</f>
        <v>0</v>
      </c>
      <c r="W438" s="474">
        <v>0.2</v>
      </c>
      <c r="X438" s="343">
        <f>IF((V438*M438+V458*M458+V485*M485+V509*M509+V522*M522+V536*M536)/(M438+M458+M485+M509+M522+M536)&gt;1,1,(V438*M438+V458*M458+V485*M485+V509*M509+V522*M522+V536*M536)/(M438+M458+M485+M509+M522+M536))</f>
        <v>0</v>
      </c>
      <c r="Y438" s="475"/>
    </row>
    <row r="439" spans="2:25" x14ac:dyDescent="0.25">
      <c r="B439" s="375"/>
      <c r="C439" s="351" t="s">
        <v>54</v>
      </c>
      <c r="D439" s="354" t="s">
        <v>476</v>
      </c>
      <c r="E439" s="354"/>
      <c r="F439" s="576"/>
      <c r="G439" s="364"/>
      <c r="H439" s="576"/>
      <c r="I439" s="364"/>
      <c r="J439" s="576"/>
      <c r="K439" s="364"/>
      <c r="L439" s="21">
        <v>36</v>
      </c>
      <c r="M439" s="364"/>
      <c r="N439" s="80"/>
      <c r="O439" s="106"/>
      <c r="P439" s="570"/>
      <c r="Q439" s="570"/>
      <c r="R439" s="571"/>
      <c r="T439" s="18">
        <f t="shared" si="6"/>
        <v>0</v>
      </c>
      <c r="U439" s="338"/>
      <c r="V439" s="344"/>
      <c r="W439" s="474"/>
      <c r="X439" s="344"/>
      <c r="Y439" s="475"/>
    </row>
    <row r="440" spans="2:25" x14ac:dyDescent="0.25">
      <c r="B440" s="375"/>
      <c r="C440" s="351"/>
      <c r="D440" s="361" t="s">
        <v>58</v>
      </c>
      <c r="E440" s="90" t="s">
        <v>477</v>
      </c>
      <c r="F440" s="576"/>
      <c r="G440" s="364"/>
      <c r="H440" s="576"/>
      <c r="I440" s="364"/>
      <c r="J440" s="576"/>
      <c r="K440" s="364"/>
      <c r="L440" s="21">
        <v>36</v>
      </c>
      <c r="M440" s="364"/>
      <c r="N440" s="80"/>
      <c r="O440" s="106"/>
      <c r="P440" s="570"/>
      <c r="Q440" s="570"/>
      <c r="R440" s="571"/>
      <c r="T440" s="18">
        <f t="shared" si="6"/>
        <v>0</v>
      </c>
      <c r="U440" s="338"/>
      <c r="V440" s="344"/>
      <c r="W440" s="474"/>
      <c r="X440" s="344"/>
      <c r="Y440" s="475"/>
    </row>
    <row r="441" spans="2:25" ht="39.6" x14ac:dyDescent="0.25">
      <c r="B441" s="375"/>
      <c r="C441" s="351"/>
      <c r="D441" s="361"/>
      <c r="E441" s="77" t="s">
        <v>478</v>
      </c>
      <c r="F441" s="576"/>
      <c r="G441" s="82">
        <f>'SQ_Auditoreingaben '!G427</f>
        <v>24</v>
      </c>
      <c r="H441" s="576"/>
      <c r="I441" s="104">
        <f>'1. Prüfung'!I441</f>
        <v>0</v>
      </c>
      <c r="J441" s="576"/>
      <c r="K441" s="69"/>
      <c r="L441" s="18">
        <v>24</v>
      </c>
      <c r="M441" s="364"/>
      <c r="N441" s="80"/>
      <c r="O441" s="106"/>
      <c r="P441" s="570"/>
      <c r="Q441" s="570"/>
      <c r="R441" s="571"/>
      <c r="T441" s="18">
        <f t="shared" si="6"/>
        <v>0</v>
      </c>
      <c r="U441" s="338"/>
      <c r="V441" s="344"/>
      <c r="W441" s="474"/>
      <c r="X441" s="344"/>
      <c r="Y441" s="475"/>
    </row>
    <row r="442" spans="2:25" ht="39.6" x14ac:dyDescent="0.25">
      <c r="B442" s="375"/>
      <c r="C442" s="351"/>
      <c r="D442" s="361"/>
      <c r="E442" s="77" t="s">
        <v>479</v>
      </c>
      <c r="F442" s="576"/>
      <c r="G442" s="82">
        <f>'SQ_Auditoreingaben '!G428</f>
        <v>12</v>
      </c>
      <c r="H442" s="576"/>
      <c r="I442" s="104">
        <f>'1. Prüfung'!I442</f>
        <v>0</v>
      </c>
      <c r="J442" s="576"/>
      <c r="K442" s="69"/>
      <c r="L442" s="18">
        <v>12</v>
      </c>
      <c r="M442" s="364"/>
      <c r="N442" s="80"/>
      <c r="O442" s="106"/>
      <c r="P442" s="570"/>
      <c r="Q442" s="570"/>
      <c r="R442" s="571"/>
      <c r="T442" s="18">
        <f t="shared" si="6"/>
        <v>0</v>
      </c>
      <c r="U442" s="338"/>
      <c r="V442" s="344"/>
      <c r="W442" s="474"/>
      <c r="X442" s="344"/>
      <c r="Y442" s="475"/>
    </row>
    <row r="443" spans="2:25" x14ac:dyDescent="0.25">
      <c r="B443" s="375"/>
      <c r="C443" s="351" t="s">
        <v>61</v>
      </c>
      <c r="D443" s="354" t="s">
        <v>480</v>
      </c>
      <c r="E443" s="354"/>
      <c r="F443" s="576"/>
      <c r="G443" s="113"/>
      <c r="H443" s="576"/>
      <c r="I443" s="113"/>
      <c r="J443" s="576"/>
      <c r="K443" s="113"/>
      <c r="L443" s="21">
        <v>34</v>
      </c>
      <c r="M443" s="364"/>
      <c r="N443" s="80"/>
      <c r="O443" s="106"/>
      <c r="P443" s="570"/>
      <c r="Q443" s="570"/>
      <c r="R443" s="571"/>
      <c r="T443" s="18">
        <f t="shared" si="6"/>
        <v>0</v>
      </c>
      <c r="U443" s="338"/>
      <c r="V443" s="344"/>
      <c r="W443" s="474"/>
      <c r="X443" s="344"/>
      <c r="Y443" s="475"/>
    </row>
    <row r="444" spans="2:25" ht="39.6" x14ac:dyDescent="0.25">
      <c r="B444" s="375"/>
      <c r="C444" s="351"/>
      <c r="D444" s="71" t="s">
        <v>63</v>
      </c>
      <c r="E444" s="87" t="s">
        <v>481</v>
      </c>
      <c r="F444" s="576"/>
      <c r="G444" s="82">
        <f>'SQ_Auditoreingaben '!G430</f>
        <v>10</v>
      </c>
      <c r="H444" s="576"/>
      <c r="I444" s="104">
        <f>'1. Prüfung'!I444</f>
        <v>0</v>
      </c>
      <c r="J444" s="576"/>
      <c r="K444" s="69"/>
      <c r="L444" s="18">
        <v>14</v>
      </c>
      <c r="M444" s="364"/>
      <c r="N444" s="80"/>
      <c r="O444" s="106"/>
      <c r="P444" s="570"/>
      <c r="Q444" s="570"/>
      <c r="R444" s="571"/>
      <c r="T444" s="18">
        <f t="shared" si="6"/>
        <v>0</v>
      </c>
      <c r="U444" s="338"/>
      <c r="V444" s="344"/>
      <c r="W444" s="474"/>
      <c r="X444" s="344"/>
      <c r="Y444" s="475"/>
    </row>
    <row r="445" spans="2:25" ht="26.4" x14ac:dyDescent="0.25">
      <c r="B445" s="375"/>
      <c r="C445" s="351"/>
      <c r="D445" s="71" t="s">
        <v>186</v>
      </c>
      <c r="E445" s="87" t="s">
        <v>482</v>
      </c>
      <c r="F445" s="576"/>
      <c r="G445" s="82">
        <f>'SQ_Auditoreingaben '!G431</f>
        <v>11</v>
      </c>
      <c r="H445" s="576"/>
      <c r="I445" s="104">
        <f>'1. Prüfung'!I445</f>
        <v>0</v>
      </c>
      <c r="J445" s="576"/>
      <c r="K445" s="69"/>
      <c r="L445" s="18">
        <v>11</v>
      </c>
      <c r="M445" s="364"/>
      <c r="N445" s="80"/>
      <c r="O445" s="106"/>
      <c r="P445" s="570"/>
      <c r="Q445" s="570"/>
      <c r="R445" s="571"/>
      <c r="T445" s="18">
        <f t="shared" si="6"/>
        <v>0</v>
      </c>
      <c r="U445" s="338"/>
      <c r="V445" s="344"/>
      <c r="W445" s="474"/>
      <c r="X445" s="344"/>
      <c r="Y445" s="475"/>
    </row>
    <row r="446" spans="2:25" x14ac:dyDescent="0.25">
      <c r="B446" s="375"/>
      <c r="C446" s="351"/>
      <c r="D446" s="361" t="s">
        <v>255</v>
      </c>
      <c r="E446" s="87" t="s">
        <v>483</v>
      </c>
      <c r="F446" s="576"/>
      <c r="G446" s="113"/>
      <c r="H446" s="576"/>
      <c r="I446" s="113"/>
      <c r="J446" s="576"/>
      <c r="K446" s="113"/>
      <c r="L446" s="21">
        <v>9</v>
      </c>
      <c r="M446" s="364"/>
      <c r="N446" s="80"/>
      <c r="O446" s="106"/>
      <c r="P446" s="570"/>
      <c r="Q446" s="570"/>
      <c r="R446" s="571"/>
      <c r="T446" s="18">
        <f t="shared" si="6"/>
        <v>0</v>
      </c>
      <c r="U446" s="338"/>
      <c r="V446" s="344"/>
      <c r="W446" s="474"/>
      <c r="X446" s="344"/>
      <c r="Y446" s="475"/>
    </row>
    <row r="447" spans="2:25" ht="66" x14ac:dyDescent="0.25">
      <c r="B447" s="375"/>
      <c r="C447" s="351"/>
      <c r="D447" s="361"/>
      <c r="E447" s="77" t="s">
        <v>484</v>
      </c>
      <c r="F447" s="576"/>
      <c r="G447" s="82">
        <f>'SQ_Auditoreingaben '!G433</f>
        <v>3</v>
      </c>
      <c r="H447" s="576"/>
      <c r="I447" s="104">
        <f>'1. Prüfung'!I447</f>
        <v>0</v>
      </c>
      <c r="J447" s="576"/>
      <c r="K447" s="69"/>
      <c r="L447" s="18">
        <v>3</v>
      </c>
      <c r="M447" s="364"/>
      <c r="N447" s="80"/>
      <c r="O447" s="106"/>
      <c r="P447" s="570"/>
      <c r="Q447" s="570"/>
      <c r="R447" s="571"/>
      <c r="T447" s="18">
        <f t="shared" si="6"/>
        <v>0</v>
      </c>
      <c r="U447" s="338"/>
      <c r="V447" s="344"/>
      <c r="W447" s="474"/>
      <c r="X447" s="344"/>
      <c r="Y447" s="475"/>
    </row>
    <row r="448" spans="2:25" ht="66" x14ac:dyDescent="0.25">
      <c r="B448" s="375"/>
      <c r="C448" s="351"/>
      <c r="D448" s="361"/>
      <c r="E448" s="77" t="s">
        <v>485</v>
      </c>
      <c r="F448" s="576"/>
      <c r="G448" s="82">
        <f>'SQ_Auditoreingaben '!G434</f>
        <v>3</v>
      </c>
      <c r="H448" s="576"/>
      <c r="I448" s="104">
        <f>'1. Prüfung'!I448</f>
        <v>0</v>
      </c>
      <c r="J448" s="576"/>
      <c r="K448" s="69"/>
      <c r="L448" s="18">
        <v>3</v>
      </c>
      <c r="M448" s="364"/>
      <c r="N448" s="80"/>
      <c r="O448" s="106"/>
      <c r="P448" s="570"/>
      <c r="Q448" s="570"/>
      <c r="R448" s="571"/>
      <c r="T448" s="18">
        <f t="shared" si="6"/>
        <v>0</v>
      </c>
      <c r="U448" s="338"/>
      <c r="V448" s="344"/>
      <c r="W448" s="474"/>
      <c r="X448" s="344"/>
      <c r="Y448" s="475"/>
    </row>
    <row r="449" spans="2:25" ht="39.6" x14ac:dyDescent="0.25">
      <c r="B449" s="375"/>
      <c r="C449" s="351"/>
      <c r="D449" s="361"/>
      <c r="E449" s="77" t="s">
        <v>486</v>
      </c>
      <c r="F449" s="576"/>
      <c r="G449" s="82">
        <f>'SQ_Auditoreingaben '!G435</f>
        <v>3</v>
      </c>
      <c r="H449" s="576"/>
      <c r="I449" s="104">
        <f>'1. Prüfung'!I449</f>
        <v>0</v>
      </c>
      <c r="J449" s="576"/>
      <c r="K449" s="69"/>
      <c r="L449" s="18">
        <v>3</v>
      </c>
      <c r="M449" s="364"/>
      <c r="N449" s="80"/>
      <c r="O449" s="106"/>
      <c r="P449" s="570"/>
      <c r="Q449" s="570"/>
      <c r="R449" s="571"/>
      <c r="T449" s="18">
        <f t="shared" si="6"/>
        <v>0</v>
      </c>
      <c r="U449" s="338"/>
      <c r="V449" s="344"/>
      <c r="W449" s="474"/>
      <c r="X449" s="344"/>
      <c r="Y449" s="475"/>
    </row>
    <row r="450" spans="2:25" x14ac:dyDescent="0.25">
      <c r="B450" s="375"/>
      <c r="C450" s="351" t="s">
        <v>64</v>
      </c>
      <c r="D450" s="354" t="s">
        <v>487</v>
      </c>
      <c r="E450" s="354"/>
      <c r="F450" s="576"/>
      <c r="G450" s="113"/>
      <c r="H450" s="576"/>
      <c r="I450" s="113"/>
      <c r="J450" s="576"/>
      <c r="K450" s="113"/>
      <c r="L450" s="21">
        <v>30</v>
      </c>
      <c r="M450" s="364"/>
      <c r="N450" s="80"/>
      <c r="O450" s="106"/>
      <c r="P450" s="570"/>
      <c r="Q450" s="570"/>
      <c r="R450" s="571"/>
      <c r="T450" s="18">
        <f t="shared" si="6"/>
        <v>0</v>
      </c>
      <c r="U450" s="338"/>
      <c r="V450" s="344"/>
      <c r="W450" s="474"/>
      <c r="X450" s="344"/>
      <c r="Y450" s="475"/>
    </row>
    <row r="451" spans="2:25" ht="92.4" x14ac:dyDescent="0.25">
      <c r="B451" s="375"/>
      <c r="C451" s="351"/>
      <c r="D451" s="71" t="s">
        <v>66</v>
      </c>
      <c r="E451" s="77" t="s">
        <v>493</v>
      </c>
      <c r="F451" s="576"/>
      <c r="G451" s="82">
        <f>'SQ_Auditoreingaben '!G437</f>
        <v>0</v>
      </c>
      <c r="H451" s="576"/>
      <c r="I451" s="104">
        <f>'1. Prüfung'!I451</f>
        <v>0</v>
      </c>
      <c r="J451" s="576"/>
      <c r="K451" s="69"/>
      <c r="L451" s="18">
        <v>6</v>
      </c>
      <c r="M451" s="364"/>
      <c r="N451" s="80"/>
      <c r="O451" s="106"/>
      <c r="P451" s="570"/>
      <c r="Q451" s="570"/>
      <c r="R451" s="571"/>
      <c r="T451" s="18">
        <f t="shared" si="6"/>
        <v>0</v>
      </c>
      <c r="U451" s="338"/>
      <c r="V451" s="344"/>
      <c r="W451" s="474"/>
      <c r="X451" s="344"/>
      <c r="Y451" s="475"/>
    </row>
    <row r="452" spans="2:25" ht="79.2" x14ac:dyDescent="0.25">
      <c r="B452" s="375"/>
      <c r="C452" s="351"/>
      <c r="D452" s="71" t="s">
        <v>188</v>
      </c>
      <c r="E452" s="77" t="s">
        <v>494</v>
      </c>
      <c r="F452" s="576"/>
      <c r="G452" s="82">
        <f>'SQ_Auditoreingaben '!G438</f>
        <v>6</v>
      </c>
      <c r="H452" s="576"/>
      <c r="I452" s="104">
        <f>'1. Prüfung'!I452</f>
        <v>0</v>
      </c>
      <c r="J452" s="576"/>
      <c r="K452" s="69"/>
      <c r="L452" s="18">
        <v>6</v>
      </c>
      <c r="M452" s="364"/>
      <c r="N452" s="80"/>
      <c r="O452" s="106"/>
      <c r="P452" s="570"/>
      <c r="Q452" s="570"/>
      <c r="R452" s="571"/>
      <c r="T452" s="18">
        <f t="shared" si="6"/>
        <v>0</v>
      </c>
      <c r="U452" s="338"/>
      <c r="V452" s="344"/>
      <c r="W452" s="474"/>
      <c r="X452" s="344"/>
      <c r="Y452" s="475"/>
    </row>
    <row r="453" spans="2:25" x14ac:dyDescent="0.25">
      <c r="B453" s="375"/>
      <c r="C453" s="351"/>
      <c r="D453" s="361" t="s">
        <v>150</v>
      </c>
      <c r="E453" s="87" t="s">
        <v>488</v>
      </c>
      <c r="F453" s="576"/>
      <c r="G453" s="113"/>
      <c r="H453" s="576"/>
      <c r="I453" s="113"/>
      <c r="J453" s="576"/>
      <c r="K453" s="113"/>
      <c r="L453" s="21">
        <v>18</v>
      </c>
      <c r="M453" s="364"/>
      <c r="N453" s="80"/>
      <c r="O453" s="106"/>
      <c r="P453" s="570"/>
      <c r="Q453" s="570"/>
      <c r="R453" s="571"/>
      <c r="T453" s="18">
        <f t="shared" si="6"/>
        <v>0</v>
      </c>
      <c r="U453" s="338"/>
      <c r="V453" s="344"/>
      <c r="W453" s="474"/>
      <c r="X453" s="344"/>
      <c r="Y453" s="475"/>
    </row>
    <row r="454" spans="2:25" ht="66" x14ac:dyDescent="0.25">
      <c r="B454" s="375"/>
      <c r="C454" s="351"/>
      <c r="D454" s="361"/>
      <c r="E454" s="77" t="s">
        <v>489</v>
      </c>
      <c r="F454" s="576"/>
      <c r="G454" s="82">
        <f>'SQ_Auditoreingaben '!G440</f>
        <v>0</v>
      </c>
      <c r="H454" s="576"/>
      <c r="I454" s="104">
        <f>'1. Prüfung'!I454</f>
        <v>0</v>
      </c>
      <c r="J454" s="576"/>
      <c r="K454" s="69"/>
      <c r="L454" s="18">
        <v>9</v>
      </c>
      <c r="M454" s="364"/>
      <c r="N454" s="80"/>
      <c r="O454" s="106"/>
      <c r="P454" s="570"/>
      <c r="Q454" s="570"/>
      <c r="R454" s="571"/>
      <c r="T454" s="18">
        <f t="shared" si="6"/>
        <v>0</v>
      </c>
      <c r="U454" s="338"/>
      <c r="V454" s="344"/>
      <c r="W454" s="474"/>
      <c r="X454" s="344"/>
      <c r="Y454" s="475"/>
    </row>
    <row r="455" spans="2:25" ht="66" x14ac:dyDescent="0.25">
      <c r="B455" s="375"/>
      <c r="C455" s="351"/>
      <c r="D455" s="361"/>
      <c r="E455" s="77" t="s">
        <v>490</v>
      </c>
      <c r="F455" s="576"/>
      <c r="G455" s="82">
        <f>'SQ_Auditoreingaben '!G441</f>
        <v>0</v>
      </c>
      <c r="H455" s="576"/>
      <c r="I455" s="104">
        <f>'1. Prüfung'!I455</f>
        <v>0</v>
      </c>
      <c r="J455" s="576"/>
      <c r="K455" s="69"/>
      <c r="L455" s="18">
        <v>3</v>
      </c>
      <c r="M455" s="364"/>
      <c r="N455" s="80"/>
      <c r="O455" s="106"/>
      <c r="P455" s="570"/>
      <c r="Q455" s="570"/>
      <c r="R455" s="571"/>
      <c r="T455" s="18">
        <f t="shared" si="6"/>
        <v>0</v>
      </c>
      <c r="U455" s="338"/>
      <c r="V455" s="344"/>
      <c r="W455" s="474"/>
      <c r="X455" s="344"/>
      <c r="Y455" s="475"/>
    </row>
    <row r="456" spans="2:25" ht="66" x14ac:dyDescent="0.25">
      <c r="B456" s="375"/>
      <c r="C456" s="351"/>
      <c r="D456" s="361"/>
      <c r="E456" s="77" t="s">
        <v>491</v>
      </c>
      <c r="F456" s="576"/>
      <c r="G456" s="82">
        <f>'SQ_Auditoreingaben '!G442</f>
        <v>0</v>
      </c>
      <c r="H456" s="576"/>
      <c r="I456" s="104">
        <f>'1. Prüfung'!I456</f>
        <v>0</v>
      </c>
      <c r="J456" s="576"/>
      <c r="K456" s="69"/>
      <c r="L456" s="18">
        <v>3</v>
      </c>
      <c r="M456" s="364"/>
      <c r="N456" s="80"/>
      <c r="O456" s="106"/>
      <c r="P456" s="570"/>
      <c r="Q456" s="570"/>
      <c r="R456" s="571"/>
      <c r="T456" s="18">
        <f t="shared" si="6"/>
        <v>0</v>
      </c>
      <c r="U456" s="338"/>
      <c r="V456" s="344"/>
      <c r="W456" s="474"/>
      <c r="X456" s="344"/>
      <c r="Y456" s="475"/>
    </row>
    <row r="457" spans="2:25" ht="79.2" x14ac:dyDescent="0.25">
      <c r="B457" s="375"/>
      <c r="C457" s="351"/>
      <c r="D457" s="361"/>
      <c r="E457" s="77" t="s">
        <v>492</v>
      </c>
      <c r="F457" s="576"/>
      <c r="G457" s="82">
        <f>'SQ_Auditoreingaben '!G443</f>
        <v>0</v>
      </c>
      <c r="H457" s="576"/>
      <c r="I457" s="104">
        <f>'1. Prüfung'!I457</f>
        <v>0</v>
      </c>
      <c r="J457" s="576"/>
      <c r="K457" s="69"/>
      <c r="L457" s="18">
        <v>3</v>
      </c>
      <c r="M457" s="364"/>
      <c r="N457" s="80"/>
      <c r="O457" s="106"/>
      <c r="P457" s="570"/>
      <c r="Q457" s="570"/>
      <c r="R457" s="571"/>
      <c r="T457" s="18">
        <f t="shared" si="6"/>
        <v>0</v>
      </c>
      <c r="U457" s="339"/>
      <c r="V457" s="365"/>
      <c r="W457" s="474"/>
      <c r="X457" s="344"/>
      <c r="Y457" s="475"/>
    </row>
    <row r="458" spans="2:25" x14ac:dyDescent="0.25">
      <c r="B458" s="55" t="s">
        <v>495</v>
      </c>
      <c r="C458" s="354" t="s">
        <v>496</v>
      </c>
      <c r="D458" s="354"/>
      <c r="E458" s="354"/>
      <c r="F458" s="78">
        <f>'SQ_Auditoreingaben '!F444</f>
        <v>61</v>
      </c>
      <c r="G458" s="364"/>
      <c r="H458" s="105">
        <f>'1. Prüfung'!H458</f>
        <v>0</v>
      </c>
      <c r="I458" s="364"/>
      <c r="J458" s="91">
        <f>U458</f>
        <v>0</v>
      </c>
      <c r="K458" s="364"/>
      <c r="L458" s="21">
        <v>100</v>
      </c>
      <c r="M458" s="88">
        <v>3</v>
      </c>
      <c r="N458" s="80"/>
      <c r="O458" s="106"/>
      <c r="P458" s="570"/>
      <c r="Q458" s="570"/>
      <c r="R458" s="571"/>
      <c r="T458" s="18">
        <f t="shared" si="6"/>
        <v>0</v>
      </c>
      <c r="U458" s="337">
        <f>SUM(IF(T460&gt;0,T460,IF(T461&gt;0,T461,IF(T462&gt;0,T462,IF(T463&gt;0,T463,0)))),IF(T465&gt;0,T465,IF(T466&gt;0,T466,IF(T467&gt;0,T467,IF(T468&gt;0,T468,0)))),IF(T470&gt;0,T470,IF(T471&gt;0,T471,IF(T472&gt;0,T472,IF(T473&gt;0,T473,0)))),IF(T475&gt;0,T475,IF(T476&gt;0,T476,IF(T477&gt;0,T477,IF(T478&gt;0,T478,0)))),SUM(T480:T484))</f>
        <v>0</v>
      </c>
      <c r="V458" s="343">
        <f>U458/100</f>
        <v>0</v>
      </c>
      <c r="W458" s="474"/>
      <c r="X458" s="344"/>
      <c r="Y458" s="475"/>
    </row>
    <row r="459" spans="2:25" ht="80.099999999999994" customHeight="1" x14ac:dyDescent="0.25">
      <c r="B459" s="375"/>
      <c r="C459" s="351" t="s">
        <v>54</v>
      </c>
      <c r="D459" s="584" t="s">
        <v>685</v>
      </c>
      <c r="E459" s="585"/>
      <c r="F459" s="576"/>
      <c r="G459" s="364"/>
      <c r="H459" s="576"/>
      <c r="I459" s="364"/>
      <c r="J459" s="576"/>
      <c r="K459" s="364"/>
      <c r="L459" s="21">
        <v>10</v>
      </c>
      <c r="M459" s="364"/>
      <c r="N459" s="80"/>
      <c r="O459" s="106"/>
      <c r="P459" s="570"/>
      <c r="Q459" s="570"/>
      <c r="R459" s="571"/>
      <c r="T459" s="18">
        <f t="shared" si="6"/>
        <v>0</v>
      </c>
      <c r="U459" s="338"/>
      <c r="V459" s="344"/>
      <c r="W459" s="474"/>
      <c r="X459" s="344"/>
      <c r="Y459" s="475"/>
    </row>
    <row r="460" spans="2:25" ht="132" x14ac:dyDescent="0.25">
      <c r="B460" s="375"/>
      <c r="C460" s="351"/>
      <c r="D460" s="71" t="s">
        <v>58</v>
      </c>
      <c r="E460" s="77" t="s">
        <v>582</v>
      </c>
      <c r="F460" s="576"/>
      <c r="G460" s="82">
        <f>'SQ_Auditoreingaben '!G446</f>
        <v>0</v>
      </c>
      <c r="H460" s="576"/>
      <c r="I460" s="104">
        <f>'1. Prüfung'!I460</f>
        <v>0</v>
      </c>
      <c r="J460" s="576"/>
      <c r="K460" s="69"/>
      <c r="L460" s="18">
        <v>2</v>
      </c>
      <c r="M460" s="364"/>
      <c r="N460" s="80"/>
      <c r="O460" s="106"/>
      <c r="P460" s="570"/>
      <c r="Q460" s="570"/>
      <c r="R460" s="571"/>
      <c r="T460" s="18">
        <f t="shared" si="6"/>
        <v>0</v>
      </c>
      <c r="U460" s="338"/>
      <c r="V460" s="344"/>
      <c r="W460" s="474"/>
      <c r="X460" s="344"/>
      <c r="Y460" s="475"/>
    </row>
    <row r="461" spans="2:25" ht="105.6" x14ac:dyDescent="0.25">
      <c r="B461" s="375"/>
      <c r="C461" s="351"/>
      <c r="D461" s="71" t="s">
        <v>181</v>
      </c>
      <c r="E461" s="77" t="s">
        <v>683</v>
      </c>
      <c r="F461" s="576"/>
      <c r="G461" s="82">
        <f>'SQ_Auditoreingaben '!G447</f>
        <v>5</v>
      </c>
      <c r="H461" s="576"/>
      <c r="I461" s="104">
        <f>'1. Prüfung'!I461</f>
        <v>0</v>
      </c>
      <c r="J461" s="576"/>
      <c r="K461" s="69"/>
      <c r="L461" s="18">
        <v>5</v>
      </c>
      <c r="M461" s="364"/>
      <c r="N461" s="80"/>
      <c r="O461" s="106"/>
      <c r="P461" s="570"/>
      <c r="Q461" s="570"/>
      <c r="R461" s="571"/>
      <c r="T461" s="18">
        <f t="shared" si="6"/>
        <v>0</v>
      </c>
      <c r="U461" s="338"/>
      <c r="V461" s="344"/>
      <c r="W461" s="474"/>
      <c r="X461" s="344"/>
      <c r="Y461" s="475"/>
    </row>
    <row r="462" spans="2:25" ht="145.19999999999999" x14ac:dyDescent="0.25">
      <c r="B462" s="375"/>
      <c r="C462" s="351"/>
      <c r="D462" s="71" t="s">
        <v>246</v>
      </c>
      <c r="E462" s="77" t="s">
        <v>684</v>
      </c>
      <c r="F462" s="576"/>
      <c r="G462" s="82">
        <f>'SQ_Auditoreingaben '!G448</f>
        <v>0</v>
      </c>
      <c r="H462" s="576"/>
      <c r="I462" s="104">
        <f>'1. Prüfung'!I462</f>
        <v>0</v>
      </c>
      <c r="J462" s="576"/>
      <c r="K462" s="69"/>
      <c r="L462" s="18">
        <v>7</v>
      </c>
      <c r="M462" s="364"/>
      <c r="N462" s="80"/>
      <c r="O462" s="106"/>
      <c r="P462" s="570"/>
      <c r="Q462" s="570"/>
      <c r="R462" s="571"/>
      <c r="T462" s="18">
        <f t="shared" si="6"/>
        <v>0</v>
      </c>
      <c r="U462" s="338"/>
      <c r="V462" s="344"/>
      <c r="W462" s="474"/>
      <c r="X462" s="344"/>
      <c r="Y462" s="475"/>
    </row>
    <row r="463" spans="2:25" ht="132" x14ac:dyDescent="0.25">
      <c r="B463" s="375"/>
      <c r="C463" s="351"/>
      <c r="D463" s="71" t="s">
        <v>250</v>
      </c>
      <c r="E463" s="77" t="s">
        <v>583</v>
      </c>
      <c r="F463" s="576"/>
      <c r="G463" s="82">
        <f>'SQ_Auditoreingaben '!G449</f>
        <v>0</v>
      </c>
      <c r="H463" s="576"/>
      <c r="I463" s="104">
        <f>'1. Prüfung'!I463</f>
        <v>0</v>
      </c>
      <c r="J463" s="576"/>
      <c r="K463" s="69"/>
      <c r="L463" s="18">
        <v>10</v>
      </c>
      <c r="M463" s="364"/>
      <c r="N463" s="80"/>
      <c r="O463" s="106"/>
      <c r="P463" s="570"/>
      <c r="Q463" s="570"/>
      <c r="R463" s="571"/>
      <c r="T463" s="18">
        <f t="shared" si="6"/>
        <v>0</v>
      </c>
      <c r="U463" s="338"/>
      <c r="V463" s="344"/>
      <c r="W463" s="474"/>
      <c r="X463" s="344"/>
      <c r="Y463" s="475"/>
    </row>
    <row r="464" spans="2:25" ht="80.099999999999994" customHeight="1" x14ac:dyDescent="0.25">
      <c r="B464" s="375"/>
      <c r="C464" s="351" t="s">
        <v>61</v>
      </c>
      <c r="D464" s="584" t="s">
        <v>686</v>
      </c>
      <c r="E464" s="585"/>
      <c r="F464" s="576"/>
      <c r="G464" s="113"/>
      <c r="H464" s="576"/>
      <c r="I464" s="113"/>
      <c r="J464" s="576"/>
      <c r="K464" s="113"/>
      <c r="L464" s="21">
        <v>10</v>
      </c>
      <c r="M464" s="364"/>
      <c r="N464" s="80"/>
      <c r="O464" s="106"/>
      <c r="P464" s="570"/>
      <c r="Q464" s="570"/>
      <c r="R464" s="571"/>
      <c r="T464" s="18">
        <f t="shared" si="6"/>
        <v>0</v>
      </c>
      <c r="U464" s="338"/>
      <c r="V464" s="344"/>
      <c r="W464" s="474"/>
      <c r="X464" s="344"/>
      <c r="Y464" s="475"/>
    </row>
    <row r="465" spans="2:25" ht="39.6" x14ac:dyDescent="0.25">
      <c r="B465" s="375"/>
      <c r="C465" s="351"/>
      <c r="D465" s="71" t="s">
        <v>63</v>
      </c>
      <c r="E465" s="77" t="s">
        <v>584</v>
      </c>
      <c r="F465" s="576"/>
      <c r="G465" s="82">
        <f>'SQ_Auditoreingaben '!G451</f>
        <v>2</v>
      </c>
      <c r="H465" s="576"/>
      <c r="I465" s="104">
        <f>'1. Prüfung'!I465</f>
        <v>0</v>
      </c>
      <c r="J465" s="576"/>
      <c r="K465" s="69"/>
      <c r="L465" s="18">
        <v>2</v>
      </c>
      <c r="M465" s="364"/>
      <c r="N465" s="80"/>
      <c r="O465" s="106"/>
      <c r="P465" s="570"/>
      <c r="Q465" s="570"/>
      <c r="R465" s="571"/>
      <c r="T465" s="18">
        <f t="shared" si="6"/>
        <v>0</v>
      </c>
      <c r="U465" s="338"/>
      <c r="V465" s="344"/>
      <c r="W465" s="474"/>
      <c r="X465" s="344"/>
      <c r="Y465" s="475"/>
    </row>
    <row r="466" spans="2:25" ht="39.6" x14ac:dyDescent="0.25">
      <c r="B466" s="375"/>
      <c r="C466" s="351"/>
      <c r="D466" s="71" t="s">
        <v>186</v>
      </c>
      <c r="E466" s="77" t="s">
        <v>585</v>
      </c>
      <c r="F466" s="576"/>
      <c r="G466" s="82">
        <f>'SQ_Auditoreingaben '!G452</f>
        <v>0</v>
      </c>
      <c r="H466" s="576"/>
      <c r="I466" s="104">
        <f>'1. Prüfung'!I466</f>
        <v>0</v>
      </c>
      <c r="J466" s="576"/>
      <c r="K466" s="69"/>
      <c r="L466" s="18">
        <v>5</v>
      </c>
      <c r="M466" s="364"/>
      <c r="N466" s="80"/>
      <c r="O466" s="106"/>
      <c r="P466" s="570"/>
      <c r="Q466" s="570"/>
      <c r="R466" s="571"/>
      <c r="T466" s="18">
        <f t="shared" si="6"/>
        <v>0</v>
      </c>
      <c r="U466" s="338"/>
      <c r="V466" s="344"/>
      <c r="W466" s="474"/>
      <c r="X466" s="344"/>
      <c r="Y466" s="475"/>
    </row>
    <row r="467" spans="2:25" ht="39.6" x14ac:dyDescent="0.25">
      <c r="B467" s="375"/>
      <c r="C467" s="351"/>
      <c r="D467" s="71" t="s">
        <v>255</v>
      </c>
      <c r="E467" s="77" t="s">
        <v>586</v>
      </c>
      <c r="F467" s="576"/>
      <c r="G467" s="82">
        <f>'SQ_Auditoreingaben '!G453</f>
        <v>7</v>
      </c>
      <c r="H467" s="576"/>
      <c r="I467" s="104">
        <f>'1. Prüfung'!I467</f>
        <v>0</v>
      </c>
      <c r="J467" s="576"/>
      <c r="K467" s="69"/>
      <c r="L467" s="18">
        <v>7</v>
      </c>
      <c r="M467" s="364"/>
      <c r="N467" s="80"/>
      <c r="O467" s="106"/>
      <c r="P467" s="570"/>
      <c r="Q467" s="570"/>
      <c r="R467" s="571"/>
      <c r="T467" s="18">
        <f t="shared" si="6"/>
        <v>0</v>
      </c>
      <c r="U467" s="338"/>
      <c r="V467" s="344"/>
      <c r="W467" s="474"/>
      <c r="X467" s="344"/>
      <c r="Y467" s="475"/>
    </row>
    <row r="468" spans="2:25" ht="39.6" x14ac:dyDescent="0.25">
      <c r="B468" s="375"/>
      <c r="C468" s="351"/>
      <c r="D468" s="71" t="s">
        <v>256</v>
      </c>
      <c r="E468" s="77" t="s">
        <v>587</v>
      </c>
      <c r="F468" s="576"/>
      <c r="G468" s="82">
        <f>'SQ_Auditoreingaben '!G454</f>
        <v>0</v>
      </c>
      <c r="H468" s="576"/>
      <c r="I468" s="104">
        <f>'1. Prüfung'!I468</f>
        <v>0</v>
      </c>
      <c r="J468" s="576"/>
      <c r="K468" s="69"/>
      <c r="L468" s="18">
        <v>10</v>
      </c>
      <c r="M468" s="364"/>
      <c r="N468" s="80"/>
      <c r="O468" s="106"/>
      <c r="P468" s="570"/>
      <c r="Q468" s="570"/>
      <c r="R468" s="571"/>
      <c r="T468" s="18">
        <f t="shared" si="6"/>
        <v>0</v>
      </c>
      <c r="U468" s="338"/>
      <c r="V468" s="344"/>
      <c r="W468" s="474"/>
      <c r="X468" s="344"/>
      <c r="Y468" s="475"/>
    </row>
    <row r="469" spans="2:25" ht="80.099999999999994" customHeight="1" x14ac:dyDescent="0.25">
      <c r="B469" s="375"/>
      <c r="C469" s="351" t="s">
        <v>64</v>
      </c>
      <c r="D469" s="582" t="s">
        <v>687</v>
      </c>
      <c r="E469" s="583"/>
      <c r="F469" s="576"/>
      <c r="G469" s="113"/>
      <c r="H469" s="576"/>
      <c r="I469" s="113"/>
      <c r="J469" s="576"/>
      <c r="K469" s="113"/>
      <c r="L469" s="21">
        <v>10</v>
      </c>
      <c r="M469" s="364"/>
      <c r="N469" s="80"/>
      <c r="O469" s="106"/>
      <c r="P469" s="570"/>
      <c r="Q469" s="570"/>
      <c r="R469" s="571"/>
      <c r="T469" s="18">
        <f t="shared" si="6"/>
        <v>0</v>
      </c>
      <c r="U469" s="338"/>
      <c r="V469" s="344"/>
      <c r="W469" s="474"/>
      <c r="X469" s="344"/>
      <c r="Y469" s="475"/>
    </row>
    <row r="470" spans="2:25" ht="39.6" x14ac:dyDescent="0.25">
      <c r="B470" s="375"/>
      <c r="C470" s="351"/>
      <c r="D470" s="71" t="s">
        <v>66</v>
      </c>
      <c r="E470" s="77" t="s">
        <v>584</v>
      </c>
      <c r="F470" s="576"/>
      <c r="G470" s="82">
        <f>'SQ_Auditoreingaben '!G456</f>
        <v>2</v>
      </c>
      <c r="H470" s="576"/>
      <c r="I470" s="104">
        <f>'1. Prüfung'!I470</f>
        <v>0</v>
      </c>
      <c r="J470" s="576"/>
      <c r="K470" s="69"/>
      <c r="L470" s="18">
        <v>2</v>
      </c>
      <c r="M470" s="364"/>
      <c r="N470" s="80"/>
      <c r="O470" s="106"/>
      <c r="P470" s="570"/>
      <c r="Q470" s="570"/>
      <c r="R470" s="571"/>
      <c r="T470" s="18">
        <f t="shared" si="6"/>
        <v>0</v>
      </c>
      <c r="U470" s="338"/>
      <c r="V470" s="344"/>
      <c r="W470" s="474"/>
      <c r="X470" s="344"/>
      <c r="Y470" s="475"/>
    </row>
    <row r="471" spans="2:25" ht="39.6" x14ac:dyDescent="0.25">
      <c r="B471" s="375"/>
      <c r="C471" s="351"/>
      <c r="D471" s="71" t="s">
        <v>188</v>
      </c>
      <c r="E471" s="77" t="s">
        <v>585</v>
      </c>
      <c r="F471" s="576"/>
      <c r="G471" s="82">
        <f>'SQ_Auditoreingaben '!G457</f>
        <v>0</v>
      </c>
      <c r="H471" s="576"/>
      <c r="I471" s="104">
        <f>'1. Prüfung'!I471</f>
        <v>0</v>
      </c>
      <c r="J471" s="576"/>
      <c r="K471" s="69"/>
      <c r="L471" s="18">
        <v>5</v>
      </c>
      <c r="M471" s="364"/>
      <c r="N471" s="80"/>
      <c r="O471" s="106"/>
      <c r="P471" s="570"/>
      <c r="Q471" s="570"/>
      <c r="R471" s="571"/>
      <c r="T471" s="18">
        <f t="shared" si="6"/>
        <v>0</v>
      </c>
      <c r="U471" s="338"/>
      <c r="V471" s="344"/>
      <c r="W471" s="474"/>
      <c r="X471" s="344"/>
      <c r="Y471" s="475"/>
    </row>
    <row r="472" spans="2:25" ht="171.6" x14ac:dyDescent="0.25">
      <c r="B472" s="375"/>
      <c r="C472" s="351"/>
      <c r="D472" s="71" t="s">
        <v>150</v>
      </c>
      <c r="E472" s="77" t="s">
        <v>588</v>
      </c>
      <c r="F472" s="576"/>
      <c r="G472" s="82">
        <f>'SQ_Auditoreingaben '!G458</f>
        <v>0</v>
      </c>
      <c r="H472" s="576"/>
      <c r="I472" s="104">
        <f>'1. Prüfung'!I472</f>
        <v>0</v>
      </c>
      <c r="J472" s="576"/>
      <c r="K472" s="69"/>
      <c r="L472" s="18">
        <v>7</v>
      </c>
      <c r="M472" s="364"/>
      <c r="N472" s="80"/>
      <c r="O472" s="106"/>
      <c r="P472" s="570"/>
      <c r="Q472" s="570"/>
      <c r="R472" s="571"/>
      <c r="T472" s="18">
        <f t="shared" si="6"/>
        <v>0</v>
      </c>
      <c r="U472" s="338"/>
      <c r="V472" s="344"/>
      <c r="W472" s="474"/>
      <c r="X472" s="344"/>
      <c r="Y472" s="475"/>
    </row>
    <row r="473" spans="2:25" ht="118.8" x14ac:dyDescent="0.25">
      <c r="B473" s="375"/>
      <c r="C473" s="351"/>
      <c r="D473" s="71" t="s">
        <v>377</v>
      </c>
      <c r="E473" s="77" t="s">
        <v>589</v>
      </c>
      <c r="F473" s="576"/>
      <c r="G473" s="82">
        <f>'SQ_Auditoreingaben '!G459</f>
        <v>0</v>
      </c>
      <c r="H473" s="576"/>
      <c r="I473" s="104">
        <f>'1. Prüfung'!I473</f>
        <v>0</v>
      </c>
      <c r="J473" s="576"/>
      <c r="K473" s="69"/>
      <c r="L473" s="18">
        <v>10</v>
      </c>
      <c r="M473" s="364"/>
      <c r="N473" s="80"/>
      <c r="O473" s="106"/>
      <c r="P473" s="570"/>
      <c r="Q473" s="570"/>
      <c r="R473" s="571"/>
      <c r="T473" s="18">
        <f t="shared" si="6"/>
        <v>0</v>
      </c>
      <c r="U473" s="338"/>
      <c r="V473" s="344"/>
      <c r="W473" s="474"/>
      <c r="X473" s="344"/>
      <c r="Y473" s="475"/>
    </row>
    <row r="474" spans="2:25" ht="69.900000000000006" customHeight="1" x14ac:dyDescent="0.25">
      <c r="B474" s="375"/>
      <c r="C474" s="351" t="s">
        <v>67</v>
      </c>
      <c r="D474" s="582" t="s">
        <v>688</v>
      </c>
      <c r="E474" s="583"/>
      <c r="F474" s="576"/>
      <c r="G474" s="113"/>
      <c r="H474" s="576"/>
      <c r="I474" s="113"/>
      <c r="J474" s="576"/>
      <c r="K474" s="113"/>
      <c r="L474" s="21">
        <v>10</v>
      </c>
      <c r="M474" s="364"/>
      <c r="N474" s="80"/>
      <c r="O474" s="106"/>
      <c r="P474" s="570"/>
      <c r="Q474" s="570"/>
      <c r="R474" s="571"/>
      <c r="T474" s="18">
        <f t="shared" ref="T474:T537" si="7">IF(K474&gt;L474,L474,K474)</f>
        <v>0</v>
      </c>
      <c r="U474" s="338"/>
      <c r="V474" s="344"/>
      <c r="W474" s="474"/>
      <c r="X474" s="344"/>
      <c r="Y474" s="475"/>
    </row>
    <row r="475" spans="2:25" ht="118.8" x14ac:dyDescent="0.25">
      <c r="B475" s="375"/>
      <c r="C475" s="351"/>
      <c r="D475" s="71" t="s">
        <v>69</v>
      </c>
      <c r="E475" s="77" t="s">
        <v>590</v>
      </c>
      <c r="F475" s="576"/>
      <c r="G475" s="82">
        <f>'SQ_Auditoreingaben '!G461</f>
        <v>2</v>
      </c>
      <c r="H475" s="576"/>
      <c r="I475" s="104">
        <f>'1. Prüfung'!I475</f>
        <v>0</v>
      </c>
      <c r="J475" s="576"/>
      <c r="K475" s="69"/>
      <c r="L475" s="18">
        <v>2</v>
      </c>
      <c r="M475" s="364"/>
      <c r="N475" s="80"/>
      <c r="O475" s="106"/>
      <c r="P475" s="570"/>
      <c r="Q475" s="570"/>
      <c r="R475" s="571"/>
      <c r="T475" s="18">
        <f t="shared" si="7"/>
        <v>0</v>
      </c>
      <c r="U475" s="338"/>
      <c r="V475" s="344"/>
      <c r="W475" s="474"/>
      <c r="X475" s="344"/>
      <c r="Y475" s="475"/>
    </row>
    <row r="476" spans="2:25" ht="105.6" x14ac:dyDescent="0.25">
      <c r="B476" s="375"/>
      <c r="C476" s="351"/>
      <c r="D476" s="71" t="s">
        <v>78</v>
      </c>
      <c r="E476" s="77" t="s">
        <v>591</v>
      </c>
      <c r="F476" s="576"/>
      <c r="G476" s="82">
        <f>'SQ_Auditoreingaben '!G462</f>
        <v>0</v>
      </c>
      <c r="H476" s="576"/>
      <c r="I476" s="104">
        <f>'1. Prüfung'!I476</f>
        <v>0</v>
      </c>
      <c r="J476" s="576"/>
      <c r="K476" s="69"/>
      <c r="L476" s="18">
        <v>5</v>
      </c>
      <c r="M476" s="364"/>
      <c r="N476" s="80"/>
      <c r="O476" s="106"/>
      <c r="P476" s="570"/>
      <c r="Q476" s="570"/>
      <c r="R476" s="571"/>
      <c r="T476" s="18">
        <f t="shared" si="7"/>
        <v>0</v>
      </c>
      <c r="U476" s="338"/>
      <c r="V476" s="344"/>
      <c r="W476" s="474"/>
      <c r="X476" s="344"/>
      <c r="Y476" s="475"/>
    </row>
    <row r="477" spans="2:25" ht="105.6" x14ac:dyDescent="0.25">
      <c r="B477" s="375"/>
      <c r="C477" s="351"/>
      <c r="D477" s="71" t="s">
        <v>214</v>
      </c>
      <c r="E477" s="77" t="s">
        <v>592</v>
      </c>
      <c r="F477" s="576"/>
      <c r="G477" s="82">
        <f>'SQ_Auditoreingaben '!G463</f>
        <v>0</v>
      </c>
      <c r="H477" s="576"/>
      <c r="I477" s="104">
        <f>'1. Prüfung'!I477</f>
        <v>0</v>
      </c>
      <c r="J477" s="576"/>
      <c r="K477" s="69"/>
      <c r="L477" s="18">
        <v>7</v>
      </c>
      <c r="M477" s="364"/>
      <c r="N477" s="80"/>
      <c r="O477" s="106"/>
      <c r="P477" s="570"/>
      <c r="Q477" s="570"/>
      <c r="R477" s="571"/>
      <c r="T477" s="18">
        <f t="shared" si="7"/>
        <v>0</v>
      </c>
      <c r="U477" s="338"/>
      <c r="V477" s="344"/>
      <c r="W477" s="474"/>
      <c r="X477" s="344"/>
      <c r="Y477" s="475"/>
    </row>
    <row r="478" spans="2:25" ht="132" x14ac:dyDescent="0.25">
      <c r="B478" s="375"/>
      <c r="C478" s="351"/>
      <c r="D478" s="71" t="s">
        <v>215</v>
      </c>
      <c r="E478" s="77" t="s">
        <v>593</v>
      </c>
      <c r="F478" s="576"/>
      <c r="G478" s="82">
        <f>'SQ_Auditoreingaben '!G464</f>
        <v>0</v>
      </c>
      <c r="H478" s="576"/>
      <c r="I478" s="104">
        <f>'1. Prüfung'!I478</f>
        <v>0</v>
      </c>
      <c r="J478" s="576"/>
      <c r="K478" s="69"/>
      <c r="L478" s="18">
        <v>10</v>
      </c>
      <c r="M478" s="364"/>
      <c r="N478" s="80"/>
      <c r="O478" s="106"/>
      <c r="P478" s="570"/>
      <c r="Q478" s="570"/>
      <c r="R478" s="571"/>
      <c r="T478" s="18">
        <f t="shared" si="7"/>
        <v>0</v>
      </c>
      <c r="U478" s="338"/>
      <c r="V478" s="344"/>
      <c r="W478" s="474"/>
      <c r="X478" s="344"/>
      <c r="Y478" s="475"/>
    </row>
    <row r="479" spans="2:25" x14ac:dyDescent="0.25">
      <c r="B479" s="375"/>
      <c r="C479" s="351" t="s">
        <v>154</v>
      </c>
      <c r="D479" s="569" t="s">
        <v>579</v>
      </c>
      <c r="E479" s="569"/>
      <c r="F479" s="576"/>
      <c r="G479" s="113"/>
      <c r="H479" s="576"/>
      <c r="I479" s="113"/>
      <c r="J479" s="576"/>
      <c r="K479" s="113"/>
      <c r="L479" s="21">
        <v>30</v>
      </c>
      <c r="M479" s="364"/>
      <c r="N479" s="80"/>
      <c r="O479" s="106"/>
      <c r="P479" s="570"/>
      <c r="Q479" s="570"/>
      <c r="R479" s="571"/>
      <c r="T479" s="18">
        <f t="shared" si="7"/>
        <v>0</v>
      </c>
      <c r="U479" s="338"/>
      <c r="V479" s="344"/>
      <c r="W479" s="474"/>
      <c r="X479" s="344"/>
      <c r="Y479" s="475"/>
    </row>
    <row r="480" spans="2:25" ht="198" x14ac:dyDescent="0.25">
      <c r="B480" s="375"/>
      <c r="C480" s="351"/>
      <c r="D480" s="71" t="s">
        <v>156</v>
      </c>
      <c r="E480" s="77" t="s">
        <v>594</v>
      </c>
      <c r="F480" s="576"/>
      <c r="G480" s="82">
        <f>'SQ_Auditoreingaben '!G466</f>
        <v>8</v>
      </c>
      <c r="H480" s="576"/>
      <c r="I480" s="104">
        <f>'1. Prüfung'!I480</f>
        <v>0</v>
      </c>
      <c r="J480" s="576"/>
      <c r="K480" s="69"/>
      <c r="L480" s="18">
        <v>16</v>
      </c>
      <c r="M480" s="364"/>
      <c r="N480" s="80"/>
      <c r="O480" s="106"/>
      <c r="P480" s="570"/>
      <c r="Q480" s="570"/>
      <c r="R480" s="571"/>
      <c r="T480" s="18">
        <f t="shared" si="7"/>
        <v>0</v>
      </c>
      <c r="U480" s="338"/>
      <c r="V480" s="344"/>
      <c r="W480" s="474"/>
      <c r="X480" s="344"/>
      <c r="Y480" s="475"/>
    </row>
    <row r="481" spans="2:25" ht="171.6" x14ac:dyDescent="0.25">
      <c r="B481" s="375"/>
      <c r="C481" s="351"/>
      <c r="D481" s="71" t="s">
        <v>218</v>
      </c>
      <c r="E481" s="77" t="s">
        <v>595</v>
      </c>
      <c r="F481" s="576"/>
      <c r="G481" s="82">
        <f>'SQ_Auditoreingaben '!G467</f>
        <v>7</v>
      </c>
      <c r="H481" s="576"/>
      <c r="I481" s="104">
        <f>'1. Prüfung'!I481</f>
        <v>0</v>
      </c>
      <c r="J481" s="576"/>
      <c r="K481" s="69"/>
      <c r="L481" s="18">
        <v>7</v>
      </c>
      <c r="M481" s="364"/>
      <c r="N481" s="80"/>
      <c r="O481" s="106"/>
      <c r="P481" s="570"/>
      <c r="Q481" s="570"/>
      <c r="R481" s="571"/>
      <c r="T481" s="18">
        <f t="shared" si="7"/>
        <v>0</v>
      </c>
      <c r="U481" s="338"/>
      <c r="V481" s="344"/>
      <c r="W481" s="474"/>
      <c r="X481" s="344"/>
      <c r="Y481" s="475"/>
    </row>
    <row r="482" spans="2:25" ht="132" x14ac:dyDescent="0.25">
      <c r="B482" s="375"/>
      <c r="C482" s="351"/>
      <c r="D482" s="71" t="s">
        <v>219</v>
      </c>
      <c r="E482" s="77" t="s">
        <v>596</v>
      </c>
      <c r="F482" s="576"/>
      <c r="G482" s="82">
        <f>'SQ_Auditoreingaben '!G468</f>
        <v>0</v>
      </c>
      <c r="H482" s="576"/>
      <c r="I482" s="104">
        <f>'1. Prüfung'!I482</f>
        <v>0</v>
      </c>
      <c r="J482" s="576"/>
      <c r="K482" s="69"/>
      <c r="L482" s="18">
        <v>7</v>
      </c>
      <c r="M482" s="364"/>
      <c r="N482" s="80"/>
      <c r="O482" s="106"/>
      <c r="P482" s="570"/>
      <c r="Q482" s="570"/>
      <c r="R482" s="571"/>
      <c r="T482" s="18">
        <f t="shared" si="7"/>
        <v>0</v>
      </c>
      <c r="U482" s="338"/>
      <c r="V482" s="344"/>
      <c r="W482" s="474"/>
      <c r="X482" s="344"/>
      <c r="Y482" s="475"/>
    </row>
    <row r="483" spans="2:25" x14ac:dyDescent="0.25">
      <c r="B483" s="375"/>
      <c r="C483" s="351" t="s">
        <v>157</v>
      </c>
      <c r="D483" s="569" t="s">
        <v>580</v>
      </c>
      <c r="E483" s="569"/>
      <c r="F483" s="576"/>
      <c r="G483" s="113"/>
      <c r="H483" s="576"/>
      <c r="I483" s="113"/>
      <c r="J483" s="576"/>
      <c r="K483" s="113"/>
      <c r="L483" s="21">
        <v>30</v>
      </c>
      <c r="M483" s="364"/>
      <c r="N483" s="80"/>
      <c r="O483" s="106"/>
      <c r="P483" s="570"/>
      <c r="Q483" s="570"/>
      <c r="R483" s="571"/>
      <c r="T483" s="18">
        <f t="shared" si="7"/>
        <v>0</v>
      </c>
      <c r="U483" s="338"/>
      <c r="V483" s="344"/>
      <c r="W483" s="474"/>
      <c r="X483" s="344"/>
      <c r="Y483" s="475"/>
    </row>
    <row r="484" spans="2:25" ht="105.6" x14ac:dyDescent="0.25">
      <c r="B484" s="375"/>
      <c r="C484" s="351"/>
      <c r="D484" s="71" t="s">
        <v>159</v>
      </c>
      <c r="E484" s="77" t="s">
        <v>581</v>
      </c>
      <c r="F484" s="576"/>
      <c r="G484" s="82">
        <f>'SQ_Auditoreingaben '!G470</f>
        <v>30</v>
      </c>
      <c r="H484" s="576"/>
      <c r="I484" s="104">
        <f>'1. Prüfung'!I484</f>
        <v>0</v>
      </c>
      <c r="J484" s="576"/>
      <c r="K484" s="69"/>
      <c r="L484" s="18">
        <v>30</v>
      </c>
      <c r="M484" s="364"/>
      <c r="N484" s="80"/>
      <c r="O484" s="106"/>
      <c r="P484" s="570"/>
      <c r="Q484" s="570"/>
      <c r="R484" s="571"/>
      <c r="T484" s="18">
        <f t="shared" si="7"/>
        <v>0</v>
      </c>
      <c r="U484" s="339"/>
      <c r="V484" s="365"/>
      <c r="W484" s="474"/>
      <c r="X484" s="344"/>
      <c r="Y484" s="475"/>
    </row>
    <row r="485" spans="2:25" x14ac:dyDescent="0.25">
      <c r="B485" s="55" t="s">
        <v>497</v>
      </c>
      <c r="C485" s="354" t="s">
        <v>498</v>
      </c>
      <c r="D485" s="354"/>
      <c r="E485" s="354"/>
      <c r="F485" s="78">
        <f>'SQ_Auditoreingaben '!F471</f>
        <v>100</v>
      </c>
      <c r="G485" s="364"/>
      <c r="H485" s="105">
        <f>'1. Prüfung'!H485</f>
        <v>0</v>
      </c>
      <c r="I485" s="364"/>
      <c r="J485" s="91">
        <f>U485</f>
        <v>0</v>
      </c>
      <c r="K485" s="364"/>
      <c r="L485" s="21">
        <v>100</v>
      </c>
      <c r="M485" s="88">
        <v>2</v>
      </c>
      <c r="N485" s="80"/>
      <c r="O485" s="106"/>
      <c r="P485" s="570"/>
      <c r="Q485" s="570"/>
      <c r="R485" s="571"/>
      <c r="T485" s="18">
        <f t="shared" si="7"/>
        <v>0</v>
      </c>
      <c r="U485" s="337">
        <f>SUM(T487:T508)</f>
        <v>0</v>
      </c>
      <c r="V485" s="343">
        <f>U485/100</f>
        <v>0</v>
      </c>
      <c r="W485" s="474"/>
      <c r="X485" s="344"/>
      <c r="Y485" s="475"/>
    </row>
    <row r="486" spans="2:25" x14ac:dyDescent="0.25">
      <c r="B486" s="375"/>
      <c r="C486" s="351" t="s">
        <v>54</v>
      </c>
      <c r="D486" s="354" t="s">
        <v>499</v>
      </c>
      <c r="E486" s="354"/>
      <c r="F486" s="576"/>
      <c r="G486" s="364"/>
      <c r="H486" s="576"/>
      <c r="I486" s="364"/>
      <c r="J486" s="576"/>
      <c r="K486" s="364"/>
      <c r="L486" s="21">
        <v>15</v>
      </c>
      <c r="M486" s="364"/>
      <c r="N486" s="80"/>
      <c r="O486" s="106"/>
      <c r="P486" s="570"/>
      <c r="Q486" s="570"/>
      <c r="R486" s="571"/>
      <c r="T486" s="18">
        <f t="shared" si="7"/>
        <v>0</v>
      </c>
      <c r="U486" s="338"/>
      <c r="V486" s="344"/>
      <c r="W486" s="474"/>
      <c r="X486" s="344"/>
      <c r="Y486" s="475"/>
    </row>
    <row r="487" spans="2:25" ht="26.4" x14ac:dyDescent="0.25">
      <c r="B487" s="375"/>
      <c r="C487" s="351"/>
      <c r="D487" s="60" t="s">
        <v>58</v>
      </c>
      <c r="E487" s="87" t="s">
        <v>500</v>
      </c>
      <c r="F487" s="576"/>
      <c r="G487" s="82">
        <f>'SQ_Auditoreingaben '!G473</f>
        <v>15</v>
      </c>
      <c r="H487" s="576"/>
      <c r="I487" s="104">
        <f>'1. Prüfung'!I487</f>
        <v>0</v>
      </c>
      <c r="J487" s="576"/>
      <c r="K487" s="69"/>
      <c r="L487" s="18">
        <v>15</v>
      </c>
      <c r="M487" s="364"/>
      <c r="N487" s="80"/>
      <c r="O487" s="106"/>
      <c r="P487" s="570"/>
      <c r="Q487" s="570"/>
      <c r="R487" s="571"/>
      <c r="T487" s="18">
        <f t="shared" si="7"/>
        <v>0</v>
      </c>
      <c r="U487" s="338"/>
      <c r="V487" s="344"/>
      <c r="W487" s="474"/>
      <c r="X487" s="344"/>
      <c r="Y487" s="475"/>
    </row>
    <row r="488" spans="2:25" x14ac:dyDescent="0.25">
      <c r="B488" s="375"/>
      <c r="C488" s="351" t="s">
        <v>61</v>
      </c>
      <c r="D488" s="354" t="s">
        <v>501</v>
      </c>
      <c r="E488" s="354"/>
      <c r="F488" s="576"/>
      <c r="G488" s="356"/>
      <c r="H488" s="576"/>
      <c r="I488" s="356"/>
      <c r="J488" s="576"/>
      <c r="K488" s="356"/>
      <c r="L488" s="21">
        <v>25</v>
      </c>
      <c r="M488" s="364"/>
      <c r="N488" s="80"/>
      <c r="O488" s="106"/>
      <c r="P488" s="570"/>
      <c r="Q488" s="570"/>
      <c r="R488" s="571"/>
      <c r="T488" s="18">
        <f t="shared" si="7"/>
        <v>0</v>
      </c>
      <c r="U488" s="338"/>
      <c r="V488" s="344"/>
      <c r="W488" s="474"/>
      <c r="X488" s="344"/>
      <c r="Y488" s="475"/>
    </row>
    <row r="489" spans="2:25" x14ac:dyDescent="0.25">
      <c r="B489" s="375"/>
      <c r="C489" s="351"/>
      <c r="D489" s="361" t="s">
        <v>63</v>
      </c>
      <c r="E489" s="90" t="s">
        <v>502</v>
      </c>
      <c r="F489" s="576"/>
      <c r="G489" s="356"/>
      <c r="H489" s="576"/>
      <c r="I489" s="356"/>
      <c r="J489" s="576"/>
      <c r="K489" s="356"/>
      <c r="L489" s="21">
        <v>25</v>
      </c>
      <c r="M489" s="364"/>
      <c r="N489" s="80"/>
      <c r="O489" s="106"/>
      <c r="P489" s="570"/>
      <c r="Q489" s="570"/>
      <c r="R489" s="571"/>
      <c r="T489" s="18">
        <f t="shared" si="7"/>
        <v>0</v>
      </c>
      <c r="U489" s="338"/>
      <c r="V489" s="344"/>
      <c r="W489" s="474"/>
      <c r="X489" s="344"/>
      <c r="Y489" s="475"/>
    </row>
    <row r="490" spans="2:25" ht="26.4" x14ac:dyDescent="0.25">
      <c r="B490" s="375"/>
      <c r="C490" s="351"/>
      <c r="D490" s="361"/>
      <c r="E490" s="77" t="s">
        <v>503</v>
      </c>
      <c r="F490" s="576"/>
      <c r="G490" s="82">
        <f>'SQ_Auditoreingaben '!G476</f>
        <v>15</v>
      </c>
      <c r="H490" s="576"/>
      <c r="I490" s="104">
        <f>'1. Prüfung'!I490</f>
        <v>0</v>
      </c>
      <c r="J490" s="576"/>
      <c r="K490" s="69"/>
      <c r="L490" s="18">
        <v>10</v>
      </c>
      <c r="M490" s="364"/>
      <c r="N490" s="80"/>
      <c r="O490" s="106"/>
      <c r="P490" s="570"/>
      <c r="Q490" s="570"/>
      <c r="R490" s="571"/>
      <c r="T490" s="18">
        <f t="shared" si="7"/>
        <v>0</v>
      </c>
      <c r="U490" s="338"/>
      <c r="V490" s="344"/>
      <c r="W490" s="474"/>
      <c r="X490" s="344"/>
      <c r="Y490" s="475"/>
    </row>
    <row r="491" spans="2:25" ht="39.6" x14ac:dyDescent="0.25">
      <c r="B491" s="375"/>
      <c r="C491" s="351"/>
      <c r="D491" s="361"/>
      <c r="E491" s="77" t="s">
        <v>504</v>
      </c>
      <c r="F491" s="576"/>
      <c r="G491" s="82">
        <f>'SQ_Auditoreingaben '!G477</f>
        <v>10</v>
      </c>
      <c r="H491" s="576"/>
      <c r="I491" s="104">
        <f>'1. Prüfung'!I491</f>
        <v>0</v>
      </c>
      <c r="J491" s="576"/>
      <c r="K491" s="69"/>
      <c r="L491" s="18">
        <v>5</v>
      </c>
      <c r="M491" s="364"/>
      <c r="N491" s="80"/>
      <c r="O491" s="106"/>
      <c r="P491" s="570"/>
      <c r="Q491" s="570"/>
      <c r="R491" s="571"/>
      <c r="T491" s="18">
        <f t="shared" si="7"/>
        <v>0</v>
      </c>
      <c r="U491" s="338"/>
      <c r="V491" s="344"/>
      <c r="W491" s="474"/>
      <c r="X491" s="344"/>
      <c r="Y491" s="475"/>
    </row>
    <row r="492" spans="2:25" ht="39.6" x14ac:dyDescent="0.25">
      <c r="B492" s="375"/>
      <c r="C492" s="351"/>
      <c r="D492" s="361"/>
      <c r="E492" s="77" t="s">
        <v>505</v>
      </c>
      <c r="F492" s="576"/>
      <c r="G492" s="82" t="e">
        <f>'SQ_Auditoreingaben '!#REF!</f>
        <v>#REF!</v>
      </c>
      <c r="H492" s="576"/>
      <c r="I492" s="104">
        <f>'1. Prüfung'!I492</f>
        <v>0</v>
      </c>
      <c r="J492" s="576"/>
      <c r="K492" s="69"/>
      <c r="L492" s="18">
        <v>10</v>
      </c>
      <c r="M492" s="364"/>
      <c r="N492" s="80"/>
      <c r="O492" s="106"/>
      <c r="P492" s="570"/>
      <c r="Q492" s="570"/>
      <c r="R492" s="571"/>
      <c r="T492" s="18">
        <f t="shared" si="7"/>
        <v>0</v>
      </c>
      <c r="U492" s="338"/>
      <c r="V492" s="344"/>
      <c r="W492" s="474"/>
      <c r="X492" s="344"/>
      <c r="Y492" s="475"/>
    </row>
    <row r="493" spans="2:25" x14ac:dyDescent="0.25">
      <c r="B493" s="375"/>
      <c r="C493" s="351" t="s">
        <v>64</v>
      </c>
      <c r="D493" s="354" t="s">
        <v>506</v>
      </c>
      <c r="E493" s="354"/>
      <c r="F493" s="576"/>
      <c r="G493" s="356"/>
      <c r="H493" s="576"/>
      <c r="I493" s="356"/>
      <c r="J493" s="576"/>
      <c r="K493" s="356"/>
      <c r="L493" s="21">
        <v>25</v>
      </c>
      <c r="M493" s="364"/>
      <c r="N493" s="80"/>
      <c r="O493" s="106"/>
      <c r="P493" s="570"/>
      <c r="Q493" s="570"/>
      <c r="R493" s="571"/>
      <c r="T493" s="18">
        <f t="shared" si="7"/>
        <v>0</v>
      </c>
      <c r="U493" s="338"/>
      <c r="V493" s="344"/>
      <c r="W493" s="474"/>
      <c r="X493" s="344"/>
      <c r="Y493" s="475"/>
    </row>
    <row r="494" spans="2:25" x14ac:dyDescent="0.25">
      <c r="B494" s="375"/>
      <c r="C494" s="351"/>
      <c r="D494" s="361" t="s">
        <v>66</v>
      </c>
      <c r="E494" s="87" t="s">
        <v>507</v>
      </c>
      <c r="F494" s="576"/>
      <c r="G494" s="356"/>
      <c r="H494" s="576"/>
      <c r="I494" s="356"/>
      <c r="J494" s="576"/>
      <c r="K494" s="356"/>
      <c r="L494" s="21">
        <v>25</v>
      </c>
      <c r="M494" s="364"/>
      <c r="N494" s="80"/>
      <c r="O494" s="106"/>
      <c r="P494" s="570"/>
      <c r="Q494" s="570"/>
      <c r="R494" s="571"/>
      <c r="T494" s="18">
        <f t="shared" si="7"/>
        <v>0</v>
      </c>
      <c r="U494" s="338"/>
      <c r="V494" s="344"/>
      <c r="W494" s="474"/>
      <c r="X494" s="344"/>
      <c r="Y494" s="475"/>
    </row>
    <row r="495" spans="2:25" ht="52.8" x14ac:dyDescent="0.25">
      <c r="B495" s="375"/>
      <c r="C495" s="351"/>
      <c r="D495" s="361"/>
      <c r="E495" s="77" t="s">
        <v>508</v>
      </c>
      <c r="F495" s="576"/>
      <c r="G495" s="82">
        <f>'SQ_Auditoreingaben '!G480</f>
        <v>5</v>
      </c>
      <c r="H495" s="576"/>
      <c r="I495" s="104">
        <f>'1. Prüfung'!I495</f>
        <v>0</v>
      </c>
      <c r="J495" s="576"/>
      <c r="K495" s="69"/>
      <c r="L495" s="18">
        <v>5</v>
      </c>
      <c r="M495" s="364"/>
      <c r="N495" s="80"/>
      <c r="O495" s="106"/>
      <c r="P495" s="570"/>
      <c r="Q495" s="570"/>
      <c r="R495" s="571"/>
      <c r="T495" s="18">
        <f t="shared" si="7"/>
        <v>0</v>
      </c>
      <c r="U495" s="338"/>
      <c r="V495" s="344"/>
      <c r="W495" s="474"/>
      <c r="X495" s="344"/>
      <c r="Y495" s="475"/>
    </row>
    <row r="496" spans="2:25" ht="52.8" x14ac:dyDescent="0.25">
      <c r="B496" s="375"/>
      <c r="C496" s="351"/>
      <c r="D496" s="361"/>
      <c r="E496" s="77" t="s">
        <v>509</v>
      </c>
      <c r="F496" s="576"/>
      <c r="G496" s="82">
        <f>'SQ_Auditoreingaben '!G481</f>
        <v>5</v>
      </c>
      <c r="H496" s="576"/>
      <c r="I496" s="104">
        <f>'1. Prüfung'!I496</f>
        <v>0</v>
      </c>
      <c r="J496" s="576"/>
      <c r="K496" s="69"/>
      <c r="L496" s="18">
        <v>5</v>
      </c>
      <c r="M496" s="364"/>
      <c r="N496" s="80"/>
      <c r="O496" s="106"/>
      <c r="P496" s="570"/>
      <c r="Q496" s="570"/>
      <c r="R496" s="571"/>
      <c r="T496" s="18">
        <f t="shared" si="7"/>
        <v>0</v>
      </c>
      <c r="U496" s="338"/>
      <c r="V496" s="344"/>
      <c r="W496" s="474"/>
      <c r="X496" s="344"/>
      <c r="Y496" s="475"/>
    </row>
    <row r="497" spans="2:25" ht="39.6" x14ac:dyDescent="0.25">
      <c r="B497" s="375"/>
      <c r="C497" s="351"/>
      <c r="D497" s="361"/>
      <c r="E497" s="77" t="s">
        <v>510</v>
      </c>
      <c r="F497" s="576"/>
      <c r="G497" s="82">
        <f>'SQ_Auditoreingaben '!G482</f>
        <v>5</v>
      </c>
      <c r="H497" s="576"/>
      <c r="I497" s="104">
        <f>'1. Prüfung'!I497</f>
        <v>0</v>
      </c>
      <c r="J497" s="576"/>
      <c r="K497" s="69"/>
      <c r="L497" s="18">
        <v>5</v>
      </c>
      <c r="M497" s="364"/>
      <c r="N497" s="80"/>
      <c r="O497" s="106"/>
      <c r="P497" s="570"/>
      <c r="Q497" s="570"/>
      <c r="R497" s="571"/>
      <c r="T497" s="18">
        <f t="shared" si="7"/>
        <v>0</v>
      </c>
      <c r="U497" s="338"/>
      <c r="V497" s="344"/>
      <c r="W497" s="474"/>
      <c r="X497" s="344"/>
      <c r="Y497" s="475"/>
    </row>
    <row r="498" spans="2:25" ht="39.6" x14ac:dyDescent="0.25">
      <c r="B498" s="375"/>
      <c r="C498" s="351"/>
      <c r="D498" s="361"/>
      <c r="E498" s="77" t="s">
        <v>511</v>
      </c>
      <c r="F498" s="576"/>
      <c r="G498" s="82">
        <f>'SQ_Auditoreingaben '!G483</f>
        <v>5</v>
      </c>
      <c r="H498" s="576"/>
      <c r="I498" s="104">
        <f>'1. Prüfung'!I498</f>
        <v>0</v>
      </c>
      <c r="J498" s="576"/>
      <c r="K498" s="69"/>
      <c r="L498" s="18">
        <v>5</v>
      </c>
      <c r="M498" s="364"/>
      <c r="N498" s="80"/>
      <c r="O498" s="106"/>
      <c r="P498" s="570"/>
      <c r="Q498" s="570"/>
      <c r="R498" s="571"/>
      <c r="T498" s="18">
        <f t="shared" si="7"/>
        <v>0</v>
      </c>
      <c r="U498" s="338"/>
      <c r="V498" s="344"/>
      <c r="W498" s="474"/>
      <c r="X498" s="344"/>
      <c r="Y498" s="475"/>
    </row>
    <row r="499" spans="2:25" ht="39.6" x14ac:dyDescent="0.25">
      <c r="B499" s="375"/>
      <c r="C499" s="351"/>
      <c r="D499" s="361"/>
      <c r="E499" s="77" t="s">
        <v>512</v>
      </c>
      <c r="F499" s="576"/>
      <c r="G499" s="82">
        <f>'SQ_Auditoreingaben '!G484</f>
        <v>5</v>
      </c>
      <c r="H499" s="576"/>
      <c r="I499" s="104">
        <f>'1. Prüfung'!I499</f>
        <v>0</v>
      </c>
      <c r="J499" s="576"/>
      <c r="K499" s="69"/>
      <c r="L499" s="18">
        <v>5</v>
      </c>
      <c r="M499" s="364"/>
      <c r="N499" s="80"/>
      <c r="O499" s="106"/>
      <c r="P499" s="570"/>
      <c r="Q499" s="570"/>
      <c r="R499" s="571"/>
      <c r="T499" s="18">
        <f t="shared" si="7"/>
        <v>0</v>
      </c>
      <c r="U499" s="338"/>
      <c r="V499" s="344"/>
      <c r="W499" s="474"/>
      <c r="X499" s="344"/>
      <c r="Y499" s="475"/>
    </row>
    <row r="500" spans="2:25" x14ac:dyDescent="0.25">
      <c r="B500" s="375"/>
      <c r="C500" s="351" t="s">
        <v>67</v>
      </c>
      <c r="D500" s="354" t="s">
        <v>513</v>
      </c>
      <c r="E500" s="354"/>
      <c r="F500" s="576"/>
      <c r="G500" s="113"/>
      <c r="H500" s="576"/>
      <c r="I500" s="113"/>
      <c r="J500" s="576"/>
      <c r="K500" s="113"/>
      <c r="L500" s="21">
        <v>10</v>
      </c>
      <c r="M500" s="364"/>
      <c r="N500" s="80"/>
      <c r="O500" s="106"/>
      <c r="P500" s="570"/>
      <c r="Q500" s="570"/>
      <c r="R500" s="571"/>
      <c r="T500" s="18">
        <f t="shared" si="7"/>
        <v>0</v>
      </c>
      <c r="U500" s="338"/>
      <c r="V500" s="344"/>
      <c r="W500" s="474"/>
      <c r="X500" s="344"/>
      <c r="Y500" s="475"/>
    </row>
    <row r="501" spans="2:25" ht="26.4" x14ac:dyDescent="0.25">
      <c r="B501" s="375"/>
      <c r="C501" s="351"/>
      <c r="D501" s="60" t="s">
        <v>69</v>
      </c>
      <c r="E501" s="87" t="s">
        <v>514</v>
      </c>
      <c r="F501" s="576"/>
      <c r="G501" s="82">
        <f>'SQ_Auditoreingaben '!G486</f>
        <v>10</v>
      </c>
      <c r="H501" s="576"/>
      <c r="I501" s="104">
        <f>'1. Prüfung'!I501</f>
        <v>0</v>
      </c>
      <c r="J501" s="576"/>
      <c r="K501" s="69"/>
      <c r="L501" s="18">
        <v>10</v>
      </c>
      <c r="M501" s="364"/>
      <c r="N501" s="80"/>
      <c r="O501" s="106"/>
      <c r="P501" s="570"/>
      <c r="Q501" s="570"/>
      <c r="R501" s="571"/>
      <c r="T501" s="18">
        <f t="shared" si="7"/>
        <v>0</v>
      </c>
      <c r="U501" s="338"/>
      <c r="V501" s="344"/>
      <c r="W501" s="474"/>
      <c r="X501" s="344"/>
      <c r="Y501" s="475"/>
    </row>
    <row r="502" spans="2:25" x14ac:dyDescent="0.25">
      <c r="B502" s="375"/>
      <c r="C502" s="351" t="s">
        <v>154</v>
      </c>
      <c r="D502" s="354" t="s">
        <v>515</v>
      </c>
      <c r="E502" s="354"/>
      <c r="F502" s="576"/>
      <c r="G502" s="356"/>
      <c r="H502" s="576"/>
      <c r="I502" s="356"/>
      <c r="J502" s="576"/>
      <c r="K502" s="356"/>
      <c r="L502" s="21">
        <v>25</v>
      </c>
      <c r="M502" s="364"/>
      <c r="N502" s="80"/>
      <c r="O502" s="106"/>
      <c r="P502" s="570"/>
      <c r="Q502" s="570"/>
      <c r="R502" s="571"/>
      <c r="T502" s="18">
        <f t="shared" si="7"/>
        <v>0</v>
      </c>
      <c r="U502" s="338"/>
      <c r="V502" s="344"/>
      <c r="W502" s="474"/>
      <c r="X502" s="344"/>
      <c r="Y502" s="475"/>
    </row>
    <row r="503" spans="2:25" x14ac:dyDescent="0.25">
      <c r="B503" s="375"/>
      <c r="C503" s="351"/>
      <c r="D503" s="361" t="s">
        <v>156</v>
      </c>
      <c r="E503" s="87" t="s">
        <v>516</v>
      </c>
      <c r="F503" s="576"/>
      <c r="G503" s="356"/>
      <c r="H503" s="576"/>
      <c r="I503" s="356"/>
      <c r="J503" s="576"/>
      <c r="K503" s="356"/>
      <c r="L503" s="21">
        <v>25</v>
      </c>
      <c r="M503" s="364"/>
      <c r="N503" s="80"/>
      <c r="O503" s="106"/>
      <c r="P503" s="570"/>
      <c r="Q503" s="570"/>
      <c r="R503" s="571"/>
      <c r="T503" s="18">
        <f t="shared" si="7"/>
        <v>0</v>
      </c>
      <c r="U503" s="338"/>
      <c r="V503" s="344"/>
      <c r="W503" s="474"/>
      <c r="X503" s="344"/>
      <c r="Y503" s="475"/>
    </row>
    <row r="504" spans="2:25" ht="52.8" x14ac:dyDescent="0.25">
      <c r="B504" s="375"/>
      <c r="C504" s="351"/>
      <c r="D504" s="361"/>
      <c r="E504" s="77" t="s">
        <v>517</v>
      </c>
      <c r="F504" s="576"/>
      <c r="G504" s="82">
        <f>'SQ_Auditoreingaben '!G489</f>
        <v>7</v>
      </c>
      <c r="H504" s="576"/>
      <c r="I504" s="104">
        <f>'1. Prüfung'!I504</f>
        <v>0</v>
      </c>
      <c r="J504" s="576"/>
      <c r="K504" s="69"/>
      <c r="L504" s="18">
        <v>5</v>
      </c>
      <c r="M504" s="364"/>
      <c r="N504" s="80"/>
      <c r="O504" s="106"/>
      <c r="P504" s="570"/>
      <c r="Q504" s="570"/>
      <c r="R504" s="571"/>
      <c r="T504" s="18">
        <f t="shared" si="7"/>
        <v>0</v>
      </c>
      <c r="U504" s="338"/>
      <c r="V504" s="344"/>
      <c r="W504" s="474"/>
      <c r="X504" s="344"/>
      <c r="Y504" s="475"/>
    </row>
    <row r="505" spans="2:25" ht="92.4" x14ac:dyDescent="0.25">
      <c r="B505" s="375"/>
      <c r="C505" s="351"/>
      <c r="D505" s="361"/>
      <c r="E505" s="77" t="s">
        <v>518</v>
      </c>
      <c r="F505" s="576"/>
      <c r="G505" s="82">
        <f>'SQ_Auditoreingaben '!G490</f>
        <v>6</v>
      </c>
      <c r="H505" s="576"/>
      <c r="I505" s="104">
        <f>'1. Prüfung'!I505</f>
        <v>0</v>
      </c>
      <c r="J505" s="576"/>
      <c r="K505" s="69"/>
      <c r="L505" s="18">
        <v>5</v>
      </c>
      <c r="M505" s="364"/>
      <c r="N505" s="80"/>
      <c r="O505" s="106"/>
      <c r="P505" s="570"/>
      <c r="Q505" s="570"/>
      <c r="R505" s="571"/>
      <c r="T505" s="18">
        <f t="shared" si="7"/>
        <v>0</v>
      </c>
      <c r="U505" s="338"/>
      <c r="V505" s="344"/>
      <c r="W505" s="474"/>
      <c r="X505" s="344"/>
      <c r="Y505" s="475"/>
    </row>
    <row r="506" spans="2:25" ht="66" x14ac:dyDescent="0.25">
      <c r="B506" s="375"/>
      <c r="C506" s="351"/>
      <c r="D506" s="361"/>
      <c r="E506" s="77" t="s">
        <v>519</v>
      </c>
      <c r="F506" s="576"/>
      <c r="G506" s="82">
        <f>'SQ_Auditoreingaben '!G491</f>
        <v>6</v>
      </c>
      <c r="H506" s="576"/>
      <c r="I506" s="104">
        <f>'1. Prüfung'!I506</f>
        <v>0</v>
      </c>
      <c r="J506" s="576"/>
      <c r="K506" s="69"/>
      <c r="L506" s="18">
        <v>5</v>
      </c>
      <c r="M506" s="364"/>
      <c r="N506" s="80"/>
      <c r="O506" s="106"/>
      <c r="P506" s="570"/>
      <c r="Q506" s="570"/>
      <c r="R506" s="571"/>
      <c r="T506" s="18">
        <f t="shared" si="7"/>
        <v>0</v>
      </c>
      <c r="U506" s="338"/>
      <c r="V506" s="344"/>
      <c r="W506" s="474"/>
      <c r="X506" s="344"/>
      <c r="Y506" s="475"/>
    </row>
    <row r="507" spans="2:25" ht="26.4" x14ac:dyDescent="0.25">
      <c r="B507" s="375"/>
      <c r="C507" s="351"/>
      <c r="D507" s="361"/>
      <c r="E507" s="77" t="s">
        <v>520</v>
      </c>
      <c r="F507" s="576"/>
      <c r="G507" s="82">
        <f>'SQ_Auditoreingaben '!G492</f>
        <v>6</v>
      </c>
      <c r="H507" s="576"/>
      <c r="I507" s="104">
        <f>'1. Prüfung'!I507</f>
        <v>0</v>
      </c>
      <c r="J507" s="576"/>
      <c r="K507" s="69"/>
      <c r="L507" s="18">
        <v>5</v>
      </c>
      <c r="M507" s="364"/>
      <c r="N507" s="80"/>
      <c r="O507" s="106"/>
      <c r="P507" s="570"/>
      <c r="Q507" s="570"/>
      <c r="R507" s="571"/>
      <c r="T507" s="18">
        <f t="shared" si="7"/>
        <v>0</v>
      </c>
      <c r="U507" s="338"/>
      <c r="V507" s="344"/>
      <c r="W507" s="474"/>
      <c r="X507" s="344"/>
      <c r="Y507" s="475"/>
    </row>
    <row r="508" spans="2:25" ht="39.6" x14ac:dyDescent="0.25">
      <c r="B508" s="375"/>
      <c r="C508" s="351"/>
      <c r="D508" s="361"/>
      <c r="E508" s="77" t="s">
        <v>521</v>
      </c>
      <c r="F508" s="576"/>
      <c r="G508" s="82" t="e">
        <f>'SQ_Auditoreingaben '!#REF!</f>
        <v>#REF!</v>
      </c>
      <c r="H508" s="576"/>
      <c r="I508" s="104">
        <f>'1. Prüfung'!I508</f>
        <v>0</v>
      </c>
      <c r="J508" s="576"/>
      <c r="K508" s="69"/>
      <c r="L508" s="18">
        <v>5</v>
      </c>
      <c r="M508" s="364"/>
      <c r="N508" s="80"/>
      <c r="O508" s="106"/>
      <c r="P508" s="570"/>
      <c r="Q508" s="570"/>
      <c r="R508" s="571"/>
      <c r="T508" s="18">
        <f t="shared" si="7"/>
        <v>0</v>
      </c>
      <c r="U508" s="339"/>
      <c r="V508" s="365"/>
      <c r="W508" s="474"/>
      <c r="X508" s="344"/>
      <c r="Y508" s="475"/>
    </row>
    <row r="509" spans="2:25" x14ac:dyDescent="0.25">
      <c r="B509" s="55" t="s">
        <v>522</v>
      </c>
      <c r="C509" s="354" t="s">
        <v>523</v>
      </c>
      <c r="D509" s="354"/>
      <c r="E509" s="354"/>
      <c r="F509" s="78">
        <f>'SQ_Auditoreingaben '!F493</f>
        <v>60</v>
      </c>
      <c r="G509" s="364"/>
      <c r="H509" s="105">
        <f>'1. Prüfung'!H509</f>
        <v>0</v>
      </c>
      <c r="I509" s="364"/>
      <c r="J509" s="91">
        <f>U509</f>
        <v>0</v>
      </c>
      <c r="K509" s="364"/>
      <c r="L509" s="21">
        <v>100</v>
      </c>
      <c r="M509" s="88">
        <v>2</v>
      </c>
      <c r="N509" s="80"/>
      <c r="O509" s="106"/>
      <c r="P509" s="570"/>
      <c r="Q509" s="570"/>
      <c r="R509" s="571"/>
      <c r="T509" s="18">
        <f t="shared" si="7"/>
        <v>0</v>
      </c>
      <c r="U509" s="337">
        <f>SUM(T511:T521)</f>
        <v>0</v>
      </c>
      <c r="V509" s="343">
        <f>U509/100</f>
        <v>0</v>
      </c>
      <c r="W509" s="474"/>
      <c r="X509" s="344"/>
      <c r="Y509" s="475"/>
    </row>
    <row r="510" spans="2:25" x14ac:dyDescent="0.25">
      <c r="B510" s="375"/>
      <c r="C510" s="351" t="s">
        <v>54</v>
      </c>
      <c r="D510" s="354" t="s">
        <v>524</v>
      </c>
      <c r="E510" s="354"/>
      <c r="F510" s="576"/>
      <c r="G510" s="364"/>
      <c r="H510" s="576"/>
      <c r="I510" s="364"/>
      <c r="J510" s="576"/>
      <c r="K510" s="364"/>
      <c r="L510" s="21">
        <v>45</v>
      </c>
      <c r="M510" s="364"/>
      <c r="N510" s="80"/>
      <c r="O510" s="106"/>
      <c r="P510" s="570"/>
      <c r="Q510" s="570"/>
      <c r="R510" s="571"/>
      <c r="T510" s="18">
        <f t="shared" si="7"/>
        <v>0</v>
      </c>
      <c r="U510" s="338"/>
      <c r="V510" s="344"/>
      <c r="W510" s="474"/>
      <c r="X510" s="344"/>
      <c r="Y510" s="475"/>
    </row>
    <row r="511" spans="2:25" ht="52.8" x14ac:dyDescent="0.25">
      <c r="B511" s="375"/>
      <c r="C511" s="351"/>
      <c r="D511" s="71" t="s">
        <v>58</v>
      </c>
      <c r="E511" s="77" t="s">
        <v>527</v>
      </c>
      <c r="F511" s="576"/>
      <c r="G511" s="82">
        <f>'SQ_Auditoreingaben '!G495</f>
        <v>0</v>
      </c>
      <c r="H511" s="576"/>
      <c r="I511" s="104">
        <f>'1. Prüfung'!I511</f>
        <v>0</v>
      </c>
      <c r="J511" s="576"/>
      <c r="K511" s="69"/>
      <c r="L511" s="18">
        <v>15</v>
      </c>
      <c r="M511" s="364"/>
      <c r="N511" s="80"/>
      <c r="O511" s="106"/>
      <c r="P511" s="570"/>
      <c r="Q511" s="570"/>
      <c r="R511" s="571"/>
      <c r="T511" s="18">
        <f t="shared" si="7"/>
        <v>0</v>
      </c>
      <c r="U511" s="338"/>
      <c r="V511" s="344"/>
      <c r="W511" s="474"/>
      <c r="X511" s="344"/>
      <c r="Y511" s="475"/>
    </row>
    <row r="512" spans="2:25" ht="66" x14ac:dyDescent="0.25">
      <c r="B512" s="375"/>
      <c r="C512" s="351"/>
      <c r="D512" s="71" t="s">
        <v>181</v>
      </c>
      <c r="E512" s="77" t="s">
        <v>528</v>
      </c>
      <c r="F512" s="576"/>
      <c r="G512" s="82">
        <f>'SQ_Auditoreingaben '!G496</f>
        <v>5</v>
      </c>
      <c r="H512" s="576"/>
      <c r="I512" s="104">
        <f>'1. Prüfung'!I512</f>
        <v>0</v>
      </c>
      <c r="J512" s="576"/>
      <c r="K512" s="69"/>
      <c r="L512" s="18">
        <v>5</v>
      </c>
      <c r="M512" s="364"/>
      <c r="N512" s="80"/>
      <c r="O512" s="106"/>
      <c r="P512" s="570"/>
      <c r="Q512" s="570"/>
      <c r="R512" s="571"/>
      <c r="T512" s="18">
        <f t="shared" si="7"/>
        <v>0</v>
      </c>
      <c r="U512" s="338"/>
      <c r="V512" s="344"/>
      <c r="W512" s="474"/>
      <c r="X512" s="344"/>
      <c r="Y512" s="475"/>
    </row>
    <row r="513" spans="2:25" ht="132" x14ac:dyDescent="0.25">
      <c r="B513" s="375"/>
      <c r="C513" s="351"/>
      <c r="D513" s="71" t="s">
        <v>246</v>
      </c>
      <c r="E513" s="77" t="s">
        <v>529</v>
      </c>
      <c r="F513" s="576"/>
      <c r="G513" s="82">
        <f>'SQ_Auditoreingaben '!G497</f>
        <v>10</v>
      </c>
      <c r="H513" s="576"/>
      <c r="I513" s="104">
        <f>'1. Prüfung'!I513</f>
        <v>0</v>
      </c>
      <c r="J513" s="576"/>
      <c r="K513" s="69"/>
      <c r="L513" s="18">
        <v>10</v>
      </c>
      <c r="M513" s="364"/>
      <c r="N513" s="80"/>
      <c r="O513" s="106"/>
      <c r="P513" s="570"/>
      <c r="Q513" s="570"/>
      <c r="R513" s="571"/>
      <c r="T513" s="18">
        <f t="shared" si="7"/>
        <v>0</v>
      </c>
      <c r="U513" s="338"/>
      <c r="V513" s="344"/>
      <c r="W513" s="474"/>
      <c r="X513" s="344"/>
      <c r="Y513" s="475"/>
    </row>
    <row r="514" spans="2:25" ht="105.6" x14ac:dyDescent="0.25">
      <c r="B514" s="375"/>
      <c r="C514" s="351"/>
      <c r="D514" s="71" t="s">
        <v>250</v>
      </c>
      <c r="E514" s="77" t="s">
        <v>530</v>
      </c>
      <c r="F514" s="576"/>
      <c r="G514" s="82">
        <f>'SQ_Auditoreingaben '!G498</f>
        <v>10</v>
      </c>
      <c r="H514" s="576"/>
      <c r="I514" s="104">
        <f>'1. Prüfung'!I514</f>
        <v>0</v>
      </c>
      <c r="J514" s="576"/>
      <c r="K514" s="69"/>
      <c r="L514" s="18">
        <v>10</v>
      </c>
      <c r="M514" s="364"/>
      <c r="N514" s="80"/>
      <c r="O514" s="106"/>
      <c r="P514" s="570"/>
      <c r="Q514" s="570"/>
      <c r="R514" s="571"/>
      <c r="T514" s="18">
        <f t="shared" si="7"/>
        <v>0</v>
      </c>
      <c r="U514" s="338"/>
      <c r="V514" s="344"/>
      <c r="W514" s="474"/>
      <c r="X514" s="344"/>
      <c r="Y514" s="475"/>
    </row>
    <row r="515" spans="2:25" ht="105.6" x14ac:dyDescent="0.25">
      <c r="B515" s="375"/>
      <c r="C515" s="351"/>
      <c r="D515" s="71" t="s">
        <v>121</v>
      </c>
      <c r="E515" s="77" t="s">
        <v>531</v>
      </c>
      <c r="F515" s="576"/>
      <c r="G515" s="82">
        <f>'SQ_Auditoreingaben '!G499</f>
        <v>0</v>
      </c>
      <c r="H515" s="576"/>
      <c r="I515" s="104">
        <f>'1. Prüfung'!I515</f>
        <v>0</v>
      </c>
      <c r="J515" s="576"/>
      <c r="K515" s="69"/>
      <c r="L515" s="18">
        <v>5</v>
      </c>
      <c r="M515" s="364"/>
      <c r="N515" s="80"/>
      <c r="O515" s="106"/>
      <c r="P515" s="570"/>
      <c r="Q515" s="570"/>
      <c r="R515" s="571"/>
      <c r="T515" s="18">
        <f t="shared" si="7"/>
        <v>0</v>
      </c>
      <c r="U515" s="338"/>
      <c r="V515" s="344"/>
      <c r="W515" s="474"/>
      <c r="X515" s="344"/>
      <c r="Y515" s="475"/>
    </row>
    <row r="516" spans="2:25" x14ac:dyDescent="0.25">
      <c r="B516" s="375"/>
      <c r="C516" s="351" t="s">
        <v>61</v>
      </c>
      <c r="D516" s="354" t="s">
        <v>525</v>
      </c>
      <c r="E516" s="354"/>
      <c r="F516" s="576"/>
      <c r="G516" s="113"/>
      <c r="H516" s="576"/>
      <c r="I516" s="113"/>
      <c r="J516" s="576"/>
      <c r="K516" s="113"/>
      <c r="L516" s="21">
        <v>35</v>
      </c>
      <c r="M516" s="364"/>
      <c r="N516" s="80"/>
      <c r="O516" s="106"/>
      <c r="P516" s="570"/>
      <c r="Q516" s="570"/>
      <c r="R516" s="571"/>
      <c r="T516" s="18">
        <f t="shared" si="7"/>
        <v>0</v>
      </c>
      <c r="U516" s="338"/>
      <c r="V516" s="344"/>
      <c r="W516" s="474"/>
      <c r="X516" s="344"/>
      <c r="Y516" s="475"/>
    </row>
    <row r="517" spans="2:25" ht="105.6" x14ac:dyDescent="0.25">
      <c r="B517" s="375"/>
      <c r="C517" s="351"/>
      <c r="D517" s="71" t="s">
        <v>63</v>
      </c>
      <c r="E517" s="77" t="s">
        <v>532</v>
      </c>
      <c r="F517" s="576"/>
      <c r="G517" s="82">
        <f>'SQ_Auditoreingaben '!G501</f>
        <v>20</v>
      </c>
      <c r="H517" s="576"/>
      <c r="I517" s="104">
        <f>'1. Prüfung'!I517</f>
        <v>0</v>
      </c>
      <c r="J517" s="576"/>
      <c r="K517" s="69"/>
      <c r="L517" s="18">
        <v>20</v>
      </c>
      <c r="M517" s="364"/>
      <c r="N517" s="80"/>
      <c r="O517" s="106"/>
      <c r="P517" s="570"/>
      <c r="Q517" s="570"/>
      <c r="R517" s="571"/>
      <c r="T517" s="18">
        <f t="shared" si="7"/>
        <v>0</v>
      </c>
      <c r="U517" s="338"/>
      <c r="V517" s="344"/>
      <c r="W517" s="474"/>
      <c r="X517" s="344"/>
      <c r="Y517" s="475"/>
    </row>
    <row r="518" spans="2:25" ht="66" x14ac:dyDescent="0.25">
      <c r="B518" s="375"/>
      <c r="C518" s="351"/>
      <c r="D518" s="71" t="s">
        <v>186</v>
      </c>
      <c r="E518" s="77" t="s">
        <v>533</v>
      </c>
      <c r="F518" s="576"/>
      <c r="G518" s="82">
        <f>'SQ_Auditoreingaben '!G502</f>
        <v>15</v>
      </c>
      <c r="H518" s="576"/>
      <c r="I518" s="104">
        <f>'1. Prüfung'!I518</f>
        <v>0</v>
      </c>
      <c r="J518" s="576"/>
      <c r="K518" s="69"/>
      <c r="L518" s="18">
        <v>15</v>
      </c>
      <c r="M518" s="364"/>
      <c r="N518" s="80"/>
      <c r="O518" s="106"/>
      <c r="P518" s="570"/>
      <c r="Q518" s="570"/>
      <c r="R518" s="571"/>
      <c r="T518" s="18">
        <f t="shared" si="7"/>
        <v>0</v>
      </c>
      <c r="U518" s="338"/>
      <c r="V518" s="344"/>
      <c r="W518" s="474"/>
      <c r="X518" s="344"/>
      <c r="Y518" s="475"/>
    </row>
    <row r="519" spans="2:25" x14ac:dyDescent="0.25">
      <c r="B519" s="375"/>
      <c r="C519" s="351" t="s">
        <v>64</v>
      </c>
      <c r="D519" s="354" t="s">
        <v>526</v>
      </c>
      <c r="E519" s="354"/>
      <c r="F519" s="576"/>
      <c r="G519" s="113"/>
      <c r="H519" s="576"/>
      <c r="I519" s="113"/>
      <c r="J519" s="576"/>
      <c r="K519" s="113"/>
      <c r="L519" s="21">
        <v>20</v>
      </c>
      <c r="M519" s="364"/>
      <c r="N519" s="80"/>
      <c r="O519" s="106"/>
      <c r="P519" s="570"/>
      <c r="Q519" s="570"/>
      <c r="R519" s="571"/>
      <c r="T519" s="18">
        <f t="shared" si="7"/>
        <v>0</v>
      </c>
      <c r="U519" s="338"/>
      <c r="V519" s="344"/>
      <c r="W519" s="474"/>
      <c r="X519" s="344"/>
      <c r="Y519" s="475"/>
    </row>
    <row r="520" spans="2:25" ht="118.8" x14ac:dyDescent="0.25">
      <c r="B520" s="375"/>
      <c r="C520" s="351"/>
      <c r="D520" s="71" t="s">
        <v>66</v>
      </c>
      <c r="E520" s="77" t="s">
        <v>534</v>
      </c>
      <c r="F520" s="576"/>
      <c r="G520" s="82">
        <f>'SQ_Auditoreingaben '!G504</f>
        <v>0</v>
      </c>
      <c r="H520" s="576"/>
      <c r="I520" s="104">
        <f>'1. Prüfung'!I520</f>
        <v>0</v>
      </c>
      <c r="J520" s="576"/>
      <c r="K520" s="69"/>
      <c r="L520" s="18">
        <v>10</v>
      </c>
      <c r="M520" s="364"/>
      <c r="N520" s="80"/>
      <c r="O520" s="106"/>
      <c r="P520" s="570"/>
      <c r="Q520" s="570"/>
      <c r="R520" s="571"/>
      <c r="T520" s="18">
        <f t="shared" si="7"/>
        <v>0</v>
      </c>
      <c r="U520" s="338"/>
      <c r="V520" s="344"/>
      <c r="W520" s="474"/>
      <c r="X520" s="344"/>
      <c r="Y520" s="475"/>
    </row>
    <row r="521" spans="2:25" ht="105.6" x14ac:dyDescent="0.25">
      <c r="B521" s="375"/>
      <c r="C521" s="351"/>
      <c r="D521" s="71" t="s">
        <v>188</v>
      </c>
      <c r="E521" s="77" t="s">
        <v>535</v>
      </c>
      <c r="F521" s="576"/>
      <c r="G521" s="82">
        <f>'SQ_Auditoreingaben '!G505</f>
        <v>0</v>
      </c>
      <c r="H521" s="576"/>
      <c r="I521" s="104">
        <f>'1. Prüfung'!I521</f>
        <v>0</v>
      </c>
      <c r="J521" s="576"/>
      <c r="K521" s="69"/>
      <c r="L521" s="18">
        <v>10</v>
      </c>
      <c r="M521" s="364"/>
      <c r="N521" s="80"/>
      <c r="O521" s="106"/>
      <c r="P521" s="570"/>
      <c r="Q521" s="570"/>
      <c r="R521" s="571"/>
      <c r="T521" s="18">
        <f t="shared" si="7"/>
        <v>0</v>
      </c>
      <c r="U521" s="339"/>
      <c r="V521" s="365"/>
      <c r="W521" s="474"/>
      <c r="X521" s="344"/>
      <c r="Y521" s="475"/>
    </row>
    <row r="522" spans="2:25" x14ac:dyDescent="0.25">
      <c r="B522" s="55" t="s">
        <v>536</v>
      </c>
      <c r="C522" s="354" t="s">
        <v>537</v>
      </c>
      <c r="D522" s="354"/>
      <c r="E522" s="354"/>
      <c r="F522" s="78">
        <f>'SQ_Auditoreingaben '!F506</f>
        <v>85</v>
      </c>
      <c r="G522" s="364"/>
      <c r="H522" s="105">
        <f>'1. Prüfung'!H522</f>
        <v>0</v>
      </c>
      <c r="I522" s="364"/>
      <c r="J522" s="91">
        <f>U522</f>
        <v>0</v>
      </c>
      <c r="K522" s="364"/>
      <c r="L522" s="21">
        <v>110</v>
      </c>
      <c r="M522" s="88">
        <v>2</v>
      </c>
      <c r="N522" s="80"/>
      <c r="O522" s="106"/>
      <c r="P522" s="570"/>
      <c r="Q522" s="570"/>
      <c r="R522" s="571"/>
      <c r="T522" s="18">
        <f t="shared" si="7"/>
        <v>0</v>
      </c>
      <c r="U522" s="337">
        <f>SUM(SUM(T524:T529),IF(T531+T532&gt;20,20,T531+T532),IF(T534+T535&gt;20,20,T534+T535))</f>
        <v>0</v>
      </c>
      <c r="V522" s="343">
        <f>U522/100</f>
        <v>0</v>
      </c>
      <c r="W522" s="474"/>
      <c r="X522" s="344"/>
      <c r="Y522" s="475"/>
    </row>
    <row r="523" spans="2:25" x14ac:dyDescent="0.25">
      <c r="B523" s="375"/>
      <c r="C523" s="351" t="s">
        <v>54</v>
      </c>
      <c r="D523" s="354" t="s">
        <v>538</v>
      </c>
      <c r="E523" s="354"/>
      <c r="F523" s="576"/>
      <c r="G523" s="364"/>
      <c r="H523" s="576"/>
      <c r="I523" s="364"/>
      <c r="J523" s="576"/>
      <c r="K523" s="364"/>
      <c r="L523" s="21">
        <v>20</v>
      </c>
      <c r="M523" s="364"/>
      <c r="N523" s="80"/>
      <c r="O523" s="106"/>
      <c r="P523" s="570"/>
      <c r="Q523" s="570"/>
      <c r="R523" s="571"/>
      <c r="T523" s="18">
        <f t="shared" si="7"/>
        <v>0</v>
      </c>
      <c r="U523" s="338"/>
      <c r="V523" s="344"/>
      <c r="W523" s="474"/>
      <c r="X523" s="344"/>
      <c r="Y523" s="475"/>
    </row>
    <row r="524" spans="2:25" ht="118.8" x14ac:dyDescent="0.25">
      <c r="B524" s="375"/>
      <c r="C524" s="351"/>
      <c r="D524" s="71" t="s">
        <v>58</v>
      </c>
      <c r="E524" s="77" t="s">
        <v>689</v>
      </c>
      <c r="F524" s="576"/>
      <c r="G524" s="82">
        <f>'SQ_Auditoreingaben '!G508</f>
        <v>5</v>
      </c>
      <c r="H524" s="576"/>
      <c r="I524" s="104">
        <f>'1. Prüfung'!I524</f>
        <v>0</v>
      </c>
      <c r="J524" s="576"/>
      <c r="K524" s="69"/>
      <c r="L524" s="18">
        <v>20</v>
      </c>
      <c r="M524" s="364"/>
      <c r="N524" s="80"/>
      <c r="O524" s="106"/>
      <c r="P524" s="570"/>
      <c r="Q524" s="570"/>
      <c r="R524" s="571"/>
      <c r="T524" s="18">
        <f t="shared" si="7"/>
        <v>0</v>
      </c>
      <c r="U524" s="338"/>
      <c r="V524" s="344"/>
      <c r="W524" s="474"/>
      <c r="X524" s="344"/>
      <c r="Y524" s="475"/>
    </row>
    <row r="525" spans="2:25" x14ac:dyDescent="0.25">
      <c r="B525" s="375"/>
      <c r="C525" s="351" t="s">
        <v>61</v>
      </c>
      <c r="D525" s="354" t="s">
        <v>539</v>
      </c>
      <c r="E525" s="354"/>
      <c r="F525" s="576"/>
      <c r="G525" s="113"/>
      <c r="H525" s="576"/>
      <c r="I525" s="113"/>
      <c r="J525" s="576"/>
      <c r="K525" s="113"/>
      <c r="L525" s="21">
        <v>30</v>
      </c>
      <c r="M525" s="364"/>
      <c r="N525" s="80"/>
      <c r="O525" s="106"/>
      <c r="P525" s="570"/>
      <c r="Q525" s="570"/>
      <c r="R525" s="571"/>
      <c r="T525" s="18">
        <f t="shared" si="7"/>
        <v>0</v>
      </c>
      <c r="U525" s="338"/>
      <c r="V525" s="344"/>
      <c r="W525" s="474"/>
      <c r="X525" s="344"/>
      <c r="Y525" s="475"/>
    </row>
    <row r="526" spans="2:25" ht="145.19999999999999" x14ac:dyDescent="0.25">
      <c r="B526" s="375"/>
      <c r="C526" s="351"/>
      <c r="D526" s="71" t="s">
        <v>63</v>
      </c>
      <c r="E526" s="77" t="s">
        <v>690</v>
      </c>
      <c r="F526" s="576"/>
      <c r="G526" s="82">
        <f>'SQ_Auditoreingaben '!G511</f>
        <v>15</v>
      </c>
      <c r="H526" s="576"/>
      <c r="I526" s="104">
        <f>'1. Prüfung'!I526</f>
        <v>0</v>
      </c>
      <c r="J526" s="576"/>
      <c r="K526" s="69"/>
      <c r="L526" s="18">
        <v>20</v>
      </c>
      <c r="M526" s="364"/>
      <c r="N526" s="80"/>
      <c r="O526" s="106"/>
      <c r="P526" s="570"/>
      <c r="Q526" s="570"/>
      <c r="R526" s="571"/>
      <c r="T526" s="18">
        <f t="shared" si="7"/>
        <v>0</v>
      </c>
      <c r="U526" s="338"/>
      <c r="V526" s="344"/>
      <c r="W526" s="474"/>
      <c r="X526" s="344"/>
      <c r="Y526" s="475"/>
    </row>
    <row r="527" spans="2:25" ht="66" x14ac:dyDescent="0.25">
      <c r="B527" s="375"/>
      <c r="C527" s="351"/>
      <c r="D527" s="71" t="s">
        <v>186</v>
      </c>
      <c r="E527" s="77" t="s">
        <v>544</v>
      </c>
      <c r="F527" s="576"/>
      <c r="G527" s="82">
        <f>'SQ_Auditoreingaben '!G512</f>
        <v>10</v>
      </c>
      <c r="H527" s="576"/>
      <c r="I527" s="104">
        <f>'1. Prüfung'!I527</f>
        <v>0</v>
      </c>
      <c r="J527" s="576"/>
      <c r="K527" s="69"/>
      <c r="L527" s="18">
        <v>10</v>
      </c>
      <c r="M527" s="364"/>
      <c r="N527" s="80"/>
      <c r="O527" s="106"/>
      <c r="P527" s="570"/>
      <c r="Q527" s="570"/>
      <c r="R527" s="571"/>
      <c r="T527" s="18">
        <f t="shared" si="7"/>
        <v>0</v>
      </c>
      <c r="U527" s="338"/>
      <c r="V527" s="344"/>
      <c r="W527" s="474"/>
      <c r="X527" s="344"/>
      <c r="Y527" s="475"/>
    </row>
    <row r="528" spans="2:25" x14ac:dyDescent="0.25">
      <c r="B528" s="375"/>
      <c r="C528" s="351" t="s">
        <v>64</v>
      </c>
      <c r="D528" s="354" t="s">
        <v>540</v>
      </c>
      <c r="E528" s="354"/>
      <c r="F528" s="576"/>
      <c r="G528" s="113"/>
      <c r="H528" s="576"/>
      <c r="I528" s="113"/>
      <c r="J528" s="576"/>
      <c r="K528" s="113"/>
      <c r="L528" s="21">
        <v>20</v>
      </c>
      <c r="M528" s="364"/>
      <c r="N528" s="80"/>
      <c r="O528" s="106"/>
      <c r="P528" s="570"/>
      <c r="Q528" s="570"/>
      <c r="R528" s="571"/>
      <c r="T528" s="18">
        <f t="shared" si="7"/>
        <v>0</v>
      </c>
      <c r="U528" s="338"/>
      <c r="V528" s="344"/>
      <c r="W528" s="474"/>
      <c r="X528" s="344"/>
      <c r="Y528" s="475"/>
    </row>
    <row r="529" spans="2:25" ht="145.19999999999999" x14ac:dyDescent="0.25">
      <c r="B529" s="375"/>
      <c r="C529" s="351"/>
      <c r="D529" s="71" t="s">
        <v>66</v>
      </c>
      <c r="E529" s="77" t="s">
        <v>691</v>
      </c>
      <c r="F529" s="576"/>
      <c r="G529" s="82">
        <f>'SQ_Auditoreingaben '!G514</f>
        <v>10</v>
      </c>
      <c r="H529" s="576"/>
      <c r="I529" s="104">
        <f>'1. Prüfung'!I529</f>
        <v>0</v>
      </c>
      <c r="J529" s="576"/>
      <c r="K529" s="69"/>
      <c r="L529" s="18">
        <v>20</v>
      </c>
      <c r="M529" s="364"/>
      <c r="N529" s="80"/>
      <c r="O529" s="106"/>
      <c r="P529" s="570"/>
      <c r="Q529" s="570"/>
      <c r="R529" s="571"/>
      <c r="T529" s="18">
        <f t="shared" si="7"/>
        <v>0</v>
      </c>
      <c r="U529" s="338"/>
      <c r="V529" s="344"/>
      <c r="W529" s="474"/>
      <c r="X529" s="344"/>
      <c r="Y529" s="475"/>
    </row>
    <row r="530" spans="2:25" x14ac:dyDescent="0.25">
      <c r="B530" s="375"/>
      <c r="C530" s="351" t="s">
        <v>67</v>
      </c>
      <c r="D530" s="354" t="s">
        <v>541</v>
      </c>
      <c r="E530" s="354"/>
      <c r="F530" s="576"/>
      <c r="G530" s="113"/>
      <c r="H530" s="576"/>
      <c r="I530" s="113"/>
      <c r="J530" s="576"/>
      <c r="K530" s="113"/>
      <c r="L530" s="21">
        <v>20</v>
      </c>
      <c r="M530" s="364"/>
      <c r="N530" s="80"/>
      <c r="O530" s="106"/>
      <c r="P530" s="570"/>
      <c r="Q530" s="570"/>
      <c r="R530" s="571"/>
      <c r="T530" s="18">
        <f t="shared" si="7"/>
        <v>0</v>
      </c>
      <c r="U530" s="338"/>
      <c r="V530" s="344"/>
      <c r="W530" s="474"/>
      <c r="X530" s="344"/>
      <c r="Y530" s="475"/>
    </row>
    <row r="531" spans="2:25" ht="145.19999999999999" x14ac:dyDescent="0.25">
      <c r="B531" s="375"/>
      <c r="C531" s="351"/>
      <c r="D531" s="71" t="s">
        <v>69</v>
      </c>
      <c r="E531" s="77" t="s">
        <v>692</v>
      </c>
      <c r="F531" s="576"/>
      <c r="G531" s="82">
        <f>'SQ_Auditoreingaben '!G516</f>
        <v>15</v>
      </c>
      <c r="H531" s="576"/>
      <c r="I531" s="104">
        <f>'1. Prüfung'!I531</f>
        <v>0</v>
      </c>
      <c r="J531" s="576"/>
      <c r="K531" s="69"/>
      <c r="L531" s="18">
        <v>20</v>
      </c>
      <c r="M531" s="364"/>
      <c r="N531" s="80"/>
      <c r="O531" s="106"/>
      <c r="P531" s="570"/>
      <c r="Q531" s="570"/>
      <c r="R531" s="571"/>
      <c r="T531" s="18">
        <f t="shared" si="7"/>
        <v>0</v>
      </c>
      <c r="U531" s="338"/>
      <c r="V531" s="344"/>
      <c r="W531" s="474"/>
      <c r="X531" s="344"/>
      <c r="Y531" s="475"/>
    </row>
    <row r="532" spans="2:25" ht="66" x14ac:dyDescent="0.25">
      <c r="B532" s="375"/>
      <c r="C532" s="351"/>
      <c r="D532" s="57" t="s">
        <v>542</v>
      </c>
      <c r="E532" s="77" t="s">
        <v>598</v>
      </c>
      <c r="F532" s="576"/>
      <c r="G532" s="82">
        <f>'SQ_Auditoreingaben '!G517</f>
        <v>0</v>
      </c>
      <c r="H532" s="576"/>
      <c r="I532" s="104">
        <f>'1. Prüfung'!I532</f>
        <v>0</v>
      </c>
      <c r="J532" s="576"/>
      <c r="K532" s="69"/>
      <c r="L532" s="18">
        <v>20</v>
      </c>
      <c r="M532" s="364"/>
      <c r="N532" s="80"/>
      <c r="O532" s="106"/>
      <c r="P532" s="570"/>
      <c r="Q532" s="570"/>
      <c r="R532" s="571"/>
      <c r="T532" s="18">
        <f t="shared" si="7"/>
        <v>0</v>
      </c>
      <c r="U532" s="338"/>
      <c r="V532" s="344"/>
      <c r="W532" s="474"/>
      <c r="X532" s="344"/>
      <c r="Y532" s="475"/>
    </row>
    <row r="533" spans="2:25" x14ac:dyDescent="0.25">
      <c r="B533" s="375"/>
      <c r="C533" s="351" t="s">
        <v>154</v>
      </c>
      <c r="D533" s="354" t="s">
        <v>543</v>
      </c>
      <c r="E533" s="354"/>
      <c r="F533" s="576"/>
      <c r="G533" s="113"/>
      <c r="H533" s="576"/>
      <c r="I533" s="113"/>
      <c r="J533" s="576"/>
      <c r="K533" s="113"/>
      <c r="L533" s="21">
        <v>20</v>
      </c>
      <c r="M533" s="364"/>
      <c r="N533" s="80"/>
      <c r="O533" s="106"/>
      <c r="P533" s="570"/>
      <c r="Q533" s="570"/>
      <c r="R533" s="571"/>
      <c r="T533" s="18">
        <f t="shared" si="7"/>
        <v>0</v>
      </c>
      <c r="U533" s="338"/>
      <c r="V533" s="344"/>
      <c r="W533" s="474"/>
      <c r="X533" s="344"/>
      <c r="Y533" s="475"/>
    </row>
    <row r="534" spans="2:25" ht="118.8" x14ac:dyDescent="0.25">
      <c r="B534" s="375"/>
      <c r="C534" s="351"/>
      <c r="D534" s="71" t="s">
        <v>156</v>
      </c>
      <c r="E534" s="77" t="s">
        <v>693</v>
      </c>
      <c r="F534" s="576"/>
      <c r="G534" s="82">
        <f>'SQ_Auditoreingaben '!G519</f>
        <v>10</v>
      </c>
      <c r="H534" s="576"/>
      <c r="I534" s="104">
        <f>'1. Prüfung'!I534</f>
        <v>0</v>
      </c>
      <c r="J534" s="576"/>
      <c r="K534" s="69"/>
      <c r="L534" s="18">
        <v>20</v>
      </c>
      <c r="M534" s="364"/>
      <c r="N534" s="80"/>
      <c r="O534" s="106"/>
      <c r="P534" s="570"/>
      <c r="Q534" s="570"/>
      <c r="R534" s="571"/>
      <c r="T534" s="18">
        <f t="shared" si="7"/>
        <v>0</v>
      </c>
      <c r="U534" s="338"/>
      <c r="V534" s="344"/>
      <c r="W534" s="474"/>
      <c r="X534" s="344"/>
      <c r="Y534" s="475"/>
    </row>
    <row r="535" spans="2:25" ht="92.4" x14ac:dyDescent="0.25">
      <c r="B535" s="375"/>
      <c r="C535" s="351"/>
      <c r="D535" s="57" t="s">
        <v>694</v>
      </c>
      <c r="E535" s="77" t="s">
        <v>695</v>
      </c>
      <c r="F535" s="576"/>
      <c r="G535" s="82">
        <f>'SQ_Auditoreingaben '!G520</f>
        <v>10</v>
      </c>
      <c r="H535" s="576"/>
      <c r="I535" s="104">
        <f>'1. Prüfung'!I535</f>
        <v>0</v>
      </c>
      <c r="J535" s="576"/>
      <c r="K535" s="69"/>
      <c r="L535" s="18">
        <v>20</v>
      </c>
      <c r="M535" s="364"/>
      <c r="N535" s="80"/>
      <c r="O535" s="106"/>
      <c r="P535" s="570"/>
      <c r="Q535" s="570"/>
      <c r="R535" s="571"/>
      <c r="T535" s="18">
        <f t="shared" si="7"/>
        <v>0</v>
      </c>
      <c r="U535" s="339"/>
      <c r="V535" s="365"/>
      <c r="W535" s="474"/>
      <c r="X535" s="344"/>
      <c r="Y535" s="475"/>
    </row>
    <row r="536" spans="2:25" x14ac:dyDescent="0.25">
      <c r="B536" s="55" t="s">
        <v>545</v>
      </c>
      <c r="C536" s="354" t="s">
        <v>546</v>
      </c>
      <c r="D536" s="354"/>
      <c r="E536" s="354"/>
      <c r="F536" s="78">
        <f>'SQ_Auditoreingaben '!F521</f>
        <v>55</v>
      </c>
      <c r="G536" s="364"/>
      <c r="H536" s="105">
        <f>'1. Prüfung'!H536</f>
        <v>0</v>
      </c>
      <c r="I536" s="364"/>
      <c r="J536" s="91">
        <f>U536</f>
        <v>0</v>
      </c>
      <c r="K536" s="364"/>
      <c r="L536" s="21">
        <v>100</v>
      </c>
      <c r="M536" s="88">
        <v>2</v>
      </c>
      <c r="N536" s="80"/>
      <c r="O536" s="106"/>
      <c r="P536" s="570"/>
      <c r="Q536" s="570"/>
      <c r="R536" s="571"/>
      <c r="T536" s="18">
        <f t="shared" si="7"/>
        <v>0</v>
      </c>
      <c r="U536" s="337">
        <f>SUM(T538:T553)</f>
        <v>0</v>
      </c>
      <c r="V536" s="343">
        <f>U536/100</f>
        <v>0</v>
      </c>
      <c r="W536" s="474"/>
      <c r="X536" s="344"/>
      <c r="Y536" s="475"/>
    </row>
    <row r="537" spans="2:25" x14ac:dyDescent="0.25">
      <c r="B537" s="375"/>
      <c r="C537" s="351" t="s">
        <v>54</v>
      </c>
      <c r="D537" s="354" t="s">
        <v>547</v>
      </c>
      <c r="E537" s="354"/>
      <c r="F537" s="576"/>
      <c r="G537" s="364"/>
      <c r="H537" s="576"/>
      <c r="I537" s="364"/>
      <c r="J537" s="576"/>
      <c r="K537" s="364"/>
      <c r="L537" s="21">
        <v>45</v>
      </c>
      <c r="M537" s="364"/>
      <c r="N537" s="80"/>
      <c r="O537" s="106"/>
      <c r="P537" s="570"/>
      <c r="Q537" s="570"/>
      <c r="R537" s="571"/>
      <c r="T537" s="18">
        <f t="shared" si="7"/>
        <v>0</v>
      </c>
      <c r="U537" s="338"/>
      <c r="V537" s="344"/>
      <c r="W537" s="474"/>
      <c r="X537" s="344"/>
      <c r="Y537" s="475"/>
    </row>
    <row r="538" spans="2:25" ht="66" x14ac:dyDescent="0.25">
      <c r="B538" s="375"/>
      <c r="C538" s="351"/>
      <c r="D538" s="71" t="s">
        <v>58</v>
      </c>
      <c r="E538" s="77" t="s">
        <v>556</v>
      </c>
      <c r="F538" s="576"/>
      <c r="G538" s="82">
        <f>'SQ_Auditoreingaben '!G523</f>
        <v>0</v>
      </c>
      <c r="H538" s="576"/>
      <c r="I538" s="104">
        <f>'1. Prüfung'!I538</f>
        <v>0</v>
      </c>
      <c r="J538" s="576"/>
      <c r="K538" s="69"/>
      <c r="L538" s="18">
        <v>15</v>
      </c>
      <c r="M538" s="364"/>
      <c r="N538" s="80"/>
      <c r="O538" s="106"/>
      <c r="P538" s="570"/>
      <c r="Q538" s="570"/>
      <c r="R538" s="571"/>
      <c r="T538" s="18">
        <f t="shared" ref="T538:T553" si="8">IF(K538&gt;L538,L538,K538)</f>
        <v>0</v>
      </c>
      <c r="U538" s="338"/>
      <c r="V538" s="344"/>
      <c r="W538" s="474"/>
      <c r="X538" s="344"/>
      <c r="Y538" s="475"/>
    </row>
    <row r="539" spans="2:25" ht="47.25" customHeight="1" x14ac:dyDescent="0.25">
      <c r="B539" s="375"/>
      <c r="C539" s="351"/>
      <c r="D539" s="71" t="s">
        <v>181</v>
      </c>
      <c r="E539" s="52" t="s">
        <v>734</v>
      </c>
      <c r="F539" s="576"/>
      <c r="G539" s="82">
        <f>'SQ_Auditoreingaben '!G524</f>
        <v>0</v>
      </c>
      <c r="H539" s="576"/>
      <c r="I539" s="104">
        <f>'1. Prüfung'!I539</f>
        <v>0</v>
      </c>
      <c r="J539" s="576"/>
      <c r="K539" s="69"/>
      <c r="L539" s="18">
        <v>10</v>
      </c>
      <c r="M539" s="364"/>
      <c r="N539" s="80"/>
      <c r="O539" s="106"/>
      <c r="P539" s="570"/>
      <c r="Q539" s="570"/>
      <c r="R539" s="571"/>
      <c r="T539" s="18">
        <f t="shared" si="8"/>
        <v>0</v>
      </c>
      <c r="U539" s="338"/>
      <c r="V539" s="344"/>
      <c r="W539" s="474"/>
      <c r="X539" s="344"/>
      <c r="Y539" s="475"/>
    </row>
    <row r="540" spans="2:25" ht="52.8" x14ac:dyDescent="0.25">
      <c r="B540" s="375"/>
      <c r="C540" s="351"/>
      <c r="D540" s="71" t="s">
        <v>246</v>
      </c>
      <c r="E540" s="77" t="s">
        <v>557</v>
      </c>
      <c r="F540" s="576"/>
      <c r="G540" s="82">
        <f>'SQ_Auditoreingaben '!G525</f>
        <v>0</v>
      </c>
      <c r="H540" s="576"/>
      <c r="I540" s="104">
        <f>'1. Prüfung'!I540</f>
        <v>0</v>
      </c>
      <c r="J540" s="576"/>
      <c r="K540" s="69"/>
      <c r="L540" s="18">
        <v>10</v>
      </c>
      <c r="M540" s="364"/>
      <c r="N540" s="80"/>
      <c r="O540" s="106"/>
      <c r="P540" s="570"/>
      <c r="Q540" s="570"/>
      <c r="R540" s="571"/>
      <c r="T540" s="18">
        <f t="shared" si="8"/>
        <v>0</v>
      </c>
      <c r="U540" s="338"/>
      <c r="V540" s="344"/>
      <c r="W540" s="474"/>
      <c r="X540" s="344"/>
      <c r="Y540" s="475"/>
    </row>
    <row r="541" spans="2:25" ht="145.19999999999999" x14ac:dyDescent="0.25">
      <c r="B541" s="375"/>
      <c r="C541" s="351"/>
      <c r="D541" s="71" t="s">
        <v>250</v>
      </c>
      <c r="E541" s="77" t="s">
        <v>558</v>
      </c>
      <c r="F541" s="576"/>
      <c r="G541" s="82">
        <f>'SQ_Auditoreingaben '!G526</f>
        <v>0</v>
      </c>
      <c r="H541" s="576"/>
      <c r="I541" s="104">
        <f>'1. Prüfung'!I541</f>
        <v>0</v>
      </c>
      <c r="J541" s="576"/>
      <c r="K541" s="69"/>
      <c r="L541" s="18">
        <v>10</v>
      </c>
      <c r="M541" s="364"/>
      <c r="N541" s="80"/>
      <c r="O541" s="106"/>
      <c r="P541" s="570"/>
      <c r="Q541" s="570"/>
      <c r="R541" s="571"/>
      <c r="T541" s="18">
        <f t="shared" si="8"/>
        <v>0</v>
      </c>
      <c r="U541" s="338"/>
      <c r="V541" s="344"/>
      <c r="W541" s="474"/>
      <c r="X541" s="344"/>
      <c r="Y541" s="475"/>
    </row>
    <row r="542" spans="2:25" x14ac:dyDescent="0.25">
      <c r="B542" s="375"/>
      <c r="C542" s="351" t="s">
        <v>61</v>
      </c>
      <c r="D542" s="354" t="s">
        <v>548</v>
      </c>
      <c r="E542" s="354"/>
      <c r="F542" s="576"/>
      <c r="G542" s="356"/>
      <c r="H542" s="576"/>
      <c r="I542" s="356"/>
      <c r="J542" s="576"/>
      <c r="K542" s="356"/>
      <c r="L542" s="21">
        <v>15</v>
      </c>
      <c r="M542" s="364"/>
      <c r="N542" s="80"/>
      <c r="O542" s="106"/>
      <c r="P542" s="570"/>
      <c r="Q542" s="570"/>
      <c r="R542" s="571"/>
      <c r="T542" s="18">
        <f t="shared" si="8"/>
        <v>0</v>
      </c>
      <c r="U542" s="338"/>
      <c r="V542" s="344"/>
      <c r="W542" s="474"/>
      <c r="X542" s="344"/>
      <c r="Y542" s="475"/>
    </row>
    <row r="543" spans="2:25" x14ac:dyDescent="0.25">
      <c r="B543" s="375"/>
      <c r="C543" s="351"/>
      <c r="D543" s="361" t="s">
        <v>63</v>
      </c>
      <c r="E543" s="87" t="s">
        <v>549</v>
      </c>
      <c r="F543" s="576"/>
      <c r="G543" s="356"/>
      <c r="H543" s="576"/>
      <c r="I543" s="356"/>
      <c r="J543" s="576"/>
      <c r="K543" s="356"/>
      <c r="L543" s="21">
        <v>15</v>
      </c>
      <c r="M543" s="364"/>
      <c r="N543" s="80"/>
      <c r="O543" s="106"/>
      <c r="P543" s="570"/>
      <c r="Q543" s="570"/>
      <c r="R543" s="571"/>
      <c r="T543" s="18">
        <f t="shared" si="8"/>
        <v>0</v>
      </c>
      <c r="U543" s="338"/>
      <c r="V543" s="344"/>
      <c r="W543" s="474"/>
      <c r="X543" s="344"/>
      <c r="Y543" s="475"/>
    </row>
    <row r="544" spans="2:25" ht="39.6" x14ac:dyDescent="0.25">
      <c r="B544" s="375"/>
      <c r="C544" s="351"/>
      <c r="D544" s="361"/>
      <c r="E544" s="77" t="s">
        <v>550</v>
      </c>
      <c r="F544" s="576"/>
      <c r="G544" s="82">
        <f>'SQ_Auditoreingaben '!G529</f>
        <v>8</v>
      </c>
      <c r="H544" s="576"/>
      <c r="I544" s="104">
        <f>'1. Prüfung'!I544</f>
        <v>0</v>
      </c>
      <c r="J544" s="576"/>
      <c r="K544" s="69"/>
      <c r="L544" s="18">
        <v>5</v>
      </c>
      <c r="M544" s="364"/>
      <c r="N544" s="80"/>
      <c r="O544" s="106"/>
      <c r="P544" s="570"/>
      <c r="Q544" s="570"/>
      <c r="R544" s="571"/>
      <c r="T544" s="18">
        <f t="shared" si="8"/>
        <v>0</v>
      </c>
      <c r="U544" s="338"/>
      <c r="V544" s="344"/>
      <c r="W544" s="474"/>
      <c r="X544" s="344"/>
      <c r="Y544" s="475"/>
    </row>
    <row r="545" spans="2:25" ht="39.6" x14ac:dyDescent="0.25">
      <c r="B545" s="375"/>
      <c r="C545" s="351"/>
      <c r="D545" s="361"/>
      <c r="E545" s="77" t="s">
        <v>551</v>
      </c>
      <c r="F545" s="576"/>
      <c r="G545" s="82">
        <f>'SQ_Auditoreingaben '!G530</f>
        <v>7</v>
      </c>
      <c r="H545" s="576"/>
      <c r="I545" s="104">
        <f>'1. Prüfung'!I545</f>
        <v>0</v>
      </c>
      <c r="J545" s="576"/>
      <c r="K545" s="69"/>
      <c r="L545" s="18">
        <v>5</v>
      </c>
      <c r="M545" s="364"/>
      <c r="N545" s="80"/>
      <c r="O545" s="106"/>
      <c r="P545" s="570"/>
      <c r="Q545" s="570"/>
      <c r="R545" s="571"/>
      <c r="T545" s="18">
        <f t="shared" si="8"/>
        <v>0</v>
      </c>
      <c r="U545" s="338"/>
      <c r="V545" s="344"/>
      <c r="W545" s="474"/>
      <c r="X545" s="344"/>
      <c r="Y545" s="475"/>
    </row>
    <row r="546" spans="2:25" ht="39.6" x14ac:dyDescent="0.25">
      <c r="B546" s="375"/>
      <c r="C546" s="351"/>
      <c r="D546" s="361"/>
      <c r="E546" s="77" t="s">
        <v>552</v>
      </c>
      <c r="F546" s="576"/>
      <c r="G546" s="82" t="e">
        <f>'SQ_Auditoreingaben '!#REF!</f>
        <v>#REF!</v>
      </c>
      <c r="H546" s="576"/>
      <c r="I546" s="104">
        <f>'1. Prüfung'!I546</f>
        <v>0</v>
      </c>
      <c r="J546" s="576"/>
      <c r="K546" s="69"/>
      <c r="L546" s="18">
        <v>5</v>
      </c>
      <c r="M546" s="364"/>
      <c r="N546" s="80"/>
      <c r="O546" s="106"/>
      <c r="P546" s="570"/>
      <c r="Q546" s="570"/>
      <c r="R546" s="571"/>
      <c r="T546" s="18">
        <f t="shared" si="8"/>
        <v>0</v>
      </c>
      <c r="U546" s="338"/>
      <c r="V546" s="344"/>
      <c r="W546" s="474"/>
      <c r="X546" s="344"/>
      <c r="Y546" s="475"/>
    </row>
    <row r="547" spans="2:25" x14ac:dyDescent="0.25">
      <c r="B547" s="375"/>
      <c r="C547" s="351" t="s">
        <v>64</v>
      </c>
      <c r="D547" s="354" t="s">
        <v>553</v>
      </c>
      <c r="E547" s="354"/>
      <c r="F547" s="576"/>
      <c r="G547" s="113"/>
      <c r="H547" s="576"/>
      <c r="I547" s="113"/>
      <c r="J547" s="576"/>
      <c r="K547" s="113"/>
      <c r="L547" s="21">
        <v>10</v>
      </c>
      <c r="M547" s="364"/>
      <c r="N547" s="80"/>
      <c r="O547" s="106"/>
      <c r="P547" s="570"/>
      <c r="Q547" s="570"/>
      <c r="R547" s="571"/>
      <c r="T547" s="18">
        <f t="shared" si="8"/>
        <v>0</v>
      </c>
      <c r="U547" s="338"/>
      <c r="V547" s="344"/>
      <c r="W547" s="474"/>
      <c r="X547" s="344"/>
      <c r="Y547" s="475"/>
    </row>
    <row r="548" spans="2:25" ht="52.8" x14ac:dyDescent="0.25">
      <c r="B548" s="375"/>
      <c r="C548" s="351"/>
      <c r="D548" s="71" t="s">
        <v>66</v>
      </c>
      <c r="E548" s="77" t="s">
        <v>559</v>
      </c>
      <c r="F548" s="576"/>
      <c r="G548" s="82">
        <f>'SQ_Auditoreingaben '!G532</f>
        <v>10</v>
      </c>
      <c r="H548" s="576"/>
      <c r="I548" s="104">
        <f>'1. Prüfung'!I548</f>
        <v>0</v>
      </c>
      <c r="J548" s="576"/>
      <c r="K548" s="69"/>
      <c r="L548" s="18">
        <v>10</v>
      </c>
      <c r="M548" s="364"/>
      <c r="N548" s="80"/>
      <c r="O548" s="106"/>
      <c r="P548" s="570"/>
      <c r="Q548" s="570"/>
      <c r="R548" s="571"/>
      <c r="T548" s="18">
        <f t="shared" si="8"/>
        <v>0</v>
      </c>
      <c r="U548" s="338"/>
      <c r="V548" s="344"/>
      <c r="W548" s="474"/>
      <c r="X548" s="344"/>
      <c r="Y548" s="475"/>
    </row>
    <row r="549" spans="2:25" x14ac:dyDescent="0.25">
      <c r="B549" s="375"/>
      <c r="C549" s="351" t="s">
        <v>67</v>
      </c>
      <c r="D549" s="354" t="s">
        <v>554</v>
      </c>
      <c r="E549" s="354"/>
      <c r="F549" s="576"/>
      <c r="G549" s="113"/>
      <c r="H549" s="576"/>
      <c r="I549" s="113"/>
      <c r="J549" s="576"/>
      <c r="K549" s="113"/>
      <c r="L549" s="21">
        <v>20</v>
      </c>
      <c r="M549" s="364"/>
      <c r="N549" s="80"/>
      <c r="O549" s="106"/>
      <c r="P549" s="570"/>
      <c r="Q549" s="570"/>
      <c r="R549" s="571"/>
      <c r="T549" s="18">
        <f t="shared" si="8"/>
        <v>0</v>
      </c>
      <c r="U549" s="338"/>
      <c r="V549" s="344"/>
      <c r="W549" s="474"/>
      <c r="X549" s="344"/>
      <c r="Y549" s="475"/>
    </row>
    <row r="550" spans="2:25" ht="171.6" x14ac:dyDescent="0.25">
      <c r="B550" s="375"/>
      <c r="C550" s="351"/>
      <c r="D550" s="71" t="s">
        <v>69</v>
      </c>
      <c r="E550" s="114" t="s">
        <v>696</v>
      </c>
      <c r="F550" s="576"/>
      <c r="G550" s="82">
        <f>'SQ_Auditoreingaben '!G534</f>
        <v>10</v>
      </c>
      <c r="H550" s="576"/>
      <c r="I550" s="104">
        <f>'1. Prüfung'!I550</f>
        <v>0</v>
      </c>
      <c r="J550" s="576"/>
      <c r="K550" s="69"/>
      <c r="L550" s="18">
        <v>10</v>
      </c>
      <c r="M550" s="364"/>
      <c r="N550" s="80"/>
      <c r="O550" s="106"/>
      <c r="P550" s="570"/>
      <c r="Q550" s="570"/>
      <c r="R550" s="571"/>
      <c r="T550" s="18">
        <f t="shared" si="8"/>
        <v>0</v>
      </c>
      <c r="U550" s="338"/>
      <c r="V550" s="344"/>
      <c r="W550" s="474"/>
      <c r="X550" s="344"/>
      <c r="Y550" s="475"/>
    </row>
    <row r="551" spans="2:25" ht="105.6" x14ac:dyDescent="0.25">
      <c r="B551" s="375"/>
      <c r="C551" s="351"/>
      <c r="D551" s="71" t="s">
        <v>78</v>
      </c>
      <c r="E551" s="77" t="s">
        <v>697</v>
      </c>
      <c r="F551" s="576"/>
      <c r="G551" s="82">
        <f>'SQ_Auditoreingaben '!G535</f>
        <v>10</v>
      </c>
      <c r="H551" s="576"/>
      <c r="I551" s="104">
        <f>'1. Prüfung'!I551</f>
        <v>0</v>
      </c>
      <c r="J551" s="576"/>
      <c r="K551" s="69"/>
      <c r="L551" s="18">
        <v>10</v>
      </c>
      <c r="M551" s="364"/>
      <c r="N551" s="80"/>
      <c r="O551" s="106"/>
      <c r="P551" s="570"/>
      <c r="Q551" s="570"/>
      <c r="R551" s="571"/>
      <c r="T551" s="18">
        <f t="shared" si="8"/>
        <v>0</v>
      </c>
      <c r="U551" s="338"/>
      <c r="V551" s="344"/>
      <c r="W551" s="474"/>
      <c r="X551" s="344"/>
      <c r="Y551" s="475"/>
    </row>
    <row r="552" spans="2:25" x14ac:dyDescent="0.25">
      <c r="B552" s="375"/>
      <c r="C552" s="351" t="s">
        <v>154</v>
      </c>
      <c r="D552" s="354" t="s">
        <v>555</v>
      </c>
      <c r="E552" s="354"/>
      <c r="F552" s="576"/>
      <c r="G552" s="113"/>
      <c r="H552" s="576"/>
      <c r="I552" s="113"/>
      <c r="J552" s="576"/>
      <c r="K552" s="113"/>
      <c r="L552" s="21">
        <v>10</v>
      </c>
      <c r="M552" s="364"/>
      <c r="N552" s="80"/>
      <c r="O552" s="106"/>
      <c r="P552" s="570"/>
      <c r="Q552" s="570"/>
      <c r="R552" s="571"/>
      <c r="T552" s="18">
        <f t="shared" si="8"/>
        <v>0</v>
      </c>
      <c r="U552" s="338"/>
      <c r="V552" s="344"/>
      <c r="W552" s="474"/>
      <c r="X552" s="344"/>
      <c r="Y552" s="475"/>
    </row>
    <row r="553" spans="2:25" ht="53.4" thickBot="1" x14ac:dyDescent="0.3">
      <c r="B553" s="377"/>
      <c r="C553" s="389"/>
      <c r="D553" s="121" t="s">
        <v>156</v>
      </c>
      <c r="E553" s="97" t="s">
        <v>560</v>
      </c>
      <c r="F553" s="586"/>
      <c r="G553" s="98">
        <f>'SQ_Auditoreingaben '!G537</f>
        <v>10</v>
      </c>
      <c r="H553" s="586"/>
      <c r="I553" s="107">
        <f>'1. Prüfung'!I553</f>
        <v>0</v>
      </c>
      <c r="J553" s="586"/>
      <c r="K553" s="70"/>
      <c r="L553" s="59">
        <v>10</v>
      </c>
      <c r="M553" s="587"/>
      <c r="N553" s="99"/>
      <c r="O553" s="108"/>
      <c r="P553" s="588"/>
      <c r="Q553" s="588"/>
      <c r="R553" s="589"/>
      <c r="T553" s="18">
        <f t="shared" si="8"/>
        <v>0</v>
      </c>
      <c r="U553" s="339"/>
      <c r="V553" s="365"/>
      <c r="W553" s="474"/>
      <c r="X553" s="365"/>
      <c r="Y553" s="476"/>
    </row>
  </sheetData>
  <mergeCells count="1255">
    <mergeCell ref="H537:H553"/>
    <mergeCell ref="I542:I543"/>
    <mergeCell ref="E6:I6"/>
    <mergeCell ref="I438:I440"/>
    <mergeCell ref="H439:H457"/>
    <mergeCell ref="I458:I459"/>
    <mergeCell ref="H459:H484"/>
    <mergeCell ref="I485:I486"/>
    <mergeCell ref="I488:I489"/>
    <mergeCell ref="H486:H508"/>
    <mergeCell ref="I493:I494"/>
    <mergeCell ref="I502:I503"/>
    <mergeCell ref="I391:I392"/>
    <mergeCell ref="H392:H420"/>
    <mergeCell ref="I397:I398"/>
    <mergeCell ref="I421:I422"/>
    <mergeCell ref="H422:H437"/>
    <mergeCell ref="I434:I435"/>
    <mergeCell ref="I334:I335"/>
    <mergeCell ref="H335:H348"/>
    <mergeCell ref="I349:I350"/>
    <mergeCell ref="H350:H369"/>
    <mergeCell ref="I370:I371"/>
    <mergeCell ref="H371:H390"/>
    <mergeCell ref="I374:I375"/>
    <mergeCell ref="I278:I280"/>
    <mergeCell ref="H279:H298"/>
    <mergeCell ref="I299:I300"/>
    <mergeCell ref="H300:H315"/>
    <mergeCell ref="H317:H333"/>
    <mergeCell ref="I316:I317"/>
    <mergeCell ref="I226:I227"/>
    <mergeCell ref="I252:I253"/>
    <mergeCell ref="I262:I263"/>
    <mergeCell ref="I269:I270"/>
    <mergeCell ref="I274:I275"/>
    <mergeCell ref="I166:I167"/>
    <mergeCell ref="H167:H176"/>
    <mergeCell ref="I177:I179"/>
    <mergeCell ref="H178:H205"/>
    <mergeCell ref="I206:I208"/>
    <mergeCell ref="H207:H225"/>
    <mergeCell ref="I220:I221"/>
    <mergeCell ref="I110:I112"/>
    <mergeCell ref="H111:H139"/>
    <mergeCell ref="I134:I135"/>
    <mergeCell ref="I140:I141"/>
    <mergeCell ref="I145:I146"/>
    <mergeCell ref="H141:H144"/>
    <mergeCell ref="H146:H165"/>
    <mergeCell ref="I97:I99"/>
    <mergeCell ref="H98:H109"/>
    <mergeCell ref="I102:I103"/>
    <mergeCell ref="I39:I40"/>
    <mergeCell ref="H40:H49"/>
    <mergeCell ref="I46:I47"/>
    <mergeCell ref="I50:I51"/>
    <mergeCell ref="H51:H70"/>
    <mergeCell ref="I63:I64"/>
    <mergeCell ref="I67:I68"/>
    <mergeCell ref="P508:R508"/>
    <mergeCell ref="H8:I8"/>
    <mergeCell ref="I10:I12"/>
    <mergeCell ref="H11:H24"/>
    <mergeCell ref="I20:I21"/>
    <mergeCell ref="I25:I26"/>
    <mergeCell ref="H26:H38"/>
    <mergeCell ref="P466:R466"/>
    <mergeCell ref="P467:R467"/>
    <mergeCell ref="P468:R468"/>
    <mergeCell ref="P469:R469"/>
    <mergeCell ref="P439:R439"/>
    <mergeCell ref="P440:R440"/>
    <mergeCell ref="P441:R441"/>
    <mergeCell ref="P442:R442"/>
    <mergeCell ref="P443:R443"/>
    <mergeCell ref="P444:R444"/>
    <mergeCell ref="P433:R433"/>
    <mergeCell ref="P434:R434"/>
    <mergeCell ref="H227:H277"/>
    <mergeCell ref="I229:I230"/>
    <mergeCell ref="I239:I240"/>
    <mergeCell ref="P548:R548"/>
    <mergeCell ref="P549:R549"/>
    <mergeCell ref="P550:R550"/>
    <mergeCell ref="P551:R551"/>
    <mergeCell ref="P552:R552"/>
    <mergeCell ref="P553:R553"/>
    <mergeCell ref="P542:R542"/>
    <mergeCell ref="P543:R543"/>
    <mergeCell ref="P544:R544"/>
    <mergeCell ref="P545:R545"/>
    <mergeCell ref="P546:R546"/>
    <mergeCell ref="P547:R547"/>
    <mergeCell ref="P536:R536"/>
    <mergeCell ref="P537:R537"/>
    <mergeCell ref="P538:R538"/>
    <mergeCell ref="P539:R539"/>
    <mergeCell ref="P540:R540"/>
    <mergeCell ref="P541:R541"/>
    <mergeCell ref="P530:R530"/>
    <mergeCell ref="P531:R531"/>
    <mergeCell ref="P532:R532"/>
    <mergeCell ref="P533:R533"/>
    <mergeCell ref="P534:R534"/>
    <mergeCell ref="P535:R535"/>
    <mergeCell ref="P524:R524"/>
    <mergeCell ref="P492:R492"/>
    <mergeCell ref="P493:R493"/>
    <mergeCell ref="P494:R494"/>
    <mergeCell ref="P495:R495"/>
    <mergeCell ref="P496:R496"/>
    <mergeCell ref="P485:R485"/>
    <mergeCell ref="P486:R486"/>
    <mergeCell ref="P487:R487"/>
    <mergeCell ref="P488:R488"/>
    <mergeCell ref="P489:R489"/>
    <mergeCell ref="P490:R490"/>
    <mergeCell ref="P526:R526"/>
    <mergeCell ref="P527:R527"/>
    <mergeCell ref="P528:R528"/>
    <mergeCell ref="P529:R529"/>
    <mergeCell ref="P518:R518"/>
    <mergeCell ref="P519:R519"/>
    <mergeCell ref="P520:R520"/>
    <mergeCell ref="P521:R521"/>
    <mergeCell ref="P522:R522"/>
    <mergeCell ref="P523:R523"/>
    <mergeCell ref="P511:R511"/>
    <mergeCell ref="P512:R512"/>
    <mergeCell ref="P513:R513"/>
    <mergeCell ref="P514:R514"/>
    <mergeCell ref="P515:R515"/>
    <mergeCell ref="P516:R516"/>
    <mergeCell ref="P503:R503"/>
    <mergeCell ref="P504:R504"/>
    <mergeCell ref="P505:R505"/>
    <mergeCell ref="P506:R506"/>
    <mergeCell ref="P507:R507"/>
    <mergeCell ref="P452:R452"/>
    <mergeCell ref="P453:R453"/>
    <mergeCell ref="P454:R454"/>
    <mergeCell ref="P455:R455"/>
    <mergeCell ref="P456:R456"/>
    <mergeCell ref="P457:R457"/>
    <mergeCell ref="P446:R446"/>
    <mergeCell ref="P447:R447"/>
    <mergeCell ref="P448:R448"/>
    <mergeCell ref="P449:R449"/>
    <mergeCell ref="P450:R450"/>
    <mergeCell ref="P451:R451"/>
    <mergeCell ref="P477:R477"/>
    <mergeCell ref="P478:R478"/>
    <mergeCell ref="P479:R479"/>
    <mergeCell ref="P480:R480"/>
    <mergeCell ref="P481:R481"/>
    <mergeCell ref="P470:R470"/>
    <mergeCell ref="P471:R471"/>
    <mergeCell ref="P472:R472"/>
    <mergeCell ref="P473:R473"/>
    <mergeCell ref="P474:R474"/>
    <mergeCell ref="P475:R475"/>
    <mergeCell ref="P464:R464"/>
    <mergeCell ref="P465:R465"/>
    <mergeCell ref="P438:R438"/>
    <mergeCell ref="P425:R425"/>
    <mergeCell ref="P426:R426"/>
    <mergeCell ref="P427:R427"/>
    <mergeCell ref="P428:R428"/>
    <mergeCell ref="P429:R429"/>
    <mergeCell ref="P430:R430"/>
    <mergeCell ref="P421:R421"/>
    <mergeCell ref="P422:R422"/>
    <mergeCell ref="P423:R423"/>
    <mergeCell ref="P424:R424"/>
    <mergeCell ref="P412:R412"/>
    <mergeCell ref="P413:R413"/>
    <mergeCell ref="P414:R414"/>
    <mergeCell ref="P415:R415"/>
    <mergeCell ref="P416:R416"/>
    <mergeCell ref="P417:R417"/>
    <mergeCell ref="P401:R401"/>
    <mergeCell ref="P402:R402"/>
    <mergeCell ref="P403:R403"/>
    <mergeCell ref="P404:R404"/>
    <mergeCell ref="P405:R405"/>
    <mergeCell ref="P406:R406"/>
    <mergeCell ref="P407:R407"/>
    <mergeCell ref="P408:R408"/>
    <mergeCell ref="P398:R398"/>
    <mergeCell ref="P399:R399"/>
    <mergeCell ref="P400:R400"/>
    <mergeCell ref="P389:R389"/>
    <mergeCell ref="P390:R390"/>
    <mergeCell ref="P391:R391"/>
    <mergeCell ref="P392:R392"/>
    <mergeCell ref="P393:R393"/>
    <mergeCell ref="P394:R394"/>
    <mergeCell ref="P380:R380"/>
    <mergeCell ref="P381:R381"/>
    <mergeCell ref="P382:R382"/>
    <mergeCell ref="P383:R383"/>
    <mergeCell ref="P384:R384"/>
    <mergeCell ref="P385:R385"/>
    <mergeCell ref="P419:R419"/>
    <mergeCell ref="P420:R420"/>
    <mergeCell ref="P344:R344"/>
    <mergeCell ref="P345:R345"/>
    <mergeCell ref="P346:R346"/>
    <mergeCell ref="P347:R347"/>
    <mergeCell ref="P348:R348"/>
    <mergeCell ref="P349:R349"/>
    <mergeCell ref="P338:R338"/>
    <mergeCell ref="P339:R339"/>
    <mergeCell ref="P340:R340"/>
    <mergeCell ref="P341:R341"/>
    <mergeCell ref="P342:R342"/>
    <mergeCell ref="P343:R343"/>
    <mergeCell ref="P370:R370"/>
    <mergeCell ref="P371:R371"/>
    <mergeCell ref="P372:R372"/>
    <mergeCell ref="P373:R373"/>
    <mergeCell ref="P374:R374"/>
    <mergeCell ref="P364:R364"/>
    <mergeCell ref="P365:R365"/>
    <mergeCell ref="P366:R366"/>
    <mergeCell ref="P367:R367"/>
    <mergeCell ref="P368:R368"/>
    <mergeCell ref="P369:R369"/>
    <mergeCell ref="P357:R357"/>
    <mergeCell ref="P358:R358"/>
    <mergeCell ref="P359:R359"/>
    <mergeCell ref="P360:R360"/>
    <mergeCell ref="P361:R361"/>
    <mergeCell ref="P362:R362"/>
    <mergeCell ref="P363:R363"/>
    <mergeCell ref="P295:R295"/>
    <mergeCell ref="P296:R296"/>
    <mergeCell ref="P297:R297"/>
    <mergeCell ref="P298:R298"/>
    <mergeCell ref="P299:R299"/>
    <mergeCell ref="P300:R300"/>
    <mergeCell ref="P332:R332"/>
    <mergeCell ref="P333:R333"/>
    <mergeCell ref="P334:R334"/>
    <mergeCell ref="P335:R335"/>
    <mergeCell ref="P336:R336"/>
    <mergeCell ref="P337:R337"/>
    <mergeCell ref="P323:R323"/>
    <mergeCell ref="P324:R324"/>
    <mergeCell ref="P325:R325"/>
    <mergeCell ref="P326:R326"/>
    <mergeCell ref="P327:R327"/>
    <mergeCell ref="P328:R328"/>
    <mergeCell ref="P317:R317"/>
    <mergeCell ref="P318:R318"/>
    <mergeCell ref="P319:R319"/>
    <mergeCell ref="P320:R320"/>
    <mergeCell ref="P321:R321"/>
    <mergeCell ref="P322:R322"/>
    <mergeCell ref="P254:R254"/>
    <mergeCell ref="P255:R255"/>
    <mergeCell ref="P256:R256"/>
    <mergeCell ref="P257:R257"/>
    <mergeCell ref="P258:R258"/>
    <mergeCell ref="P288:R288"/>
    <mergeCell ref="P289:R289"/>
    <mergeCell ref="P290:R290"/>
    <mergeCell ref="P291:R291"/>
    <mergeCell ref="P292:R292"/>
    <mergeCell ref="P293:R293"/>
    <mergeCell ref="P280:R280"/>
    <mergeCell ref="P281:R281"/>
    <mergeCell ref="P282:R282"/>
    <mergeCell ref="P283:R283"/>
    <mergeCell ref="P284:R284"/>
    <mergeCell ref="P285:R285"/>
    <mergeCell ref="P272:R272"/>
    <mergeCell ref="P273:R273"/>
    <mergeCell ref="P274:R274"/>
    <mergeCell ref="P275:R275"/>
    <mergeCell ref="P276:R276"/>
    <mergeCell ref="P277:R277"/>
    <mergeCell ref="P247:R247"/>
    <mergeCell ref="P248:R248"/>
    <mergeCell ref="P249:R249"/>
    <mergeCell ref="P250:R250"/>
    <mergeCell ref="P251:R251"/>
    <mergeCell ref="P252:R252"/>
    <mergeCell ref="P241:R241"/>
    <mergeCell ref="P242:R242"/>
    <mergeCell ref="P243:R243"/>
    <mergeCell ref="P244:R244"/>
    <mergeCell ref="P245:R245"/>
    <mergeCell ref="P246:R246"/>
    <mergeCell ref="P235:R235"/>
    <mergeCell ref="P236:R236"/>
    <mergeCell ref="P237:R237"/>
    <mergeCell ref="P238:R238"/>
    <mergeCell ref="P239:R239"/>
    <mergeCell ref="P240:R240"/>
    <mergeCell ref="P229:R229"/>
    <mergeCell ref="P230:R230"/>
    <mergeCell ref="P231:R231"/>
    <mergeCell ref="P232:R232"/>
    <mergeCell ref="P233:R233"/>
    <mergeCell ref="P234:R234"/>
    <mergeCell ref="P223:R223"/>
    <mergeCell ref="P224:R224"/>
    <mergeCell ref="P225:R225"/>
    <mergeCell ref="P226:R226"/>
    <mergeCell ref="P227:R227"/>
    <mergeCell ref="P228:R228"/>
    <mergeCell ref="P216:R216"/>
    <mergeCell ref="P217:R217"/>
    <mergeCell ref="P218:R218"/>
    <mergeCell ref="P219:R219"/>
    <mergeCell ref="P220:R220"/>
    <mergeCell ref="P221:R221"/>
    <mergeCell ref="P222:R222"/>
    <mergeCell ref="P177:R177"/>
    <mergeCell ref="P178:R178"/>
    <mergeCell ref="P179:R179"/>
    <mergeCell ref="P180:R180"/>
    <mergeCell ref="P181:R181"/>
    <mergeCell ref="P182:R182"/>
    <mergeCell ref="P170:R170"/>
    <mergeCell ref="P171:R171"/>
    <mergeCell ref="P172:R172"/>
    <mergeCell ref="P173:R173"/>
    <mergeCell ref="P174:R174"/>
    <mergeCell ref="P175:R175"/>
    <mergeCell ref="P193:R193"/>
    <mergeCell ref="P194:R194"/>
    <mergeCell ref="P195:R195"/>
    <mergeCell ref="P196:R196"/>
    <mergeCell ref="P197:R197"/>
    <mergeCell ref="P128:R128"/>
    <mergeCell ref="P129:R129"/>
    <mergeCell ref="P130:R130"/>
    <mergeCell ref="P131:R131"/>
    <mergeCell ref="P163:R163"/>
    <mergeCell ref="P164:R164"/>
    <mergeCell ref="P165:R165"/>
    <mergeCell ref="P166:R166"/>
    <mergeCell ref="P167:R167"/>
    <mergeCell ref="P168:R168"/>
    <mergeCell ref="P155:R155"/>
    <mergeCell ref="P156:R156"/>
    <mergeCell ref="P157:R157"/>
    <mergeCell ref="P158:R158"/>
    <mergeCell ref="P159:R159"/>
    <mergeCell ref="P160:R160"/>
    <mergeCell ref="P148:R148"/>
    <mergeCell ref="P149:R149"/>
    <mergeCell ref="P150:R150"/>
    <mergeCell ref="P151:R151"/>
    <mergeCell ref="P152:R152"/>
    <mergeCell ref="P153:R153"/>
    <mergeCell ref="P119:R119"/>
    <mergeCell ref="P120:R120"/>
    <mergeCell ref="P121:R121"/>
    <mergeCell ref="P122:R122"/>
    <mergeCell ref="P123:R123"/>
    <mergeCell ref="P124:R124"/>
    <mergeCell ref="P110:R110"/>
    <mergeCell ref="P111:R111"/>
    <mergeCell ref="P112:R112"/>
    <mergeCell ref="P113:R113"/>
    <mergeCell ref="P114:R114"/>
    <mergeCell ref="P115:R115"/>
    <mergeCell ref="P99:R99"/>
    <mergeCell ref="P100:R100"/>
    <mergeCell ref="P101:R101"/>
    <mergeCell ref="P102:R102"/>
    <mergeCell ref="P103:R103"/>
    <mergeCell ref="P104:R104"/>
    <mergeCell ref="P46:R46"/>
    <mergeCell ref="P47:R47"/>
    <mergeCell ref="P48:R48"/>
    <mergeCell ref="P49:R49"/>
    <mergeCell ref="P38:R38"/>
    <mergeCell ref="P39:R39"/>
    <mergeCell ref="P40:R40"/>
    <mergeCell ref="P41:R41"/>
    <mergeCell ref="P42:R42"/>
    <mergeCell ref="P43:R43"/>
    <mergeCell ref="P71:R71"/>
    <mergeCell ref="P72:R72"/>
    <mergeCell ref="P73:R73"/>
    <mergeCell ref="P74:R74"/>
    <mergeCell ref="P75:R75"/>
    <mergeCell ref="P76:R76"/>
    <mergeCell ref="P64:R64"/>
    <mergeCell ref="P65:R65"/>
    <mergeCell ref="P66:R66"/>
    <mergeCell ref="P67:R67"/>
    <mergeCell ref="P68:R68"/>
    <mergeCell ref="P69:R69"/>
    <mergeCell ref="P56:R56"/>
    <mergeCell ref="P57:R57"/>
    <mergeCell ref="P58:R58"/>
    <mergeCell ref="P59:R59"/>
    <mergeCell ref="P60:R60"/>
    <mergeCell ref="P61:R61"/>
    <mergeCell ref="P31:R31"/>
    <mergeCell ref="P32:R32"/>
    <mergeCell ref="P33:R33"/>
    <mergeCell ref="P34:R34"/>
    <mergeCell ref="P35:R35"/>
    <mergeCell ref="P36:R36"/>
    <mergeCell ref="P23:R23"/>
    <mergeCell ref="P24:R24"/>
    <mergeCell ref="P25:R25"/>
    <mergeCell ref="P26:R26"/>
    <mergeCell ref="P27:R27"/>
    <mergeCell ref="P28:R28"/>
    <mergeCell ref="P15:R15"/>
    <mergeCell ref="P16:R16"/>
    <mergeCell ref="P17:R17"/>
    <mergeCell ref="P18:R18"/>
    <mergeCell ref="P19:R19"/>
    <mergeCell ref="P20:R20"/>
    <mergeCell ref="P21:R21"/>
    <mergeCell ref="P22:R22"/>
    <mergeCell ref="E2:I2"/>
    <mergeCell ref="E3:I3"/>
    <mergeCell ref="E4:I4"/>
    <mergeCell ref="P8:R9"/>
    <mergeCell ref="O8:O9"/>
    <mergeCell ref="P10:R10"/>
    <mergeCell ref="P11:R11"/>
    <mergeCell ref="P12:R12"/>
    <mergeCell ref="C547:C548"/>
    <mergeCell ref="D547:E547"/>
    <mergeCell ref="C549:C551"/>
    <mergeCell ref="D549:E549"/>
    <mergeCell ref="C542:C546"/>
    <mergeCell ref="D542:E542"/>
    <mergeCell ref="G542:G543"/>
    <mergeCell ref="K542:K543"/>
    <mergeCell ref="D543:D546"/>
    <mergeCell ref="C525:C527"/>
    <mergeCell ref="D525:E525"/>
    <mergeCell ref="C528:C529"/>
    <mergeCell ref="D528:E528"/>
    <mergeCell ref="C519:C521"/>
    <mergeCell ref="D519:E519"/>
    <mergeCell ref="H510:H521"/>
    <mergeCell ref="C516:C518"/>
    <mergeCell ref="D516:E516"/>
    <mergeCell ref="P517:R517"/>
    <mergeCell ref="C500:C501"/>
    <mergeCell ref="D500:E500"/>
    <mergeCell ref="C493:C499"/>
    <mergeCell ref="D493:E493"/>
    <mergeCell ref="G493:G494"/>
    <mergeCell ref="B537:B553"/>
    <mergeCell ref="C537:C541"/>
    <mergeCell ref="D537:E537"/>
    <mergeCell ref="F537:F553"/>
    <mergeCell ref="J537:J553"/>
    <mergeCell ref="M537:M553"/>
    <mergeCell ref="C552:C553"/>
    <mergeCell ref="D552:E552"/>
    <mergeCell ref="C536:E536"/>
    <mergeCell ref="G536:G537"/>
    <mergeCell ref="K536:K537"/>
    <mergeCell ref="U536:U553"/>
    <mergeCell ref="V536:V553"/>
    <mergeCell ref="C530:C532"/>
    <mergeCell ref="D530:E530"/>
    <mergeCell ref="C533:C535"/>
    <mergeCell ref="D533:E533"/>
    <mergeCell ref="U522:U535"/>
    <mergeCell ref="V522:V535"/>
    <mergeCell ref="B523:B535"/>
    <mergeCell ref="C523:C524"/>
    <mergeCell ref="D523:E523"/>
    <mergeCell ref="F523:F535"/>
    <mergeCell ref="J523:J535"/>
    <mergeCell ref="M523:M535"/>
    <mergeCell ref="C522:E522"/>
    <mergeCell ref="G522:G523"/>
    <mergeCell ref="K522:K523"/>
    <mergeCell ref="P525:R525"/>
    <mergeCell ref="I522:I523"/>
    <mergeCell ref="H523:H535"/>
    <mergeCell ref="I536:I537"/>
    <mergeCell ref="V485:V508"/>
    <mergeCell ref="B486:B508"/>
    <mergeCell ref="C486:C487"/>
    <mergeCell ref="D486:E486"/>
    <mergeCell ref="F486:F508"/>
    <mergeCell ref="J486:J508"/>
    <mergeCell ref="M486:M508"/>
    <mergeCell ref="C483:C484"/>
    <mergeCell ref="D483:E483"/>
    <mergeCell ref="C485:E485"/>
    <mergeCell ref="G485:G486"/>
    <mergeCell ref="K485:K486"/>
    <mergeCell ref="P483:R483"/>
    <mergeCell ref="P484:R484"/>
    <mergeCell ref="U509:U521"/>
    <mergeCell ref="V509:V521"/>
    <mergeCell ref="B510:B521"/>
    <mergeCell ref="C510:C515"/>
    <mergeCell ref="D510:E510"/>
    <mergeCell ref="F510:F521"/>
    <mergeCell ref="J510:J521"/>
    <mergeCell ref="M510:M521"/>
    <mergeCell ref="C509:E509"/>
    <mergeCell ref="G509:G510"/>
    <mergeCell ref="K509:K510"/>
    <mergeCell ref="P509:R509"/>
    <mergeCell ref="P510:R510"/>
    <mergeCell ref="I509:I510"/>
    <mergeCell ref="C502:C508"/>
    <mergeCell ref="D502:E502"/>
    <mergeCell ref="G502:G503"/>
    <mergeCell ref="K502:K503"/>
    <mergeCell ref="F459:F484"/>
    <mergeCell ref="J459:J484"/>
    <mergeCell ref="M459:M484"/>
    <mergeCell ref="C458:E458"/>
    <mergeCell ref="G458:G459"/>
    <mergeCell ref="K458:K459"/>
    <mergeCell ref="U458:U484"/>
    <mergeCell ref="C464:C468"/>
    <mergeCell ref="D464:E464"/>
    <mergeCell ref="K493:K494"/>
    <mergeCell ref="D494:D499"/>
    <mergeCell ref="C488:C492"/>
    <mergeCell ref="D488:E488"/>
    <mergeCell ref="G488:G489"/>
    <mergeCell ref="K488:K489"/>
    <mergeCell ref="D489:D492"/>
    <mergeCell ref="U485:U508"/>
    <mergeCell ref="D503:D508"/>
    <mergeCell ref="P458:R458"/>
    <mergeCell ref="P459:R459"/>
    <mergeCell ref="P460:R460"/>
    <mergeCell ref="P461:R461"/>
    <mergeCell ref="P462:R462"/>
    <mergeCell ref="P463:R463"/>
    <mergeCell ref="P482:R482"/>
    <mergeCell ref="P497:R497"/>
    <mergeCell ref="P498:R498"/>
    <mergeCell ref="P499:R499"/>
    <mergeCell ref="P500:R500"/>
    <mergeCell ref="P501:R501"/>
    <mergeCell ref="P502:R502"/>
    <mergeCell ref="P491:R491"/>
    <mergeCell ref="C450:C457"/>
    <mergeCell ref="D450:E450"/>
    <mergeCell ref="D453:D457"/>
    <mergeCell ref="D443:E443"/>
    <mergeCell ref="D446:D449"/>
    <mergeCell ref="P445:R445"/>
    <mergeCell ref="W438:W553"/>
    <mergeCell ref="X438:X553"/>
    <mergeCell ref="B439:B457"/>
    <mergeCell ref="C439:C442"/>
    <mergeCell ref="D439:E439"/>
    <mergeCell ref="F439:F457"/>
    <mergeCell ref="J439:J457"/>
    <mergeCell ref="M439:M457"/>
    <mergeCell ref="D440:D442"/>
    <mergeCell ref="C438:E438"/>
    <mergeCell ref="G438:G440"/>
    <mergeCell ref="K438:K440"/>
    <mergeCell ref="U438:U457"/>
    <mergeCell ref="V438:V457"/>
    <mergeCell ref="C443:C449"/>
    <mergeCell ref="C479:C482"/>
    <mergeCell ref="D479:E479"/>
    <mergeCell ref="C474:C478"/>
    <mergeCell ref="D474:E474"/>
    <mergeCell ref="P476:R476"/>
    <mergeCell ref="C469:C473"/>
    <mergeCell ref="D469:E469"/>
    <mergeCell ref="V458:V484"/>
    <mergeCell ref="B459:B484"/>
    <mergeCell ref="C459:C463"/>
    <mergeCell ref="D459:E459"/>
    <mergeCell ref="K434:K435"/>
    <mergeCell ref="D435:D437"/>
    <mergeCell ref="C430:C431"/>
    <mergeCell ref="D430:E430"/>
    <mergeCell ref="C432:C433"/>
    <mergeCell ref="D432:E432"/>
    <mergeCell ref="P431:R431"/>
    <mergeCell ref="P432:R432"/>
    <mergeCell ref="C428:C429"/>
    <mergeCell ref="D428:E428"/>
    <mergeCell ref="B422:B437"/>
    <mergeCell ref="C422:C423"/>
    <mergeCell ref="D422:E422"/>
    <mergeCell ref="F422:F437"/>
    <mergeCell ref="J422:J437"/>
    <mergeCell ref="M422:M437"/>
    <mergeCell ref="C424:C425"/>
    <mergeCell ref="D424:E424"/>
    <mergeCell ref="C426:C427"/>
    <mergeCell ref="D426:E426"/>
    <mergeCell ref="P435:R435"/>
    <mergeCell ref="P436:R436"/>
    <mergeCell ref="P437:R437"/>
    <mergeCell ref="B392:B420"/>
    <mergeCell ref="C392:C393"/>
    <mergeCell ref="D392:E392"/>
    <mergeCell ref="F392:F420"/>
    <mergeCell ref="J392:J420"/>
    <mergeCell ref="M392:M420"/>
    <mergeCell ref="C394:C396"/>
    <mergeCell ref="D394:E394"/>
    <mergeCell ref="C407:C408"/>
    <mergeCell ref="D407:E407"/>
    <mergeCell ref="C421:E421"/>
    <mergeCell ref="G421:G422"/>
    <mergeCell ref="K421:K422"/>
    <mergeCell ref="U421:U437"/>
    <mergeCell ref="V421:V437"/>
    <mergeCell ref="C416:C418"/>
    <mergeCell ref="D416:E416"/>
    <mergeCell ref="C419:C420"/>
    <mergeCell ref="D419:E419"/>
    <mergeCell ref="P418:R418"/>
    <mergeCell ref="C411:C412"/>
    <mergeCell ref="D411:E411"/>
    <mergeCell ref="C413:C415"/>
    <mergeCell ref="D413:E413"/>
    <mergeCell ref="P411:R411"/>
    <mergeCell ref="C409:C410"/>
    <mergeCell ref="D409:E409"/>
    <mergeCell ref="P409:R409"/>
    <mergeCell ref="P410:R410"/>
    <mergeCell ref="C434:C437"/>
    <mergeCell ref="D434:E434"/>
    <mergeCell ref="G434:G435"/>
    <mergeCell ref="C391:E391"/>
    <mergeCell ref="G391:G392"/>
    <mergeCell ref="K391:K392"/>
    <mergeCell ref="U391:U420"/>
    <mergeCell ref="V391:V420"/>
    <mergeCell ref="C387:C390"/>
    <mergeCell ref="D387:E387"/>
    <mergeCell ref="P386:R386"/>
    <mergeCell ref="P387:R387"/>
    <mergeCell ref="P388:R388"/>
    <mergeCell ref="C381:C382"/>
    <mergeCell ref="D381:E381"/>
    <mergeCell ref="C383:C386"/>
    <mergeCell ref="D383:E383"/>
    <mergeCell ref="D375:D377"/>
    <mergeCell ref="P376:R376"/>
    <mergeCell ref="P377:R377"/>
    <mergeCell ref="P378:R378"/>
    <mergeCell ref="P379:R379"/>
    <mergeCell ref="C402:C403"/>
    <mergeCell ref="D402:E402"/>
    <mergeCell ref="C404:C406"/>
    <mergeCell ref="D404:E404"/>
    <mergeCell ref="C397:C401"/>
    <mergeCell ref="D397:E397"/>
    <mergeCell ref="G397:G398"/>
    <mergeCell ref="K397:K398"/>
    <mergeCell ref="D398:D400"/>
    <mergeCell ref="P375:R375"/>
    <mergeCell ref="P395:R395"/>
    <mergeCell ref="P396:R396"/>
    <mergeCell ref="P397:R397"/>
    <mergeCell ref="D354:E354"/>
    <mergeCell ref="U349:U369"/>
    <mergeCell ref="V349:V369"/>
    <mergeCell ref="B350:B369"/>
    <mergeCell ref="C350:C351"/>
    <mergeCell ref="D350:E350"/>
    <mergeCell ref="F350:F369"/>
    <mergeCell ref="J350:J369"/>
    <mergeCell ref="M350:M369"/>
    <mergeCell ref="B371:B390"/>
    <mergeCell ref="C371:C373"/>
    <mergeCell ref="D371:E371"/>
    <mergeCell ref="F371:F390"/>
    <mergeCell ref="J371:J390"/>
    <mergeCell ref="M371:M390"/>
    <mergeCell ref="C374:C380"/>
    <mergeCell ref="D374:E374"/>
    <mergeCell ref="G374:G375"/>
    <mergeCell ref="K374:K375"/>
    <mergeCell ref="C370:E370"/>
    <mergeCell ref="G370:G371"/>
    <mergeCell ref="K370:K371"/>
    <mergeCell ref="U370:U390"/>
    <mergeCell ref="V370:V390"/>
    <mergeCell ref="C367:C369"/>
    <mergeCell ref="D367:E367"/>
    <mergeCell ref="P351:R351"/>
    <mergeCell ref="P352:R352"/>
    <mergeCell ref="P353:R353"/>
    <mergeCell ref="P354:R354"/>
    <mergeCell ref="P355:R355"/>
    <mergeCell ref="P356:R356"/>
    <mergeCell ref="C347:C348"/>
    <mergeCell ref="D347:E347"/>
    <mergeCell ref="C349:E349"/>
    <mergeCell ref="G349:G350"/>
    <mergeCell ref="K349:K350"/>
    <mergeCell ref="P350:R350"/>
    <mergeCell ref="C341:C342"/>
    <mergeCell ref="D341:E341"/>
    <mergeCell ref="C343:C346"/>
    <mergeCell ref="D343:E343"/>
    <mergeCell ref="D345:D346"/>
    <mergeCell ref="W334:W437"/>
    <mergeCell ref="X334:X437"/>
    <mergeCell ref="B335:B348"/>
    <mergeCell ref="C335:C340"/>
    <mergeCell ref="D335:E335"/>
    <mergeCell ref="F335:F348"/>
    <mergeCell ref="J335:J348"/>
    <mergeCell ref="M335:M348"/>
    <mergeCell ref="C334:E334"/>
    <mergeCell ref="G334:G335"/>
    <mergeCell ref="K334:K335"/>
    <mergeCell ref="U334:U348"/>
    <mergeCell ref="V334:V348"/>
    <mergeCell ref="C358:C360"/>
    <mergeCell ref="D358:E358"/>
    <mergeCell ref="C361:C366"/>
    <mergeCell ref="D361:E361"/>
    <mergeCell ref="D363:D365"/>
    <mergeCell ref="C352:C353"/>
    <mergeCell ref="D352:E352"/>
    <mergeCell ref="C354:C357"/>
    <mergeCell ref="K299:K300"/>
    <mergeCell ref="U299:U315"/>
    <mergeCell ref="V299:V315"/>
    <mergeCell ref="C332:C333"/>
    <mergeCell ref="D332:E332"/>
    <mergeCell ref="P329:R329"/>
    <mergeCell ref="P330:R330"/>
    <mergeCell ref="P331:R331"/>
    <mergeCell ref="C323:C331"/>
    <mergeCell ref="D323:E323"/>
    <mergeCell ref="B317:B333"/>
    <mergeCell ref="C317:C322"/>
    <mergeCell ref="D317:E317"/>
    <mergeCell ref="F317:F333"/>
    <mergeCell ref="J317:J333"/>
    <mergeCell ref="M317:M333"/>
    <mergeCell ref="C316:E316"/>
    <mergeCell ref="G316:G317"/>
    <mergeCell ref="K316:K317"/>
    <mergeCell ref="U316:U333"/>
    <mergeCell ref="P311:R311"/>
    <mergeCell ref="P312:R312"/>
    <mergeCell ref="P313:R313"/>
    <mergeCell ref="P314:R314"/>
    <mergeCell ref="P315:R315"/>
    <mergeCell ref="P316:R316"/>
    <mergeCell ref="P301:R301"/>
    <mergeCell ref="P302:R302"/>
    <mergeCell ref="P303:R303"/>
    <mergeCell ref="P304:R304"/>
    <mergeCell ref="P305:R305"/>
    <mergeCell ref="P306:R306"/>
    <mergeCell ref="U278:U298"/>
    <mergeCell ref="V278:V298"/>
    <mergeCell ref="B279:B298"/>
    <mergeCell ref="C279:C291"/>
    <mergeCell ref="D279:E279"/>
    <mergeCell ref="F279:F298"/>
    <mergeCell ref="J279:J298"/>
    <mergeCell ref="M279:M298"/>
    <mergeCell ref="D280:D282"/>
    <mergeCell ref="C278:E278"/>
    <mergeCell ref="G278:G280"/>
    <mergeCell ref="K278:K280"/>
    <mergeCell ref="P278:R278"/>
    <mergeCell ref="P279:R279"/>
    <mergeCell ref="V316:V333"/>
    <mergeCell ref="C311:C315"/>
    <mergeCell ref="D311:E311"/>
    <mergeCell ref="D313:D315"/>
    <mergeCell ref="P310:R310"/>
    <mergeCell ref="P307:R307"/>
    <mergeCell ref="P308:R308"/>
    <mergeCell ref="P309:R309"/>
    <mergeCell ref="B300:B315"/>
    <mergeCell ref="C300:C303"/>
    <mergeCell ref="D300:E300"/>
    <mergeCell ref="F300:F315"/>
    <mergeCell ref="J300:J315"/>
    <mergeCell ref="M300:M315"/>
    <mergeCell ref="C304:C310"/>
    <mergeCell ref="D304:E304"/>
    <mergeCell ref="C299:E299"/>
    <mergeCell ref="G299:G300"/>
    <mergeCell ref="C262:C268"/>
    <mergeCell ref="D262:E262"/>
    <mergeCell ref="G262:G263"/>
    <mergeCell ref="K262:K263"/>
    <mergeCell ref="D263:D268"/>
    <mergeCell ref="P259:R259"/>
    <mergeCell ref="C252:C261"/>
    <mergeCell ref="D252:E252"/>
    <mergeCell ref="G252:G253"/>
    <mergeCell ref="K252:K253"/>
    <mergeCell ref="D253:D261"/>
    <mergeCell ref="C292:C298"/>
    <mergeCell ref="D292:E292"/>
    <mergeCell ref="P294:R294"/>
    <mergeCell ref="D286:D288"/>
    <mergeCell ref="D289:D291"/>
    <mergeCell ref="P286:R286"/>
    <mergeCell ref="P287:R287"/>
    <mergeCell ref="D283:D285"/>
    <mergeCell ref="P266:R266"/>
    <mergeCell ref="P267:R267"/>
    <mergeCell ref="P268:R268"/>
    <mergeCell ref="P269:R269"/>
    <mergeCell ref="P270:R270"/>
    <mergeCell ref="P271:R271"/>
    <mergeCell ref="P260:R260"/>
    <mergeCell ref="P261:R261"/>
    <mergeCell ref="P262:R262"/>
    <mergeCell ref="P263:R263"/>
    <mergeCell ref="P264:R264"/>
    <mergeCell ref="P265:R265"/>
    <mergeCell ref="P253:R253"/>
    <mergeCell ref="V206:V225"/>
    <mergeCell ref="D240:D251"/>
    <mergeCell ref="C239:C251"/>
    <mergeCell ref="D239:E239"/>
    <mergeCell ref="G239:G240"/>
    <mergeCell ref="K239:K240"/>
    <mergeCell ref="C229:C238"/>
    <mergeCell ref="D229:E229"/>
    <mergeCell ref="G229:G230"/>
    <mergeCell ref="K229:K230"/>
    <mergeCell ref="D230:D238"/>
    <mergeCell ref="U226:U277"/>
    <mergeCell ref="V226:V277"/>
    <mergeCell ref="B227:B277"/>
    <mergeCell ref="C227:C228"/>
    <mergeCell ref="D227:E227"/>
    <mergeCell ref="F227:F277"/>
    <mergeCell ref="J227:J277"/>
    <mergeCell ref="M227:M277"/>
    <mergeCell ref="C226:E226"/>
    <mergeCell ref="G226:G227"/>
    <mergeCell ref="K226:K227"/>
    <mergeCell ref="C274:C277"/>
    <mergeCell ref="D274:E274"/>
    <mergeCell ref="G274:G275"/>
    <mergeCell ref="K274:K275"/>
    <mergeCell ref="D275:D277"/>
    <mergeCell ref="C269:C273"/>
    <mergeCell ref="D269:E269"/>
    <mergeCell ref="G269:G270"/>
    <mergeCell ref="K269:K270"/>
    <mergeCell ref="D270:D273"/>
    <mergeCell ref="P213:R213"/>
    <mergeCell ref="P207:R207"/>
    <mergeCell ref="P208:R208"/>
    <mergeCell ref="P209:R209"/>
    <mergeCell ref="P210:R210"/>
    <mergeCell ref="P211:R211"/>
    <mergeCell ref="P212:R212"/>
    <mergeCell ref="P200:R200"/>
    <mergeCell ref="P201:R201"/>
    <mergeCell ref="P202:R202"/>
    <mergeCell ref="P203:R203"/>
    <mergeCell ref="P204:R204"/>
    <mergeCell ref="P205:R205"/>
    <mergeCell ref="U206:U225"/>
    <mergeCell ref="D178:E178"/>
    <mergeCell ref="F178:F205"/>
    <mergeCell ref="J178:J205"/>
    <mergeCell ref="M178:M205"/>
    <mergeCell ref="D179:D181"/>
    <mergeCell ref="P187:R187"/>
    <mergeCell ref="P188:R188"/>
    <mergeCell ref="P189:R189"/>
    <mergeCell ref="P190:R190"/>
    <mergeCell ref="P191:R191"/>
    <mergeCell ref="P192:R192"/>
    <mergeCell ref="P198:R198"/>
    <mergeCell ref="P199:R199"/>
    <mergeCell ref="P206:R206"/>
    <mergeCell ref="P214:R214"/>
    <mergeCell ref="P215:R215"/>
    <mergeCell ref="B207:B225"/>
    <mergeCell ref="C207:C213"/>
    <mergeCell ref="D207:E207"/>
    <mergeCell ref="F207:F225"/>
    <mergeCell ref="J207:J225"/>
    <mergeCell ref="M207:M225"/>
    <mergeCell ref="D208:D210"/>
    <mergeCell ref="C204:C205"/>
    <mergeCell ref="D204:E204"/>
    <mergeCell ref="C206:E206"/>
    <mergeCell ref="G206:G208"/>
    <mergeCell ref="K206:K208"/>
    <mergeCell ref="C200:C201"/>
    <mergeCell ref="D200:E200"/>
    <mergeCell ref="C202:C203"/>
    <mergeCell ref="D202:E202"/>
    <mergeCell ref="C218:C219"/>
    <mergeCell ref="D218:E218"/>
    <mergeCell ref="C220:C225"/>
    <mergeCell ref="D220:E220"/>
    <mergeCell ref="G220:G221"/>
    <mergeCell ref="K220:K221"/>
    <mergeCell ref="D221:D225"/>
    <mergeCell ref="C214:C215"/>
    <mergeCell ref="D214:E214"/>
    <mergeCell ref="C216:C217"/>
    <mergeCell ref="D216:E216"/>
    <mergeCell ref="D211:D213"/>
    <mergeCell ref="C175:C176"/>
    <mergeCell ref="D175:E175"/>
    <mergeCell ref="C177:E177"/>
    <mergeCell ref="G177:G179"/>
    <mergeCell ref="K177:K179"/>
    <mergeCell ref="P176:R176"/>
    <mergeCell ref="C173:C174"/>
    <mergeCell ref="D173:E173"/>
    <mergeCell ref="P169:R169"/>
    <mergeCell ref="U166:U176"/>
    <mergeCell ref="V166:V176"/>
    <mergeCell ref="W166:W333"/>
    <mergeCell ref="X166:X333"/>
    <mergeCell ref="B167:B176"/>
    <mergeCell ref="C167:C172"/>
    <mergeCell ref="D167:E167"/>
    <mergeCell ref="F167:F176"/>
    <mergeCell ref="J167:J176"/>
    <mergeCell ref="M167:M176"/>
    <mergeCell ref="C191:C199"/>
    <mergeCell ref="D191:E191"/>
    <mergeCell ref="D185:D187"/>
    <mergeCell ref="D188:D190"/>
    <mergeCell ref="P185:R185"/>
    <mergeCell ref="P186:R186"/>
    <mergeCell ref="D182:D184"/>
    <mergeCell ref="P183:R183"/>
    <mergeCell ref="P184:R184"/>
    <mergeCell ref="U177:U205"/>
    <mergeCell ref="V177:V205"/>
    <mergeCell ref="B178:B205"/>
    <mergeCell ref="C178:C190"/>
    <mergeCell ref="C166:E166"/>
    <mergeCell ref="G166:G167"/>
    <mergeCell ref="K166:K167"/>
    <mergeCell ref="C157:C162"/>
    <mergeCell ref="D157:E157"/>
    <mergeCell ref="P161:R161"/>
    <mergeCell ref="P162:R162"/>
    <mergeCell ref="C152:C156"/>
    <mergeCell ref="D152:E152"/>
    <mergeCell ref="P154:R154"/>
    <mergeCell ref="B146:B165"/>
    <mergeCell ref="C146:C147"/>
    <mergeCell ref="D146:E146"/>
    <mergeCell ref="F146:F165"/>
    <mergeCell ref="J146:J165"/>
    <mergeCell ref="M146:M165"/>
    <mergeCell ref="C148:C149"/>
    <mergeCell ref="D148:E148"/>
    <mergeCell ref="C150:C151"/>
    <mergeCell ref="D150:E150"/>
    <mergeCell ref="P146:R146"/>
    <mergeCell ref="P147:R147"/>
    <mergeCell ref="B111:B139"/>
    <mergeCell ref="C111:C116"/>
    <mergeCell ref="D111:E111"/>
    <mergeCell ref="F111:F139"/>
    <mergeCell ref="J111:J139"/>
    <mergeCell ref="M111:M139"/>
    <mergeCell ref="D112:D115"/>
    <mergeCell ref="C120:C133"/>
    <mergeCell ref="D120:E120"/>
    <mergeCell ref="C134:C139"/>
    <mergeCell ref="C145:E145"/>
    <mergeCell ref="G145:G146"/>
    <mergeCell ref="K145:K146"/>
    <mergeCell ref="U145:U165"/>
    <mergeCell ref="V145:V165"/>
    <mergeCell ref="V140:V144"/>
    <mergeCell ref="B141:B144"/>
    <mergeCell ref="C141:C142"/>
    <mergeCell ref="D141:E141"/>
    <mergeCell ref="F141:F144"/>
    <mergeCell ref="J141:J144"/>
    <mergeCell ref="M141:M144"/>
    <mergeCell ref="C143:C144"/>
    <mergeCell ref="C140:E140"/>
    <mergeCell ref="G140:G141"/>
    <mergeCell ref="K140:K141"/>
    <mergeCell ref="U140:U144"/>
    <mergeCell ref="D143:E143"/>
    <mergeCell ref="P141:R141"/>
    <mergeCell ref="C163:C165"/>
    <mergeCell ref="D163:E163"/>
    <mergeCell ref="P142:R142"/>
    <mergeCell ref="K102:K103"/>
    <mergeCell ref="D103:D105"/>
    <mergeCell ref="P105:R105"/>
    <mergeCell ref="W97:W165"/>
    <mergeCell ref="D134:E134"/>
    <mergeCell ref="G134:G135"/>
    <mergeCell ref="K134:K135"/>
    <mergeCell ref="D135:D138"/>
    <mergeCell ref="P134:R134"/>
    <mergeCell ref="D129:D133"/>
    <mergeCell ref="P132:R132"/>
    <mergeCell ref="P133:R133"/>
    <mergeCell ref="D124:D127"/>
    <mergeCell ref="P125:R125"/>
    <mergeCell ref="C117:C119"/>
    <mergeCell ref="D117:E117"/>
    <mergeCell ref="P116:R116"/>
    <mergeCell ref="P117:R117"/>
    <mergeCell ref="P118:R118"/>
    <mergeCell ref="P97:R97"/>
    <mergeCell ref="P98:R98"/>
    <mergeCell ref="P143:R143"/>
    <mergeCell ref="P144:R144"/>
    <mergeCell ref="P145:R145"/>
    <mergeCell ref="P135:R135"/>
    <mergeCell ref="P136:R136"/>
    <mergeCell ref="P137:R137"/>
    <mergeCell ref="P138:R138"/>
    <mergeCell ref="P139:R139"/>
    <mergeCell ref="P140:R140"/>
    <mergeCell ref="P126:R126"/>
    <mergeCell ref="P127:R127"/>
    <mergeCell ref="X97:X165"/>
    <mergeCell ref="B98:B109"/>
    <mergeCell ref="C98:C101"/>
    <mergeCell ref="D98:E98"/>
    <mergeCell ref="F98:F109"/>
    <mergeCell ref="J98:J109"/>
    <mergeCell ref="M98:M109"/>
    <mergeCell ref="D99:D101"/>
    <mergeCell ref="C97:E97"/>
    <mergeCell ref="G97:G99"/>
    <mergeCell ref="K97:K99"/>
    <mergeCell ref="U97:U109"/>
    <mergeCell ref="V97:V109"/>
    <mergeCell ref="C102:C106"/>
    <mergeCell ref="C92:C93"/>
    <mergeCell ref="D92:E92"/>
    <mergeCell ref="C94:C96"/>
    <mergeCell ref="D94:E94"/>
    <mergeCell ref="P92:R92"/>
    <mergeCell ref="C110:E110"/>
    <mergeCell ref="G110:G112"/>
    <mergeCell ref="K110:K112"/>
    <mergeCell ref="U110:U139"/>
    <mergeCell ref="V110:V139"/>
    <mergeCell ref="C107:C109"/>
    <mergeCell ref="D107:E107"/>
    <mergeCell ref="P106:R106"/>
    <mergeCell ref="P107:R107"/>
    <mergeCell ref="P108:R108"/>
    <mergeCell ref="P109:R109"/>
    <mergeCell ref="D102:E102"/>
    <mergeCell ref="G102:G103"/>
    <mergeCell ref="U80:U96"/>
    <mergeCell ref="V80:V96"/>
    <mergeCell ref="B81:B96"/>
    <mergeCell ref="C81:C82"/>
    <mergeCell ref="D81:E81"/>
    <mergeCell ref="F81:F96"/>
    <mergeCell ref="J81:J96"/>
    <mergeCell ref="M81:M96"/>
    <mergeCell ref="P93:R93"/>
    <mergeCell ref="P94:R94"/>
    <mergeCell ref="P95:R95"/>
    <mergeCell ref="P96:R96"/>
    <mergeCell ref="P85:R85"/>
    <mergeCell ref="P86:R86"/>
    <mergeCell ref="P87:R87"/>
    <mergeCell ref="P88:R88"/>
    <mergeCell ref="P89:R89"/>
    <mergeCell ref="P90:R90"/>
    <mergeCell ref="P80:R80"/>
    <mergeCell ref="P81:R81"/>
    <mergeCell ref="P82:R82"/>
    <mergeCell ref="P83:R83"/>
    <mergeCell ref="C80:E80"/>
    <mergeCell ref="G80:G81"/>
    <mergeCell ref="K80:K81"/>
    <mergeCell ref="P77:R77"/>
    <mergeCell ref="B72:B79"/>
    <mergeCell ref="C72:C73"/>
    <mergeCell ref="D72:E72"/>
    <mergeCell ref="F72:F79"/>
    <mergeCell ref="J72:J79"/>
    <mergeCell ref="M72:M79"/>
    <mergeCell ref="C74:C75"/>
    <mergeCell ref="C76:C77"/>
    <mergeCell ref="I71:I72"/>
    <mergeCell ref="H72:H79"/>
    <mergeCell ref="C71:E71"/>
    <mergeCell ref="G71:G72"/>
    <mergeCell ref="K71:K72"/>
    <mergeCell ref="P78:R78"/>
    <mergeCell ref="P79:R79"/>
    <mergeCell ref="I80:I81"/>
    <mergeCell ref="H81:H96"/>
    <mergeCell ref="I88:I89"/>
    <mergeCell ref="C88:C91"/>
    <mergeCell ref="D88:E88"/>
    <mergeCell ref="G88:G89"/>
    <mergeCell ref="K88:K89"/>
    <mergeCell ref="D89:D91"/>
    <mergeCell ref="P91:R91"/>
    <mergeCell ref="C83:C84"/>
    <mergeCell ref="D83:E83"/>
    <mergeCell ref="C85:C87"/>
    <mergeCell ref="D85:E85"/>
    <mergeCell ref="P84:R84"/>
    <mergeCell ref="C42:C43"/>
    <mergeCell ref="D42:E42"/>
    <mergeCell ref="C44:C45"/>
    <mergeCell ref="D44:E44"/>
    <mergeCell ref="U71:U79"/>
    <mergeCell ref="V71:V79"/>
    <mergeCell ref="C67:C70"/>
    <mergeCell ref="D67:E67"/>
    <mergeCell ref="G67:G68"/>
    <mergeCell ref="K67:K68"/>
    <mergeCell ref="D68:D70"/>
    <mergeCell ref="P70:R70"/>
    <mergeCell ref="C63:C66"/>
    <mergeCell ref="D63:E63"/>
    <mergeCell ref="G63:G64"/>
    <mergeCell ref="K63:K64"/>
    <mergeCell ref="D64:D66"/>
    <mergeCell ref="P63:R63"/>
    <mergeCell ref="D58:D60"/>
    <mergeCell ref="C61:C62"/>
    <mergeCell ref="D61:E61"/>
    <mergeCell ref="P62:R62"/>
    <mergeCell ref="V50:V70"/>
    <mergeCell ref="C78:C79"/>
    <mergeCell ref="P50:R50"/>
    <mergeCell ref="P51:R51"/>
    <mergeCell ref="P52:R52"/>
    <mergeCell ref="P53:R53"/>
    <mergeCell ref="P54:R54"/>
    <mergeCell ref="P55:R55"/>
    <mergeCell ref="P44:R44"/>
    <mergeCell ref="P45:R45"/>
    <mergeCell ref="V25:V38"/>
    <mergeCell ref="B26:B38"/>
    <mergeCell ref="C26:C30"/>
    <mergeCell ref="D26:E26"/>
    <mergeCell ref="F26:F38"/>
    <mergeCell ref="J26:J38"/>
    <mergeCell ref="M26:M38"/>
    <mergeCell ref="C25:E25"/>
    <mergeCell ref="G25:G26"/>
    <mergeCell ref="K25:K26"/>
    <mergeCell ref="B51:B70"/>
    <mergeCell ref="C51:C60"/>
    <mergeCell ref="D51:E51"/>
    <mergeCell ref="F51:F70"/>
    <mergeCell ref="J51:J70"/>
    <mergeCell ref="M51:M70"/>
    <mergeCell ref="D53:D57"/>
    <mergeCell ref="C50:E50"/>
    <mergeCell ref="G50:G51"/>
    <mergeCell ref="K50:K51"/>
    <mergeCell ref="U50:U70"/>
    <mergeCell ref="C46:C49"/>
    <mergeCell ref="D46:E46"/>
    <mergeCell ref="G46:G47"/>
    <mergeCell ref="K46:K47"/>
    <mergeCell ref="D47:D49"/>
    <mergeCell ref="B40:B49"/>
    <mergeCell ref="C40:C41"/>
    <mergeCell ref="D40:E40"/>
    <mergeCell ref="F40:F49"/>
    <mergeCell ref="J40:J49"/>
    <mergeCell ref="M40:M49"/>
    <mergeCell ref="D20:E20"/>
    <mergeCell ref="G20:G21"/>
    <mergeCell ref="K20:K21"/>
    <mergeCell ref="D21:D23"/>
    <mergeCell ref="C16:C17"/>
    <mergeCell ref="D16:E16"/>
    <mergeCell ref="P13:R13"/>
    <mergeCell ref="P14:R14"/>
    <mergeCell ref="X10:X96"/>
    <mergeCell ref="Y10:Y553"/>
    <mergeCell ref="B11:B24"/>
    <mergeCell ref="C11:C15"/>
    <mergeCell ref="D11:E11"/>
    <mergeCell ref="F11:F24"/>
    <mergeCell ref="J11:J24"/>
    <mergeCell ref="M11:M24"/>
    <mergeCell ref="D12:D15"/>
    <mergeCell ref="C39:E39"/>
    <mergeCell ref="G39:G40"/>
    <mergeCell ref="K39:K40"/>
    <mergeCell ref="U39:U49"/>
    <mergeCell ref="V39:V49"/>
    <mergeCell ref="C34:C36"/>
    <mergeCell ref="D34:E34"/>
    <mergeCell ref="C37:C38"/>
    <mergeCell ref="D37:E37"/>
    <mergeCell ref="P37:R37"/>
    <mergeCell ref="C31:C33"/>
    <mergeCell ref="D31:E31"/>
    <mergeCell ref="P29:R29"/>
    <mergeCell ref="P30:R30"/>
    <mergeCell ref="U25:U38"/>
    <mergeCell ref="B2:D2"/>
    <mergeCell ref="N2:P4"/>
    <mergeCell ref="Q2:Q4"/>
    <mergeCell ref="T2:Y4"/>
    <mergeCell ref="B3:D3"/>
    <mergeCell ref="B4:D4"/>
    <mergeCell ref="W8:W9"/>
    <mergeCell ref="X8:X9"/>
    <mergeCell ref="Y8:Y9"/>
    <mergeCell ref="C10:E10"/>
    <mergeCell ref="G10:G12"/>
    <mergeCell ref="K10:K12"/>
    <mergeCell ref="U10:U24"/>
    <mergeCell ref="V10:V24"/>
    <mergeCell ref="W10:W96"/>
    <mergeCell ref="M8:M9"/>
    <mergeCell ref="N8:N9"/>
    <mergeCell ref="T8:T9"/>
    <mergeCell ref="U8:U9"/>
    <mergeCell ref="V8:V9"/>
    <mergeCell ref="B6:D6"/>
    <mergeCell ref="J6:K6"/>
    <mergeCell ref="L6:M6"/>
    <mergeCell ref="N6:Q6"/>
    <mergeCell ref="B8:B9"/>
    <mergeCell ref="C8:D9"/>
    <mergeCell ref="E8:E9"/>
    <mergeCell ref="F8:G8"/>
    <mergeCell ref="J8:L8"/>
    <mergeCell ref="C18:C19"/>
    <mergeCell ref="D18:E18"/>
    <mergeCell ref="C20:C24"/>
  </mergeCells>
  <pageMargins left="0.7" right="0.7" top="0.78740157499999996" bottom="0.78740157499999996"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381E3A0B-4181-42AC-A654-06B3095E4625}">
            <x14:iconSet iconSet="3Symbols" showValue="0" custom="1">
              <x14:cfvo type="percent">
                <xm:f>0</xm:f>
              </x14:cfvo>
              <x14:cfvo type="num">
                <xm:f>2</xm:f>
              </x14:cfvo>
              <x14:cfvo type="num">
                <xm:f>3</xm:f>
              </x14:cfvo>
              <x14:cfIcon iconSet="3Symbols" iconId="2"/>
              <x14:cfIcon iconSet="3Symbols" iconId="1"/>
              <x14:cfIcon iconSet="3Symbols" iconId="0"/>
            </x14:iconSet>
          </x14:cfRule>
          <xm:sqref>N10:O553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3" tint="0.39997558519241921"/>
  </sheetPr>
  <dimension ref="B2:F48"/>
  <sheetViews>
    <sheetView view="pageBreakPreview" zoomScaleNormal="100" zoomScaleSheetLayoutView="100" workbookViewId="0"/>
  </sheetViews>
  <sheetFormatPr defaultColWidth="11.44140625" defaultRowHeight="13.2" x14ac:dyDescent="0.25"/>
  <cols>
    <col min="1" max="1" width="1.6640625" customWidth="1"/>
    <col min="2" max="2" width="9.6640625" customWidth="1"/>
    <col min="3" max="3" width="40.6640625" customWidth="1"/>
    <col min="4" max="6" width="17.6640625" customWidth="1"/>
    <col min="7" max="7" width="1.6640625" customWidth="1"/>
  </cols>
  <sheetData>
    <row r="2" spans="2:6" x14ac:dyDescent="0.25">
      <c r="C2" s="5" t="s">
        <v>1</v>
      </c>
      <c r="D2" s="549">
        <f>Deckblatt!C6</f>
        <v>0</v>
      </c>
      <c r="E2" s="549"/>
      <c r="F2" s="549"/>
    </row>
    <row r="3" spans="2:6" x14ac:dyDescent="0.25">
      <c r="C3" s="5" t="s">
        <v>2</v>
      </c>
      <c r="D3" s="549" t="str">
        <f>Deckblatt!C7</f>
        <v>Superquartier</v>
      </c>
      <c r="E3" s="549"/>
      <c r="F3" s="549"/>
    </row>
    <row r="4" spans="2:6" x14ac:dyDescent="0.25">
      <c r="C4" s="5" t="s">
        <v>4</v>
      </c>
      <c r="D4" s="549">
        <f>Deckblatt!C9</f>
        <v>0</v>
      </c>
      <c r="E4" s="549"/>
      <c r="F4" s="549"/>
    </row>
    <row r="6" spans="2:6" x14ac:dyDescent="0.25">
      <c r="B6" s="593" t="s">
        <v>704</v>
      </c>
      <c r="C6" s="593"/>
      <c r="D6" s="593"/>
      <c r="E6" s="593"/>
      <c r="F6" s="593"/>
    </row>
    <row r="7" spans="2:6" x14ac:dyDescent="0.25">
      <c r="B7" s="4" t="s">
        <v>638</v>
      </c>
    </row>
    <row r="9" spans="2:6" ht="26.4" x14ac:dyDescent="0.25">
      <c r="B9" s="11" t="s">
        <v>30</v>
      </c>
      <c r="C9" s="11" t="s">
        <v>31</v>
      </c>
      <c r="D9" s="13" t="s">
        <v>626</v>
      </c>
      <c r="E9" s="13" t="s">
        <v>627</v>
      </c>
      <c r="F9" s="11" t="s">
        <v>24</v>
      </c>
    </row>
    <row r="10" spans="2:6" x14ac:dyDescent="0.25">
      <c r="B10" s="14" t="str">
        <f>'SQ_Auditoreingaben '!$B$12</f>
        <v>ENV1.1</v>
      </c>
      <c r="C10" s="15" t="str">
        <f>'SQ_Auditoreingaben '!$C$12</f>
        <v>Ökobilanz</v>
      </c>
      <c r="D10" s="10">
        <f>'SQ_Auditoreingaben '!I12</f>
        <v>8</v>
      </c>
      <c r="E10" s="22">
        <f>'2. Prüfung'!J10</f>
        <v>0</v>
      </c>
      <c r="F10" s="12">
        <f>E10/100</f>
        <v>0</v>
      </c>
    </row>
    <row r="11" spans="2:6" x14ac:dyDescent="0.25">
      <c r="B11" s="14" t="str">
        <f>'SQ_Auditoreingaben '!$B$28</f>
        <v>ENV1.5</v>
      </c>
      <c r="C11" s="16" t="str">
        <f>'SQ_Auditoreingaben '!$C$28</f>
        <v>Stadtklima – Mesoklima</v>
      </c>
      <c r="D11" s="10">
        <f>'SQ_Auditoreingaben '!I28</f>
        <v>5</v>
      </c>
      <c r="E11" s="22">
        <f>'2. Prüfung'!J25</f>
        <v>0</v>
      </c>
      <c r="F11" s="12">
        <f t="shared" ref="F11:F37" si="0">E11/100</f>
        <v>0</v>
      </c>
    </row>
    <row r="12" spans="2:6" x14ac:dyDescent="0.25">
      <c r="B12" s="14" t="e">
        <f>'SQ_Auditoreingaben '!#REF!</f>
        <v>#REF!</v>
      </c>
      <c r="C12" s="16" t="e">
        <f>'SQ_Auditoreingaben '!#REF!</f>
        <v>#REF!</v>
      </c>
      <c r="D12" s="10" t="e">
        <f>'SQ_Auditoreingaben '!#REF!</f>
        <v>#REF!</v>
      </c>
      <c r="E12" s="22">
        <f>'2. Prüfung'!J39</f>
        <v>0</v>
      </c>
      <c r="F12" s="12">
        <f t="shared" si="0"/>
        <v>0</v>
      </c>
    </row>
    <row r="13" spans="2:6" x14ac:dyDescent="0.25">
      <c r="B13" s="14" t="str">
        <f>'SQ_Auditoreingaben '!$B$39</f>
        <v>ENV2.2</v>
      </c>
      <c r="C13" s="16" t="str">
        <f>'SQ_Auditoreingaben '!$C$39</f>
        <v>Wasserkreislaufsysteme</v>
      </c>
      <c r="D13" s="10">
        <f>'SQ_Auditoreingaben '!I39</f>
        <v>4</v>
      </c>
      <c r="E13" s="22">
        <f>'2. Prüfung'!J50</f>
        <v>0</v>
      </c>
      <c r="F13" s="12">
        <f t="shared" si="0"/>
        <v>0</v>
      </c>
    </row>
    <row r="14" spans="2:6" x14ac:dyDescent="0.25">
      <c r="B14" s="14" t="str">
        <f>'SQ_Auditoreingaben '!B59</f>
        <v>ENV2.3</v>
      </c>
      <c r="C14" s="16" t="str">
        <f>'SQ_Auditoreingaben '!C59</f>
        <v>Flächeninanspruchnahme</v>
      </c>
      <c r="D14" s="10">
        <f>'SQ_Auditoreingaben '!I59</f>
        <v>4</v>
      </c>
      <c r="E14" s="22">
        <f>'2. Prüfung'!J71</f>
        <v>0</v>
      </c>
      <c r="F14" s="12">
        <f t="shared" si="0"/>
        <v>0</v>
      </c>
    </row>
    <row r="15" spans="2:6" x14ac:dyDescent="0.25">
      <c r="B15" s="14" t="str">
        <f>'SQ_Auditoreingaben '!B70</f>
        <v>ENV2.4</v>
      </c>
      <c r="C15" s="15" t="str">
        <f>'SQ_Auditoreingaben '!C70</f>
        <v>Biodiversität</v>
      </c>
      <c r="D15" s="10">
        <f>'SQ_Auditoreingaben '!I70</f>
        <v>4</v>
      </c>
      <c r="E15" s="22">
        <f>'2. Prüfung'!J80</f>
        <v>0</v>
      </c>
      <c r="F15" s="12">
        <f t="shared" si="0"/>
        <v>0</v>
      </c>
    </row>
    <row r="16" spans="2:6" x14ac:dyDescent="0.25">
      <c r="B16" s="14" t="str">
        <f>'SQ_Auditoreingaben '!B87</f>
        <v>ECO1.1</v>
      </c>
      <c r="C16" s="16" t="str">
        <f>'SQ_Auditoreingaben '!C87</f>
        <v>Lebenszykluskosten</v>
      </c>
      <c r="D16" s="10">
        <f>'SQ_Auditoreingaben '!I87</f>
        <v>4</v>
      </c>
      <c r="E16" s="22">
        <f>'2. Prüfung'!J97</f>
        <v>0</v>
      </c>
      <c r="F16" s="12">
        <f t="shared" si="0"/>
        <v>0</v>
      </c>
    </row>
    <row r="17" spans="2:6" x14ac:dyDescent="0.25">
      <c r="B17" s="14" t="str">
        <f>'SQ_Auditoreingaben '!B100</f>
        <v>ECO2.1</v>
      </c>
      <c r="C17" s="16" t="str">
        <f>'SQ_Auditoreingaben '!C100</f>
        <v>Resilienz und Wandlungsfähigkeit</v>
      </c>
      <c r="D17" s="10">
        <f>'SQ_Auditoreingaben '!I100</f>
        <v>3</v>
      </c>
      <c r="E17" s="22">
        <f>'2. Prüfung'!J110</f>
        <v>0</v>
      </c>
      <c r="F17" s="12">
        <f t="shared" si="0"/>
        <v>0</v>
      </c>
    </row>
    <row r="18" spans="2:6" x14ac:dyDescent="0.25">
      <c r="B18" s="14" t="str">
        <f>'SQ_Auditoreingaben '!B127</f>
        <v>ECO2.3</v>
      </c>
      <c r="C18" s="16" t="str">
        <f>'SQ_Auditoreingaben '!C127</f>
        <v>Flächeneffizienz</v>
      </c>
      <c r="D18" s="10">
        <f>'SQ_Auditoreingaben '!I127</f>
        <v>3</v>
      </c>
      <c r="E18" s="22">
        <f>'2. Prüfung'!J140</f>
        <v>0</v>
      </c>
      <c r="F18" s="12">
        <f t="shared" si="0"/>
        <v>0</v>
      </c>
    </row>
    <row r="19" spans="2:6" x14ac:dyDescent="0.25">
      <c r="B19" s="14" t="str">
        <f>'SQ_Auditoreingaben '!B132</f>
        <v>ECO2.4</v>
      </c>
      <c r="C19" s="16" t="str">
        <f>'SQ_Auditoreingaben '!C132</f>
        <v>Wertstabilität</v>
      </c>
      <c r="D19" s="10">
        <f>'SQ_Auditoreingaben '!I132</f>
        <v>2</v>
      </c>
      <c r="E19" s="22">
        <f>'2. Prüfung'!J145</f>
        <v>0</v>
      </c>
      <c r="F19" s="12">
        <f t="shared" si="0"/>
        <v>0</v>
      </c>
    </row>
    <row r="20" spans="2:6" ht="26.1" customHeight="1" x14ac:dyDescent="0.25">
      <c r="B20" s="14" t="str">
        <f>'SQ_Auditoreingaben '!B159</f>
        <v>SOC1.1</v>
      </c>
      <c r="C20" s="16" t="str">
        <f>'SQ_Auditoreingaben '!C159</f>
        <v>Mikroklima – Thermischer Komfort im Freiraum</v>
      </c>
      <c r="D20" s="10">
        <f>'SQ_Auditoreingaben '!I159</f>
        <v>3</v>
      </c>
      <c r="E20" s="22">
        <f>'2. Prüfung'!J166</f>
        <v>0</v>
      </c>
      <c r="F20" s="12">
        <f t="shared" si="0"/>
        <v>0</v>
      </c>
    </row>
    <row r="21" spans="2:6" x14ac:dyDescent="0.25">
      <c r="B21" s="14" t="str">
        <f>'SQ_Auditoreingaben '!B170</f>
        <v>SOC1.6</v>
      </c>
      <c r="C21" s="16" t="str">
        <f>'SQ_Auditoreingaben '!C170</f>
        <v>Freiraum</v>
      </c>
      <c r="D21" s="10">
        <f>'SQ_Auditoreingaben '!I170</f>
        <v>4</v>
      </c>
      <c r="E21" s="22">
        <f>'2. Prüfung'!J177</f>
        <v>0</v>
      </c>
      <c r="F21" s="12">
        <f t="shared" si="0"/>
        <v>0</v>
      </c>
    </row>
    <row r="22" spans="2:6" x14ac:dyDescent="0.25">
      <c r="B22" s="14" t="str">
        <f>'SQ_Auditoreingaben '!B201</f>
        <v>SOC1.9</v>
      </c>
      <c r="C22" s="15" t="str">
        <f>'SQ_Auditoreingaben '!C201</f>
        <v>Emissionen / Immissionen</v>
      </c>
      <c r="D22" s="10">
        <f>'SQ_Auditoreingaben '!I201</f>
        <v>3</v>
      </c>
      <c r="E22" s="22">
        <f>'2. Prüfung'!J206</f>
        <v>0</v>
      </c>
      <c r="F22" s="12">
        <f t="shared" si="0"/>
        <v>0</v>
      </c>
    </row>
    <row r="23" spans="2:6" x14ac:dyDescent="0.25">
      <c r="B23" s="14" t="str">
        <f>'SQ_Auditoreingaben '!B222</f>
        <v>SOC2.1</v>
      </c>
      <c r="C23" s="15" t="str">
        <f>'SQ_Auditoreingaben '!C222</f>
        <v>Barrierefreiheit</v>
      </c>
      <c r="D23" s="10">
        <f>'SQ_Auditoreingaben '!I222</f>
        <v>3</v>
      </c>
      <c r="E23" s="22">
        <f>'2. Prüfung'!J226</f>
        <v>0</v>
      </c>
      <c r="F23" s="12">
        <f t="shared" si="0"/>
        <v>0</v>
      </c>
    </row>
    <row r="24" spans="2:6" x14ac:dyDescent="0.25">
      <c r="B24" s="14" t="str">
        <f>'SQ_Auditoreingaben '!B273</f>
        <v>SOC3.1</v>
      </c>
      <c r="C24" s="15" t="str">
        <f>'SQ_Auditoreingaben '!C273</f>
        <v>Städtebau</v>
      </c>
      <c r="D24" s="10">
        <f>'SQ_Auditoreingaben '!I273</f>
        <v>3</v>
      </c>
      <c r="E24" s="22">
        <f>'2. Prüfung'!J278</f>
        <v>0</v>
      </c>
      <c r="F24" s="12">
        <f t="shared" si="0"/>
        <v>0</v>
      </c>
    </row>
    <row r="25" spans="2:6" x14ac:dyDescent="0.25">
      <c r="B25" s="14" t="str">
        <f>'SQ_Auditoreingaben '!B297</f>
        <v>SOC3.2</v>
      </c>
      <c r="C25" s="15" t="str">
        <f>'SQ_Auditoreingaben '!C297</f>
        <v>Soziale und Funktionale Mischung</v>
      </c>
      <c r="D25" s="10">
        <f>'SQ_Auditoreingaben '!I297</f>
        <v>4</v>
      </c>
      <c r="E25" s="22">
        <f>'2. Prüfung'!J299</f>
        <v>0</v>
      </c>
      <c r="F25" s="12">
        <f t="shared" si="0"/>
        <v>0</v>
      </c>
    </row>
    <row r="26" spans="2:6" ht="26.4" x14ac:dyDescent="0.25">
      <c r="B26" s="14" t="str">
        <f>'SQ_Auditoreingaben '!B313</f>
        <v>SOC3.3.</v>
      </c>
      <c r="C26" s="15" t="str">
        <f>'SQ_Auditoreingaben '!C313</f>
        <v>Soziale und Erwerbswirtschaftliche Infrastruktur</v>
      </c>
      <c r="D26" s="10">
        <f>'SQ_Auditoreingaben '!I313</f>
        <v>3</v>
      </c>
      <c r="E26" s="22">
        <f>'2. Prüfung'!J316</f>
        <v>0</v>
      </c>
      <c r="F26" s="12">
        <f t="shared" si="0"/>
        <v>0</v>
      </c>
    </row>
    <row r="27" spans="2:6" x14ac:dyDescent="0.25">
      <c r="B27" s="14" t="str">
        <f>'SQ_Auditoreingaben '!B331</f>
        <v>TEC2.1</v>
      </c>
      <c r="C27" s="15" t="str">
        <f>'SQ_Auditoreingaben '!C331</f>
        <v>Energieinfrastruktur</v>
      </c>
      <c r="D27" s="10">
        <f>'SQ_Auditoreingaben '!I331</f>
        <v>4</v>
      </c>
      <c r="E27" s="22">
        <f>'2. Prüfung'!J334</f>
        <v>0</v>
      </c>
      <c r="F27" s="12">
        <f t="shared" si="0"/>
        <v>0</v>
      </c>
    </row>
    <row r="28" spans="2:6" x14ac:dyDescent="0.25">
      <c r="B28" s="14" t="str">
        <f>'SQ_Auditoreingaben '!B348</f>
        <v>TEC2.2</v>
      </c>
      <c r="C28" s="15" t="str">
        <f>'SQ_Auditoreingaben '!C348</f>
        <v>Wertstoffmanagement</v>
      </c>
      <c r="D28" s="10">
        <f>'SQ_Auditoreingaben '!I348</f>
        <v>2</v>
      </c>
      <c r="E28" s="22">
        <f>'2. Prüfung'!J349</f>
        <v>0</v>
      </c>
      <c r="F28" s="12">
        <f t="shared" si="0"/>
        <v>0</v>
      </c>
    </row>
    <row r="29" spans="2:6" x14ac:dyDescent="0.25">
      <c r="B29" s="14" t="str">
        <f>'SQ_Auditoreingaben '!B367</f>
        <v>TEC2.4</v>
      </c>
      <c r="C29" s="15" t="str">
        <f>'SQ_Auditoreingaben '!C367</f>
        <v>Smart Infrastructure</v>
      </c>
      <c r="D29" s="10">
        <f>'SQ_Auditoreingaben '!I367</f>
        <v>2</v>
      </c>
      <c r="E29" s="22">
        <f>'2. Prüfung'!J370</f>
        <v>0</v>
      </c>
      <c r="F29" s="12">
        <f t="shared" si="0"/>
        <v>0</v>
      </c>
    </row>
    <row r="30" spans="2:6" ht="26.1" customHeight="1" x14ac:dyDescent="0.25">
      <c r="B30" s="14" t="str">
        <f>'SQ_Auditoreingaben '!B380</f>
        <v>TEC3.1</v>
      </c>
      <c r="C30" s="15" t="str">
        <f>'SQ_Auditoreingaben '!C380</f>
        <v>Mobilitätsinfrastruktur– Motorisierter Verkehr</v>
      </c>
      <c r="D30" s="10">
        <f>'SQ_Auditoreingaben '!I380</f>
        <v>5</v>
      </c>
      <c r="E30" s="22">
        <f>'2. Prüfung'!J391</f>
        <v>0</v>
      </c>
      <c r="F30" s="12">
        <f t="shared" si="0"/>
        <v>0</v>
      </c>
    </row>
    <row r="31" spans="2:6" ht="26.1" customHeight="1" x14ac:dyDescent="0.25">
      <c r="B31" s="14" t="str">
        <f>'SQ_Auditoreingaben '!B407</f>
        <v>TEC3.2</v>
      </c>
      <c r="C31" s="15" t="str">
        <f>'SQ_Auditoreingaben '!C407</f>
        <v>Mobilitätsinfrastruktur– Nicht Motorisierter Verkehr</v>
      </c>
      <c r="D31" s="10">
        <f>'SQ_Auditoreingaben '!I407</f>
        <v>5</v>
      </c>
      <c r="E31" s="22">
        <f>'2. Prüfung'!J421</f>
        <v>0</v>
      </c>
      <c r="F31" s="12">
        <f t="shared" si="0"/>
        <v>0</v>
      </c>
    </row>
    <row r="32" spans="2:6" x14ac:dyDescent="0.25">
      <c r="B32" s="14" t="str">
        <f>'SQ_Auditoreingaben '!B424</f>
        <v>PRO1.2</v>
      </c>
      <c r="C32" s="15" t="str">
        <f>'SQ_Auditoreingaben '!C424</f>
        <v>Integrale Planung</v>
      </c>
      <c r="D32" s="10">
        <f>'SQ_Auditoreingaben '!I424</f>
        <v>3</v>
      </c>
      <c r="E32" s="22">
        <f>'2. Prüfung'!J438</f>
        <v>0</v>
      </c>
      <c r="F32" s="12">
        <f t="shared" si="0"/>
        <v>0</v>
      </c>
    </row>
    <row r="33" spans="2:6" x14ac:dyDescent="0.25">
      <c r="B33" s="14" t="str">
        <f>'SQ_Auditoreingaben '!B444</f>
        <v>PRO1.7</v>
      </c>
      <c r="C33" s="15" t="str">
        <f>'SQ_Auditoreingaben '!C444</f>
        <v>Partizipation</v>
      </c>
      <c r="D33" s="10">
        <f>'SQ_Auditoreingaben '!I444</f>
        <v>2</v>
      </c>
      <c r="E33" s="22">
        <f>'2. Prüfung'!J458</f>
        <v>0</v>
      </c>
      <c r="F33" s="12">
        <f t="shared" si="0"/>
        <v>0</v>
      </c>
    </row>
    <row r="34" spans="2:6" x14ac:dyDescent="0.25">
      <c r="B34" s="14" t="str">
        <f>'SQ_Auditoreingaben '!B471</f>
        <v>PRO1.8</v>
      </c>
      <c r="C34" s="15" t="str">
        <f>'SQ_Auditoreingaben '!C471</f>
        <v>Projektmanagement</v>
      </c>
      <c r="D34" s="10">
        <f>'SQ_Auditoreingaben '!I471</f>
        <v>2</v>
      </c>
      <c r="E34" s="22">
        <f>'2. Prüfung'!J485</f>
        <v>0</v>
      </c>
      <c r="F34" s="12">
        <f t="shared" si="0"/>
        <v>0</v>
      </c>
    </row>
    <row r="35" spans="2:6" x14ac:dyDescent="0.25">
      <c r="B35" s="14" t="str">
        <f>'SQ_Auditoreingaben '!B493</f>
        <v>PRO1.9</v>
      </c>
      <c r="C35" s="15" t="str">
        <f>'SQ_Auditoreingaben '!C493</f>
        <v>Governance</v>
      </c>
      <c r="D35" s="10">
        <f>'SQ_Auditoreingaben '!I493</f>
        <v>2</v>
      </c>
      <c r="E35" s="22">
        <f>'2. Prüfung'!J509</f>
        <v>0</v>
      </c>
      <c r="F35" s="12">
        <f t="shared" si="0"/>
        <v>0</v>
      </c>
    </row>
    <row r="36" spans="2:6" x14ac:dyDescent="0.25">
      <c r="B36" s="14" t="str">
        <f>'SQ_Auditoreingaben '!B506</f>
        <v>PRO2.1</v>
      </c>
      <c r="C36" s="15" t="str">
        <f>'SQ_Auditoreingaben '!C506</f>
        <v>Baustelle, Bauprozesse</v>
      </c>
      <c r="D36" s="10">
        <f>'SQ_Auditoreingaben '!I506</f>
        <v>1</v>
      </c>
      <c r="E36" s="22">
        <f>'2. Prüfung'!J522</f>
        <v>0</v>
      </c>
      <c r="F36" s="12">
        <f t="shared" si="0"/>
        <v>0</v>
      </c>
    </row>
    <row r="37" spans="2:6" x14ac:dyDescent="0.25">
      <c r="B37" s="14" t="str">
        <f>'SQ_Auditoreingaben '!B521</f>
        <v>PRO3.5</v>
      </c>
      <c r="C37" s="15" t="str">
        <f>'SQ_Auditoreingaben '!C521</f>
        <v>Qualitätssicherung &amp; Monitoring</v>
      </c>
      <c r="D37" s="10">
        <f>'SQ_Auditoreingaben '!I521</f>
        <v>2</v>
      </c>
      <c r="E37" s="22">
        <f>'2. Prüfung'!J536</f>
        <v>0</v>
      </c>
      <c r="F37" s="12">
        <f t="shared" si="0"/>
        <v>0</v>
      </c>
    </row>
    <row r="39" spans="2:6" x14ac:dyDescent="0.25">
      <c r="B39" s="598" t="s">
        <v>6</v>
      </c>
      <c r="C39" s="598"/>
      <c r="D39" s="11" t="s">
        <v>629</v>
      </c>
      <c r="E39" s="11" t="s">
        <v>24</v>
      </c>
    </row>
    <row r="40" spans="2:6" x14ac:dyDescent="0.25">
      <c r="B40" s="550" t="s">
        <v>630</v>
      </c>
      <c r="C40" s="550"/>
      <c r="D40" s="12">
        <f>'SQ_Auditoreingaben '!S12</f>
        <v>0.2</v>
      </c>
      <c r="E40" s="12">
        <f>'2. Prüfung'!K2</f>
        <v>0</v>
      </c>
    </row>
    <row r="41" spans="2:6" x14ac:dyDescent="0.25">
      <c r="B41" s="550" t="s">
        <v>631</v>
      </c>
      <c r="C41" s="550"/>
      <c r="D41" s="12">
        <f>'SQ_Auditoreingaben '!S87</f>
        <v>0.2</v>
      </c>
      <c r="E41" s="12">
        <f>'2. Prüfung'!K3</f>
        <v>0</v>
      </c>
    </row>
    <row r="42" spans="2:6" x14ac:dyDescent="0.25">
      <c r="B42" s="550" t="s">
        <v>632</v>
      </c>
      <c r="C42" s="550"/>
      <c r="D42" s="12">
        <f>'SQ_Auditoreingaben '!S159</f>
        <v>0.2</v>
      </c>
      <c r="E42" s="12">
        <f>'2. Prüfung'!K4</f>
        <v>0</v>
      </c>
    </row>
    <row r="43" spans="2:6" x14ac:dyDescent="0.25">
      <c r="B43" s="550" t="s">
        <v>633</v>
      </c>
      <c r="C43" s="550"/>
      <c r="D43" s="12">
        <f>'SQ_Auditoreingaben '!S331</f>
        <v>0.2</v>
      </c>
      <c r="E43" s="12">
        <f>'2. Prüfung'!M2</f>
        <v>0</v>
      </c>
    </row>
    <row r="44" spans="2:6" x14ac:dyDescent="0.25">
      <c r="B44" s="550" t="s">
        <v>634</v>
      </c>
      <c r="C44" s="550"/>
      <c r="D44" s="12">
        <f>'SQ_Auditoreingaben '!S424</f>
        <v>0.2</v>
      </c>
      <c r="E44" s="12">
        <f>'2. Prüfung'!M3</f>
        <v>0</v>
      </c>
    </row>
    <row r="45" spans="2:6" x14ac:dyDescent="0.25">
      <c r="B45" s="596" t="s">
        <v>635</v>
      </c>
      <c r="C45" s="597"/>
      <c r="D45" s="597"/>
      <c r="E45" s="597"/>
    </row>
    <row r="46" spans="2:6" x14ac:dyDescent="0.25">
      <c r="B46" s="550" t="s">
        <v>28</v>
      </c>
      <c r="C46" s="550"/>
      <c r="D46" s="594">
        <f>'2. Prüfung'!Q2</f>
        <v>0</v>
      </c>
      <c r="E46" s="595"/>
    </row>
    <row r="47" spans="2:6" x14ac:dyDescent="0.25">
      <c r="B47" s="550" t="s">
        <v>636</v>
      </c>
      <c r="C47" s="550"/>
      <c r="D47" s="599" t="str">
        <f>IF(AND(E40&gt;=65/100,E41&gt;=65/100,E42&gt;=65/100,E43&gt;=65/100,E44&gt;=65/100),"Nebenanforderung Platin erfüllt",IF(AND(E40&gt;=1/2,E41&gt;=1/2,E42&gt;=1/2,E43&gt;=1/2,E44&gt;=1/2),"Nebenanforderung Gold erfüllt",IF(AND(E40&gt;=35/100,E41&gt;=35/100,E42&gt;=35/100,E43&gt;=35/100,E44&gt;=35/100),"Nebenanforderung Silber erfüllt","Nebenanforderung nicht erfüllt")))</f>
        <v>Nebenanforderung nicht erfüllt</v>
      </c>
      <c r="E47" s="600"/>
    </row>
    <row r="48" spans="2:6" x14ac:dyDescent="0.25">
      <c r="B48" s="550" t="s">
        <v>637</v>
      </c>
      <c r="C48" s="550"/>
      <c r="D48" s="599" t="str">
        <f>IF(AND(E40&gt;=65/100,E41&gt;=65/100,E42&gt;=65/100,E43&gt;=65/100,E44&gt;=65/100,D46&gt;=4/5),"PLATIN",IF(AND(E40&gt;=1/2,E41&gt;=1/2,E42&gt;=1/2,E43&gt;=1/2,E44&gt;=1/2,D46&gt;=65/100),"GOLD",IF(AND(E40&gt;=35/100,E41&gt;=35/100,E42&gt;=35/100,E43&gt;=35/100,E44&gt;=35/100,D46&gt;=1/2),"SILBER","keine Auszeichnung")))</f>
        <v>keine Auszeichnung</v>
      </c>
      <c r="E48" s="600"/>
    </row>
  </sheetData>
  <mergeCells count="17">
    <mergeCell ref="B47:C47"/>
    <mergeCell ref="D47:E47"/>
    <mergeCell ref="B48:C48"/>
    <mergeCell ref="D48:E48"/>
    <mergeCell ref="B41:C41"/>
    <mergeCell ref="B42:C42"/>
    <mergeCell ref="B43:C43"/>
    <mergeCell ref="B44:C44"/>
    <mergeCell ref="B45:E45"/>
    <mergeCell ref="B46:C46"/>
    <mergeCell ref="D46:E46"/>
    <mergeCell ref="B40:C40"/>
    <mergeCell ref="D2:F2"/>
    <mergeCell ref="D3:F3"/>
    <mergeCell ref="D4:F4"/>
    <mergeCell ref="B6:F6"/>
    <mergeCell ref="B39:C39"/>
  </mergeCells>
  <pageMargins left="0.7" right="0.7" top="0.78740157499999996" bottom="0.78740157499999996" header="0.3" footer="0.3"/>
  <pageSetup paperSize="9" scale="83"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a71543e-6a9e-4b02-934d-76d0d21af3c4" xsi:nil="true"/>
    <lcf76f155ced4ddcb4097134ff3c332f xmlns="752d48a2-7110-4c50-8aac-1eaff9eb93c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54338215580604AABE59BC0EBE29D24" ma:contentTypeVersion="13" ma:contentTypeDescription="Create a new document." ma:contentTypeScope="" ma:versionID="bd5cc72b9247d503e0d772ab1ca05d4c">
  <xsd:schema xmlns:xsd="http://www.w3.org/2001/XMLSchema" xmlns:xs="http://www.w3.org/2001/XMLSchema" xmlns:p="http://schemas.microsoft.com/office/2006/metadata/properties" xmlns:ns2="752d48a2-7110-4c50-8aac-1eaff9eb93ce" xmlns:ns3="1a71543e-6a9e-4b02-934d-76d0d21af3c4" targetNamespace="http://schemas.microsoft.com/office/2006/metadata/properties" ma:root="true" ma:fieldsID="44ebeee85fd3116aabad8170e7443b86" ns2:_="" ns3:_="">
    <xsd:import namespace="752d48a2-7110-4c50-8aac-1eaff9eb93ce"/>
    <xsd:import namespace="1a71543e-6a9e-4b02-934d-76d0d21af3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2d48a2-7110-4c50-8aac-1eaff9eb93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3fa978b-cdad-45a5-877c-f631a0e6dfe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71543e-6a9e-4b02-934d-76d0d21af3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b89434f-b8a4-46d2-a6b2-f167681ae7df}" ma:internalName="TaxCatchAll" ma:showField="CatchAllData" ma:web="1a71543e-6a9e-4b02-934d-76d0d21af3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28E7865-854D-4E4D-9664-21DACBE9AF0C}">
  <ds:schemaRefs>
    <ds:schemaRef ds:uri="http://schemas.microsoft.com/sharepoint/v3/contenttype/forms"/>
  </ds:schemaRefs>
</ds:datastoreItem>
</file>

<file path=customXml/itemProps2.xml><?xml version="1.0" encoding="utf-8"?>
<ds:datastoreItem xmlns:ds="http://schemas.openxmlformats.org/officeDocument/2006/customXml" ds:itemID="{A1673F49-2F2B-402C-86F3-1B87D809183B}">
  <ds:schemaRefs>
    <ds:schemaRef ds:uri="http://purl.org/dc/elements/1.1/"/>
    <ds:schemaRef ds:uri="752d48a2-7110-4c50-8aac-1eaff9eb93ce"/>
    <ds:schemaRef ds:uri="http://purl.org/dc/dcmitype/"/>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1a71543e-6a9e-4b02-934d-76d0d21af3c4"/>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7279E9C5-11DC-4CFE-81E0-C52200A6C2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2d48a2-7110-4c50-8aac-1eaff9eb93ce"/>
    <ds:schemaRef ds:uri="1a71543e-6a9e-4b02-934d-76d0d21af3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Deckblatt</vt:lpstr>
      <vt:lpstr>BHoM_CallersHidden</vt:lpstr>
      <vt:lpstr>SQ_Auditoreingaben </vt:lpstr>
      <vt:lpstr>BQ_Auditoreingaben</vt:lpstr>
      <vt:lpstr>EA_Auditoreingaben</vt:lpstr>
      <vt:lpstr>IS_Auditoreingaben</vt:lpstr>
      <vt:lpstr>GG_Auditoreingaben</vt:lpstr>
      <vt:lpstr>Language</vt:lpstr>
      <vt:lpstr>Prüferdeckblatt</vt:lpstr>
      <vt:lpstr>1. Prüfung</vt:lpstr>
      <vt:lpstr>Ergebnis 1. Prüfung</vt:lpstr>
      <vt:lpstr>2. Prüfung</vt:lpstr>
      <vt:lpstr>Ergebnis 2. Prüfung</vt:lpstr>
      <vt:lpstr>Deckblatt!Print_Area</vt:lpstr>
      <vt:lpstr>'Ergebnis 1. Prüfung'!Print_Area</vt:lpstr>
      <vt:lpstr>'Ergebnis 2. Prüfung'!Print_Area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Schlag</dc:creator>
  <cp:lastModifiedBy>Erida Bendo</cp:lastModifiedBy>
  <cp:lastPrinted>2024-04-26T07:40:47Z</cp:lastPrinted>
  <dcterms:created xsi:type="dcterms:W3CDTF">2019-05-02T06:35:14Z</dcterms:created>
  <dcterms:modified xsi:type="dcterms:W3CDTF">2024-07-31T08:13:16Z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0x010100154338215580604AABE59BC0EBE29D24</vt:lpwstr>
  </property>
  <property fmtid="{D5CDD505-2E9C-101B-9397-08002B2CF9AE}" pid="3" name="MediaServiceImageTags">
    <vt:lpwstr/>
  </property>
  <property fmtid="{D5CDD505-2E9C-101B-9397-08002B2CF9AE}" pid="4" name="Discipline">
    <vt:lpwstr/>
  </property>
</Properties>
</file>